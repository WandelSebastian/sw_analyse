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.carl\Desktop\"/>
    </mc:Choice>
  </mc:AlternateContent>
  <xr:revisionPtr revIDLastSave="0" documentId="13_ncr:1_{3A28FD78-3B99-4C9D-8FC0-1DB6CE270BDF}" xr6:coauthVersionLast="47" xr6:coauthVersionMax="47" xr10:uidLastSave="{00000000-0000-0000-0000-000000000000}"/>
  <bookViews>
    <workbookView xWindow="-120" yWindow="-120" windowWidth="29040" windowHeight="15720" firstSheet="25" activeTab="32" xr2:uid="{00000000-000D-0000-FFFF-FFFF00000000}"/>
  </bookViews>
  <sheets>
    <sheet name="UnterkörperA" sheetId="1" r:id="rId1"/>
    <sheet name="OberkörperA" sheetId="5" r:id="rId2"/>
    <sheet name="UnterkörperB" sheetId="7" r:id="rId3"/>
    <sheet name="OberkörperB" sheetId="8" r:id="rId4"/>
    <sheet name="UnterkörperC" sheetId="9" r:id="rId5"/>
    <sheet name="OberkörperC" sheetId="10" r:id="rId6"/>
    <sheet name="UnterkörperD" sheetId="11" r:id="rId7"/>
    <sheet name="OberkörperD" sheetId="12" r:id="rId8"/>
    <sheet name="UnterkörperE" sheetId="13" r:id="rId9"/>
    <sheet name="OberkörperE" sheetId="14" r:id="rId10"/>
    <sheet name="UnterkörperF" sheetId="15" r:id="rId11"/>
    <sheet name="OberkörperF" sheetId="16" r:id="rId12"/>
    <sheet name="Unterkörper1" sheetId="22" r:id="rId13"/>
    <sheet name="Oberkörper1" sheetId="23" r:id="rId14"/>
    <sheet name="Unterkörper2" sheetId="24" r:id="rId15"/>
    <sheet name="Oberkörper2" sheetId="25" r:id="rId16"/>
    <sheet name="Unterkörper3" sheetId="26" r:id="rId17"/>
    <sheet name="Oberkörper3" sheetId="27" r:id="rId18"/>
    <sheet name="Unterkörper4" sheetId="30" r:id="rId19"/>
    <sheet name="Oberkörper4" sheetId="31" r:id="rId20"/>
    <sheet name="Unterkörper5" sheetId="32" r:id="rId21"/>
    <sheet name="Oberkörper5" sheetId="33" r:id="rId22"/>
    <sheet name="Unterkörper6" sheetId="34" r:id="rId23"/>
    <sheet name="Oberkörper6" sheetId="35" r:id="rId24"/>
    <sheet name="Unterkörper7" sheetId="38" r:id="rId25"/>
    <sheet name="Oberkörper7" sheetId="39" r:id="rId26"/>
    <sheet name="Unterkörper8" sheetId="40" r:id="rId27"/>
    <sheet name="Oberkörper8" sheetId="41" r:id="rId28"/>
    <sheet name="Unterkörper9" sheetId="42" r:id="rId29"/>
    <sheet name="Oberkörper9" sheetId="43" r:id="rId30"/>
    <sheet name="Unterkörper10" sheetId="44" r:id="rId31"/>
    <sheet name="Oberkörper10" sheetId="45" r:id="rId32"/>
    <sheet name="BH1-2 Progressionen" sheetId="4" r:id="rId33"/>
    <sheet name=" Unterkörper Progressionen " sheetId="2" r:id="rId34"/>
    <sheet name="Oberkörper Progressionen " sheetId="6" r:id="rId35"/>
    <sheet name="Level 1 bis 6" sheetId="36" r:id="rId36"/>
    <sheet name="Level 7 bis 9" sheetId="37" r:id="rId37"/>
  </sheets>
  <definedNames>
    <definedName name="_xlnm.Print_Area" localSheetId="13">Oberkörper1!$B$2:$T$44</definedName>
    <definedName name="_xlnm.Print_Area" localSheetId="31">Oberkörper10!$B$2:$T$44</definedName>
    <definedName name="_xlnm.Print_Area" localSheetId="15">Oberkörper2!$B$2:$T$44</definedName>
    <definedName name="_xlnm.Print_Area" localSheetId="17">Oberkörper3!$B$2:$T$44</definedName>
    <definedName name="_xlnm.Print_Area" localSheetId="19">Oberkörper4!$B$2:$T$44</definedName>
    <definedName name="_xlnm.Print_Area" localSheetId="21">Oberkörper5!$B$2:$T$44</definedName>
    <definedName name="_xlnm.Print_Area" localSheetId="23">Oberkörper6!$B$2:$T$44</definedName>
    <definedName name="_xlnm.Print_Area" localSheetId="25">Oberkörper7!$B$2:$T$44</definedName>
    <definedName name="_xlnm.Print_Area" localSheetId="27">Oberkörper8!$B$2:$T$44</definedName>
    <definedName name="_xlnm.Print_Area" localSheetId="29">Oberkörper9!$B$2:$T$44</definedName>
    <definedName name="_xlnm.Print_Area" localSheetId="1">OberkörperA!$B$2:$T$37</definedName>
    <definedName name="_xlnm.Print_Area" localSheetId="3">OberkörperB!$B$2:$T$39</definedName>
    <definedName name="_xlnm.Print_Area" localSheetId="5">OberkörperC!$B$2:$T$39</definedName>
    <definedName name="_xlnm.Print_Area" localSheetId="7">OberkörperD!$B$2:$T$39</definedName>
    <definedName name="_xlnm.Print_Area" localSheetId="9">OberkörperE!$B$2:$T$39</definedName>
    <definedName name="_xlnm.Print_Area" localSheetId="11">OberkörperF!$B$2:$T$39</definedName>
    <definedName name="_xlnm.Print_Area" localSheetId="12">Unterkörper1!$B$2:$T$45</definedName>
    <definedName name="_xlnm.Print_Area" localSheetId="30">Unterkörper10!$B$2:$T$45</definedName>
    <definedName name="_xlnm.Print_Area" localSheetId="14">Unterkörper2!$B$2:$T$45</definedName>
    <definedName name="_xlnm.Print_Area" localSheetId="16">Unterkörper3!$B$2:$T$45</definedName>
    <definedName name="_xlnm.Print_Area" localSheetId="18">Unterkörper4!$B$2:$T$45</definedName>
    <definedName name="_xlnm.Print_Area" localSheetId="20">Unterkörper5!$B$2:$T$45</definedName>
    <definedName name="_xlnm.Print_Area" localSheetId="22">Unterkörper6!$B$2:$T$45</definedName>
    <definedName name="_xlnm.Print_Area" localSheetId="24">Unterkörper7!$B$2:$T$45</definedName>
    <definedName name="_xlnm.Print_Area" localSheetId="26">Unterkörper8!$B$2:$T$45</definedName>
    <definedName name="_xlnm.Print_Area" localSheetId="28">Unterkörper9!$B$2:$T$45</definedName>
    <definedName name="_xlnm.Print_Area" localSheetId="0">UnterkörperA!$B$2:$T$39</definedName>
    <definedName name="_xlnm.Print_Area" localSheetId="2">UnterkörperB!$B$2:$T$39</definedName>
    <definedName name="_xlnm.Print_Area" localSheetId="4">UnterkörperC!$B$2:$T$42</definedName>
    <definedName name="_xlnm.Print_Area" localSheetId="6">UnterkörperD!$B$2:$T$42</definedName>
    <definedName name="_xlnm.Print_Area" localSheetId="8">UnterkörperE!$B$2:$T$42</definedName>
    <definedName name="_xlnm.Print_Area" localSheetId="10">UnterkörperF!$B$2:$T$42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22" l="1"/>
  <c r="R44" i="22"/>
  <c r="R43" i="22"/>
  <c r="Q42" i="22"/>
  <c r="R40" i="22"/>
  <c r="R39" i="22"/>
  <c r="R38" i="22"/>
  <c r="R36" i="22"/>
  <c r="R35" i="22"/>
  <c r="R34" i="22"/>
  <c r="R31" i="22"/>
  <c r="R30" i="22"/>
  <c r="R29" i="22"/>
  <c r="R27" i="22"/>
  <c r="R26" i="22"/>
  <c r="R25" i="22"/>
  <c r="R45" i="24"/>
  <c r="R44" i="24"/>
  <c r="R43" i="24"/>
  <c r="Q42" i="24"/>
  <c r="R40" i="24"/>
  <c r="R39" i="24"/>
  <c r="R38" i="24"/>
  <c r="R36" i="24"/>
  <c r="R35" i="24"/>
  <c r="R34" i="24"/>
  <c r="R31" i="24"/>
  <c r="R30" i="24"/>
  <c r="R29" i="24"/>
  <c r="R27" i="24"/>
  <c r="R26" i="24"/>
  <c r="R25" i="24"/>
  <c r="R45" i="26"/>
  <c r="R44" i="26"/>
  <c r="R43" i="26"/>
  <c r="Q42" i="26"/>
  <c r="R40" i="26"/>
  <c r="R39" i="26"/>
  <c r="R38" i="26"/>
  <c r="R36" i="26"/>
  <c r="R35" i="26"/>
  <c r="R34" i="26"/>
  <c r="R31" i="26"/>
  <c r="R30" i="26"/>
  <c r="R29" i="26"/>
  <c r="R27" i="26"/>
  <c r="R26" i="26"/>
  <c r="R25" i="26"/>
  <c r="R45" i="30"/>
  <c r="R44" i="30"/>
  <c r="R43" i="30"/>
  <c r="Q42" i="30"/>
  <c r="R40" i="30"/>
  <c r="R39" i="30"/>
  <c r="R38" i="30"/>
  <c r="R36" i="30"/>
  <c r="R35" i="30"/>
  <c r="R34" i="30"/>
  <c r="R31" i="30"/>
  <c r="R30" i="30"/>
  <c r="R29" i="30"/>
  <c r="R27" i="30"/>
  <c r="R26" i="30"/>
  <c r="R25" i="30"/>
  <c r="R45" i="32"/>
  <c r="R44" i="32"/>
  <c r="R43" i="32"/>
  <c r="Q42" i="32"/>
  <c r="R40" i="32"/>
  <c r="R39" i="32"/>
  <c r="R38" i="32"/>
  <c r="R36" i="32"/>
  <c r="R35" i="32"/>
  <c r="R34" i="32"/>
  <c r="R31" i="32"/>
  <c r="R30" i="32"/>
  <c r="R29" i="32"/>
  <c r="R27" i="32"/>
  <c r="R25" i="32"/>
  <c r="R45" i="34"/>
  <c r="R44" i="34"/>
  <c r="R43" i="34"/>
  <c r="Q42" i="34"/>
  <c r="R40" i="34"/>
  <c r="R39" i="34"/>
  <c r="R38" i="34"/>
  <c r="R36" i="34"/>
  <c r="R35" i="34"/>
  <c r="R34" i="34"/>
  <c r="R31" i="34"/>
  <c r="R30" i="34"/>
  <c r="R29" i="34"/>
  <c r="R27" i="34"/>
  <c r="R26" i="34"/>
  <c r="R25" i="34"/>
  <c r="R45" i="38"/>
  <c r="R44" i="38"/>
  <c r="R43" i="38"/>
  <c r="Q42" i="38"/>
  <c r="R40" i="38"/>
  <c r="R39" i="38"/>
  <c r="R38" i="38"/>
  <c r="R36" i="38"/>
  <c r="R35" i="38"/>
  <c r="R34" i="38"/>
  <c r="R31" i="38"/>
  <c r="R30" i="38"/>
  <c r="R29" i="38"/>
  <c r="R27" i="38"/>
  <c r="R26" i="38"/>
  <c r="R25" i="38"/>
  <c r="R45" i="40"/>
  <c r="R44" i="40"/>
  <c r="R43" i="40"/>
  <c r="Q42" i="40"/>
  <c r="R40" i="40"/>
  <c r="R39" i="40"/>
  <c r="R38" i="40"/>
  <c r="R36" i="40"/>
  <c r="R35" i="40"/>
  <c r="R34" i="40"/>
  <c r="R31" i="40"/>
  <c r="R30" i="40"/>
  <c r="R29" i="40"/>
  <c r="R27" i="40"/>
  <c r="R26" i="40"/>
  <c r="R25" i="40"/>
  <c r="R45" i="42"/>
  <c r="R44" i="42"/>
  <c r="R43" i="42"/>
  <c r="Q42" i="42"/>
  <c r="R40" i="42"/>
  <c r="R39" i="42"/>
  <c r="R38" i="42"/>
  <c r="R36" i="42"/>
  <c r="R35" i="42"/>
  <c r="R34" i="42"/>
  <c r="R31" i="42"/>
  <c r="R30" i="42"/>
  <c r="R29" i="42"/>
  <c r="R27" i="42"/>
  <c r="R26" i="42"/>
  <c r="M45" i="22"/>
  <c r="M44" i="22"/>
  <c r="M43" i="22"/>
  <c r="L42" i="22"/>
  <c r="M40" i="22"/>
  <c r="M39" i="22"/>
  <c r="M38" i="22"/>
  <c r="M36" i="22"/>
  <c r="M35" i="22"/>
  <c r="M34" i="22"/>
  <c r="M31" i="22"/>
  <c r="M30" i="22"/>
  <c r="M29" i="22"/>
  <c r="M27" i="22"/>
  <c r="M26" i="22"/>
  <c r="M25" i="22"/>
  <c r="M45" i="24"/>
  <c r="M44" i="24"/>
  <c r="M43" i="24"/>
  <c r="L42" i="24"/>
  <c r="M40" i="24"/>
  <c r="M39" i="24"/>
  <c r="M38" i="24"/>
  <c r="M36" i="24"/>
  <c r="M35" i="24"/>
  <c r="M34" i="24"/>
  <c r="M31" i="24"/>
  <c r="M30" i="24"/>
  <c r="M29" i="24"/>
  <c r="M27" i="24"/>
  <c r="M26" i="24"/>
  <c r="M25" i="24"/>
  <c r="M45" i="26"/>
  <c r="M44" i="26"/>
  <c r="M43" i="26"/>
  <c r="L42" i="26"/>
  <c r="M40" i="26"/>
  <c r="M39" i="26"/>
  <c r="M38" i="26"/>
  <c r="M36" i="26"/>
  <c r="M35" i="26"/>
  <c r="M34" i="26"/>
  <c r="M31" i="26"/>
  <c r="M30" i="26"/>
  <c r="M29" i="26"/>
  <c r="M27" i="26"/>
  <c r="M26" i="26"/>
  <c r="M25" i="26"/>
  <c r="M45" i="30"/>
  <c r="M44" i="30"/>
  <c r="M43" i="30"/>
  <c r="L42" i="30"/>
  <c r="M40" i="30"/>
  <c r="M39" i="30"/>
  <c r="M38" i="30"/>
  <c r="M36" i="30"/>
  <c r="M35" i="30"/>
  <c r="M34" i="30"/>
  <c r="M31" i="30"/>
  <c r="M30" i="30"/>
  <c r="M29" i="30"/>
  <c r="M27" i="30"/>
  <c r="M26" i="30"/>
  <c r="M25" i="30"/>
  <c r="M45" i="32"/>
  <c r="M44" i="32"/>
  <c r="M43" i="32"/>
  <c r="L42" i="32"/>
  <c r="M40" i="32"/>
  <c r="M39" i="32"/>
  <c r="M38" i="32"/>
  <c r="M36" i="32"/>
  <c r="M35" i="32"/>
  <c r="M34" i="32"/>
  <c r="M31" i="32"/>
  <c r="M30" i="32"/>
  <c r="M29" i="32"/>
  <c r="M27" i="32"/>
  <c r="M26" i="32"/>
  <c r="R26" i="32" s="1"/>
  <c r="M25" i="32"/>
  <c r="M45" i="34"/>
  <c r="M44" i="34"/>
  <c r="M43" i="34"/>
  <c r="L42" i="34"/>
  <c r="M40" i="34"/>
  <c r="M39" i="34"/>
  <c r="M38" i="34"/>
  <c r="M36" i="34"/>
  <c r="M35" i="34"/>
  <c r="M34" i="34"/>
  <c r="M31" i="34"/>
  <c r="M30" i="34"/>
  <c r="M29" i="34"/>
  <c r="M27" i="34"/>
  <c r="M26" i="34"/>
  <c r="M25" i="34"/>
  <c r="M45" i="38"/>
  <c r="M44" i="38"/>
  <c r="M43" i="38"/>
  <c r="L42" i="38"/>
  <c r="M40" i="38"/>
  <c r="M39" i="38"/>
  <c r="M38" i="38"/>
  <c r="M36" i="38"/>
  <c r="M35" i="38"/>
  <c r="M34" i="38"/>
  <c r="M31" i="38"/>
  <c r="M30" i="38"/>
  <c r="M29" i="38"/>
  <c r="M27" i="38"/>
  <c r="M26" i="38"/>
  <c r="M25" i="38"/>
  <c r="M45" i="40"/>
  <c r="M44" i="40"/>
  <c r="M43" i="40"/>
  <c r="L42" i="40"/>
  <c r="M40" i="40"/>
  <c r="M39" i="40"/>
  <c r="M38" i="40"/>
  <c r="M36" i="40"/>
  <c r="M35" i="40"/>
  <c r="M34" i="40"/>
  <c r="M31" i="40"/>
  <c r="M30" i="40"/>
  <c r="M29" i="40"/>
  <c r="M27" i="40"/>
  <c r="M26" i="40"/>
  <c r="M25" i="40"/>
  <c r="M45" i="42"/>
  <c r="M44" i="42"/>
  <c r="M43" i="42"/>
  <c r="L42" i="42"/>
  <c r="M40" i="42"/>
  <c r="M39" i="42"/>
  <c r="M38" i="42"/>
  <c r="M36" i="42"/>
  <c r="M35" i="42"/>
  <c r="M34" i="42"/>
  <c r="M31" i="42"/>
  <c r="M30" i="42"/>
  <c r="M29" i="42"/>
  <c r="M27" i="42"/>
  <c r="M26" i="42"/>
  <c r="M25" i="42"/>
  <c r="R25" i="42" s="1"/>
  <c r="S24" i="22"/>
  <c r="Q24" i="22"/>
  <c r="N24" i="22"/>
  <c r="L24" i="22"/>
  <c r="S24" i="24"/>
  <c r="Q24" i="24"/>
  <c r="N24" i="24"/>
  <c r="L24" i="24"/>
  <c r="S24" i="26"/>
  <c r="N24" i="26"/>
  <c r="L24" i="26"/>
  <c r="Q24" i="26" s="1"/>
  <c r="S24" i="30"/>
  <c r="N24" i="30"/>
  <c r="L24" i="30"/>
  <c r="Q24" i="30" s="1"/>
  <c r="S24" i="32"/>
  <c r="Q24" i="32"/>
  <c r="N24" i="32"/>
  <c r="L24" i="32"/>
  <c r="S24" i="34"/>
  <c r="Q24" i="34"/>
  <c r="N24" i="34"/>
  <c r="L24" i="34"/>
  <c r="S24" i="38"/>
  <c r="Q24" i="38"/>
  <c r="N24" i="38"/>
  <c r="L24" i="38"/>
  <c r="S24" i="40"/>
  <c r="Q24" i="40"/>
  <c r="N24" i="40"/>
  <c r="L24" i="40"/>
  <c r="R44" i="23"/>
  <c r="R43" i="23"/>
  <c r="R42" i="23"/>
  <c r="Q41" i="23"/>
  <c r="R39" i="23"/>
  <c r="R38" i="23"/>
  <c r="R37" i="23"/>
  <c r="R35" i="23"/>
  <c r="R34" i="23"/>
  <c r="R33" i="23"/>
  <c r="R30" i="23"/>
  <c r="R29" i="23"/>
  <c r="R28" i="23"/>
  <c r="R25" i="23"/>
  <c r="R24" i="23"/>
  <c r="Q23" i="23"/>
  <c r="R21" i="23"/>
  <c r="R20" i="23"/>
  <c r="R19" i="23"/>
  <c r="R44" i="25"/>
  <c r="R43" i="25"/>
  <c r="R42" i="25"/>
  <c r="Q41" i="25"/>
  <c r="R39" i="25"/>
  <c r="R38" i="25"/>
  <c r="R37" i="25"/>
  <c r="R35" i="25"/>
  <c r="R34" i="25"/>
  <c r="R33" i="25"/>
  <c r="R30" i="25"/>
  <c r="R29" i="25"/>
  <c r="R28" i="25"/>
  <c r="R26" i="25"/>
  <c r="R25" i="25"/>
  <c r="R24" i="25"/>
  <c r="Q23" i="25"/>
  <c r="R21" i="25"/>
  <c r="R20" i="25"/>
  <c r="R19" i="25"/>
  <c r="R44" i="27"/>
  <c r="R43" i="27"/>
  <c r="R42" i="27"/>
  <c r="Q41" i="27"/>
  <c r="R39" i="27"/>
  <c r="R38" i="27"/>
  <c r="R37" i="27"/>
  <c r="R35" i="27"/>
  <c r="R34" i="27"/>
  <c r="R33" i="27"/>
  <c r="R30" i="27"/>
  <c r="R29" i="27"/>
  <c r="R28" i="27"/>
  <c r="R26" i="27"/>
  <c r="R25" i="27"/>
  <c r="R24" i="27"/>
  <c r="Q23" i="27"/>
  <c r="R21" i="27"/>
  <c r="R20" i="27"/>
  <c r="R19" i="27"/>
  <c r="R44" i="31"/>
  <c r="R43" i="31"/>
  <c r="R42" i="31"/>
  <c r="Q41" i="31"/>
  <c r="R39" i="31"/>
  <c r="R38" i="31"/>
  <c r="R37" i="31"/>
  <c r="R35" i="31"/>
  <c r="R34" i="31"/>
  <c r="R33" i="31"/>
  <c r="R30" i="31"/>
  <c r="R29" i="31"/>
  <c r="R28" i="31"/>
  <c r="R26" i="31"/>
  <c r="R25" i="31"/>
  <c r="R24" i="31"/>
  <c r="Q23" i="31"/>
  <c r="R21" i="31"/>
  <c r="R20" i="31"/>
  <c r="R19" i="31"/>
  <c r="R44" i="33"/>
  <c r="R43" i="33"/>
  <c r="R42" i="33"/>
  <c r="Q41" i="33"/>
  <c r="R39" i="33"/>
  <c r="R38" i="33"/>
  <c r="R37" i="33"/>
  <c r="R35" i="33"/>
  <c r="R34" i="33"/>
  <c r="R33" i="33"/>
  <c r="R30" i="33"/>
  <c r="R29" i="33"/>
  <c r="R28" i="33"/>
  <c r="R26" i="33"/>
  <c r="R25" i="33"/>
  <c r="R24" i="33"/>
  <c r="Q23" i="33"/>
  <c r="R21" i="33"/>
  <c r="R20" i="33"/>
  <c r="R19" i="33"/>
  <c r="R44" i="35"/>
  <c r="R43" i="35"/>
  <c r="R42" i="35"/>
  <c r="Q41" i="35"/>
  <c r="R39" i="35"/>
  <c r="R38" i="35"/>
  <c r="R37" i="35"/>
  <c r="R35" i="35"/>
  <c r="R34" i="35"/>
  <c r="R33" i="35"/>
  <c r="R30" i="35"/>
  <c r="R29" i="35"/>
  <c r="R28" i="35"/>
  <c r="R26" i="35"/>
  <c r="R25" i="35"/>
  <c r="R24" i="35"/>
  <c r="Q23" i="35"/>
  <c r="R21" i="35"/>
  <c r="R20" i="35"/>
  <c r="R19" i="35"/>
  <c r="R44" i="39"/>
  <c r="R43" i="39"/>
  <c r="R42" i="39"/>
  <c r="Q41" i="39"/>
  <c r="R39" i="39"/>
  <c r="R38" i="39"/>
  <c r="R37" i="39"/>
  <c r="R35" i="39"/>
  <c r="R34" i="39"/>
  <c r="R33" i="39"/>
  <c r="R30" i="39"/>
  <c r="R29" i="39"/>
  <c r="R28" i="39"/>
  <c r="R26" i="39"/>
  <c r="R25" i="39"/>
  <c r="R24" i="39"/>
  <c r="Q23" i="39"/>
  <c r="R21" i="39"/>
  <c r="R20" i="39"/>
  <c r="R19" i="39"/>
  <c r="R44" i="41"/>
  <c r="R43" i="41"/>
  <c r="R42" i="41"/>
  <c r="Q41" i="41"/>
  <c r="R39" i="41"/>
  <c r="R38" i="41"/>
  <c r="R37" i="41"/>
  <c r="R35" i="41"/>
  <c r="R34" i="41"/>
  <c r="R33" i="41"/>
  <c r="R30" i="41"/>
  <c r="R29" i="41"/>
  <c r="R28" i="41"/>
  <c r="R26" i="41"/>
  <c r="R25" i="41"/>
  <c r="R24" i="41"/>
  <c r="Q23" i="41"/>
  <c r="R21" i="41"/>
  <c r="R20" i="41"/>
  <c r="R19" i="41"/>
  <c r="R44" i="43"/>
  <c r="R43" i="43"/>
  <c r="R42" i="43"/>
  <c r="Q41" i="43"/>
  <c r="R39" i="43"/>
  <c r="R38" i="43"/>
  <c r="R37" i="43"/>
  <c r="R35" i="43"/>
  <c r="R34" i="43"/>
  <c r="R33" i="43"/>
  <c r="R30" i="43"/>
  <c r="R29" i="43"/>
  <c r="R28" i="43"/>
  <c r="R26" i="43"/>
  <c r="R25" i="43"/>
  <c r="R24" i="43"/>
  <c r="Q23" i="43"/>
  <c r="R21" i="43"/>
  <c r="R20" i="43"/>
  <c r="R19" i="43"/>
  <c r="M44" i="23"/>
  <c r="M43" i="23"/>
  <c r="M42" i="23"/>
  <c r="L41" i="23"/>
  <c r="M39" i="23"/>
  <c r="M38" i="23"/>
  <c r="M37" i="23"/>
  <c r="M35" i="23"/>
  <c r="M34" i="23"/>
  <c r="M33" i="23"/>
  <c r="M30" i="23"/>
  <c r="M29" i="23"/>
  <c r="M28" i="23"/>
  <c r="M25" i="23"/>
  <c r="M24" i="23"/>
  <c r="L23" i="23"/>
  <c r="M21" i="23"/>
  <c r="M20" i="23"/>
  <c r="M19" i="23"/>
  <c r="M44" i="25"/>
  <c r="M43" i="25"/>
  <c r="M42" i="25"/>
  <c r="L41" i="25"/>
  <c r="M39" i="25"/>
  <c r="M38" i="25"/>
  <c r="M37" i="25"/>
  <c r="M35" i="25"/>
  <c r="M34" i="25"/>
  <c r="M33" i="25"/>
  <c r="M30" i="25"/>
  <c r="M29" i="25"/>
  <c r="M28" i="25"/>
  <c r="M26" i="25"/>
  <c r="M25" i="25"/>
  <c r="M24" i="25"/>
  <c r="L23" i="25"/>
  <c r="M21" i="25"/>
  <c r="M20" i="25"/>
  <c r="M19" i="25"/>
  <c r="M44" i="27"/>
  <c r="M43" i="27"/>
  <c r="M42" i="27"/>
  <c r="L41" i="27"/>
  <c r="M39" i="27"/>
  <c r="M38" i="27"/>
  <c r="M37" i="27"/>
  <c r="M35" i="27"/>
  <c r="M34" i="27"/>
  <c r="M33" i="27"/>
  <c r="M30" i="27"/>
  <c r="M29" i="27"/>
  <c r="M28" i="27"/>
  <c r="M26" i="27"/>
  <c r="M25" i="27"/>
  <c r="M24" i="27"/>
  <c r="L23" i="27"/>
  <c r="M21" i="27"/>
  <c r="M20" i="27"/>
  <c r="M19" i="27"/>
  <c r="M44" i="31"/>
  <c r="M43" i="31"/>
  <c r="M42" i="31"/>
  <c r="L41" i="31"/>
  <c r="M39" i="31"/>
  <c r="M38" i="31"/>
  <c r="M37" i="31"/>
  <c r="M35" i="31"/>
  <c r="M34" i="31"/>
  <c r="M33" i="31"/>
  <c r="M30" i="31"/>
  <c r="M29" i="31"/>
  <c r="M28" i="31"/>
  <c r="M26" i="31"/>
  <c r="M25" i="31"/>
  <c r="M24" i="31"/>
  <c r="L23" i="31"/>
  <c r="M21" i="31"/>
  <c r="M20" i="31"/>
  <c r="M19" i="31"/>
  <c r="M44" i="33"/>
  <c r="M43" i="33"/>
  <c r="M42" i="33"/>
  <c r="L41" i="33"/>
  <c r="M39" i="33"/>
  <c r="M38" i="33"/>
  <c r="M37" i="33"/>
  <c r="M35" i="33"/>
  <c r="M34" i="33"/>
  <c r="M33" i="33"/>
  <c r="M30" i="33"/>
  <c r="M29" i="33"/>
  <c r="M28" i="33"/>
  <c r="M26" i="33"/>
  <c r="M25" i="33"/>
  <c r="M24" i="33"/>
  <c r="L23" i="33"/>
  <c r="M21" i="33"/>
  <c r="M20" i="33"/>
  <c r="M19" i="33"/>
  <c r="M44" i="35"/>
  <c r="M43" i="35"/>
  <c r="M42" i="35"/>
  <c r="L41" i="35"/>
  <c r="M39" i="35"/>
  <c r="M38" i="35"/>
  <c r="M37" i="35"/>
  <c r="M35" i="35"/>
  <c r="M34" i="35"/>
  <c r="M33" i="35"/>
  <c r="M30" i="35"/>
  <c r="M29" i="35"/>
  <c r="M28" i="35"/>
  <c r="M26" i="35"/>
  <c r="M25" i="35"/>
  <c r="M24" i="35"/>
  <c r="L23" i="35"/>
  <c r="M21" i="35"/>
  <c r="M20" i="35"/>
  <c r="M19" i="35"/>
  <c r="M44" i="39"/>
  <c r="M43" i="39"/>
  <c r="M42" i="39"/>
  <c r="L41" i="39"/>
  <c r="M39" i="39"/>
  <c r="M38" i="39"/>
  <c r="M37" i="39"/>
  <c r="M35" i="39"/>
  <c r="M34" i="39"/>
  <c r="M33" i="39"/>
  <c r="M30" i="39"/>
  <c r="M29" i="39"/>
  <c r="M28" i="39"/>
  <c r="M26" i="39"/>
  <c r="M25" i="39"/>
  <c r="M24" i="39"/>
  <c r="L23" i="39"/>
  <c r="M21" i="39"/>
  <c r="M20" i="39"/>
  <c r="M19" i="39"/>
  <c r="M44" i="41"/>
  <c r="M43" i="41"/>
  <c r="M42" i="41"/>
  <c r="L41" i="41"/>
  <c r="M39" i="41"/>
  <c r="M38" i="41"/>
  <c r="M37" i="41"/>
  <c r="M35" i="41"/>
  <c r="M34" i="41"/>
  <c r="M33" i="41"/>
  <c r="M30" i="41"/>
  <c r="M29" i="41"/>
  <c r="M28" i="41"/>
  <c r="M26" i="41"/>
  <c r="M25" i="41"/>
  <c r="M24" i="41"/>
  <c r="L23" i="41"/>
  <c r="M21" i="41"/>
  <c r="M20" i="41"/>
  <c r="M19" i="41"/>
  <c r="M44" i="43"/>
  <c r="M43" i="43"/>
  <c r="M42" i="43"/>
  <c r="L41" i="43"/>
  <c r="M39" i="43"/>
  <c r="M38" i="43"/>
  <c r="M37" i="43"/>
  <c r="M35" i="43"/>
  <c r="M34" i="43"/>
  <c r="M33" i="43"/>
  <c r="M30" i="43"/>
  <c r="M29" i="43"/>
  <c r="M28" i="43"/>
  <c r="M26" i="43"/>
  <c r="M25" i="43"/>
  <c r="M24" i="43"/>
  <c r="L23" i="43"/>
  <c r="M21" i="43"/>
  <c r="M20" i="43"/>
  <c r="M19" i="43"/>
  <c r="S23" i="23"/>
  <c r="N23" i="23"/>
  <c r="S23" i="25"/>
  <c r="N23" i="25"/>
  <c r="S23" i="27"/>
  <c r="N23" i="27"/>
  <c r="S23" i="31"/>
  <c r="N23" i="31"/>
  <c r="S23" i="33"/>
  <c r="N23" i="33"/>
  <c r="S23" i="35"/>
  <c r="N23" i="35"/>
  <c r="S23" i="39"/>
  <c r="N23" i="39"/>
  <c r="S23" i="41"/>
  <c r="N23" i="41"/>
  <c r="S23" i="43"/>
  <c r="N23" i="43"/>
  <c r="S41" i="23"/>
  <c r="N41" i="23"/>
  <c r="S41" i="25"/>
  <c r="N41" i="25"/>
  <c r="S41" i="27"/>
  <c r="N41" i="27"/>
  <c r="S41" i="31"/>
  <c r="N41" i="31"/>
  <c r="S41" i="33"/>
  <c r="N41" i="33"/>
  <c r="S41" i="35"/>
  <c r="N41" i="35"/>
  <c r="S41" i="39"/>
  <c r="N41" i="39"/>
  <c r="S41" i="41"/>
  <c r="N41" i="41"/>
  <c r="S41" i="43"/>
  <c r="N41" i="43"/>
  <c r="N24" i="43"/>
  <c r="S24" i="43"/>
  <c r="N25" i="43"/>
  <c r="S25" i="43"/>
  <c r="N26" i="43"/>
  <c r="S26" i="43"/>
  <c r="N28" i="43"/>
  <c r="S28" i="43"/>
  <c r="N29" i="43"/>
  <c r="S29" i="43"/>
  <c r="N30" i="43"/>
  <c r="S30" i="43"/>
  <c r="N32" i="43"/>
  <c r="S32" i="43"/>
  <c r="N33" i="43"/>
  <c r="S33" i="43"/>
  <c r="N34" i="43"/>
  <c r="S34" i="43"/>
  <c r="N35" i="43"/>
  <c r="S35" i="43"/>
  <c r="N37" i="43"/>
  <c r="S37" i="43"/>
  <c r="N38" i="43"/>
  <c r="S38" i="43"/>
  <c r="N39" i="43"/>
  <c r="S39" i="43"/>
  <c r="N42" i="43"/>
  <c r="S42" i="43"/>
  <c r="N43" i="43"/>
  <c r="S43" i="43"/>
  <c r="N44" i="43"/>
  <c r="S44" i="43"/>
  <c r="M24" i="45"/>
  <c r="N24" i="45"/>
  <c r="R24" i="45"/>
  <c r="S24" i="45"/>
  <c r="S42" i="22"/>
  <c r="N42" i="22"/>
  <c r="S42" i="24"/>
  <c r="N42" i="24"/>
  <c r="S42" i="26"/>
  <c r="N42" i="26"/>
  <c r="S42" i="30"/>
  <c r="N42" i="30"/>
  <c r="S42" i="32"/>
  <c r="N42" i="32"/>
  <c r="S42" i="34"/>
  <c r="N42" i="34"/>
  <c r="S42" i="38"/>
  <c r="N42" i="38"/>
  <c r="S42" i="40"/>
  <c r="N42" i="40"/>
  <c r="S42" i="42"/>
  <c r="N42" i="42"/>
  <c r="S32" i="23"/>
  <c r="N32" i="23"/>
  <c r="S32" i="25"/>
  <c r="N32" i="25"/>
  <c r="S32" i="27"/>
  <c r="N32" i="27"/>
  <c r="S32" i="31"/>
  <c r="N32" i="31"/>
  <c r="S32" i="33"/>
  <c r="N32" i="33"/>
  <c r="S32" i="35"/>
  <c r="N32" i="35"/>
  <c r="S32" i="39"/>
  <c r="N32" i="39"/>
  <c r="S32" i="41"/>
  <c r="N32" i="41"/>
  <c r="S33" i="22"/>
  <c r="N33" i="22"/>
  <c r="S33" i="24"/>
  <c r="N33" i="24"/>
  <c r="S33" i="26"/>
  <c r="N33" i="26"/>
  <c r="S33" i="30"/>
  <c r="N33" i="30"/>
  <c r="S33" i="32"/>
  <c r="N33" i="32"/>
  <c r="S33" i="34"/>
  <c r="N33" i="34"/>
  <c r="S33" i="38"/>
  <c r="N33" i="38"/>
  <c r="S33" i="40"/>
  <c r="N33" i="40"/>
  <c r="S33" i="42"/>
  <c r="N33" i="42"/>
  <c r="R44" i="45"/>
  <c r="R43" i="45"/>
  <c r="R42" i="45"/>
  <c r="M44" i="45"/>
  <c r="M43" i="45"/>
  <c r="M42" i="45"/>
  <c r="S21" i="45"/>
  <c r="S20" i="45"/>
  <c r="S19" i="45"/>
  <c r="N21" i="45"/>
  <c r="N20" i="45"/>
  <c r="N19" i="45"/>
  <c r="R39" i="45"/>
  <c r="R38" i="45"/>
  <c r="R37" i="45"/>
  <c r="R35" i="45"/>
  <c r="R34" i="45"/>
  <c r="R33" i="45"/>
  <c r="M39" i="45"/>
  <c r="M38" i="45"/>
  <c r="M37" i="45"/>
  <c r="M35" i="45"/>
  <c r="M34" i="45"/>
  <c r="M33" i="45"/>
  <c r="R30" i="45"/>
  <c r="R29" i="45"/>
  <c r="R28" i="45"/>
  <c r="M30" i="45"/>
  <c r="M29" i="45"/>
  <c r="M28" i="45"/>
  <c r="R26" i="45"/>
  <c r="M26" i="45"/>
  <c r="R25" i="45"/>
  <c r="M25" i="45"/>
  <c r="S41" i="45"/>
  <c r="N41" i="45"/>
  <c r="L41" i="45"/>
  <c r="Q41" i="45" s="1"/>
  <c r="S32" i="45"/>
  <c r="N32" i="45"/>
  <c r="S23" i="45"/>
  <c r="N23" i="45"/>
  <c r="L23" i="45"/>
  <c r="Q23" i="45" s="1"/>
  <c r="R21" i="45"/>
  <c r="M21" i="45"/>
  <c r="R20" i="45"/>
  <c r="M20" i="45"/>
  <c r="R19" i="45"/>
  <c r="M19" i="45"/>
  <c r="R20" i="44"/>
  <c r="R22" i="44"/>
  <c r="R21" i="44"/>
  <c r="M22" i="44"/>
  <c r="M21" i="44"/>
  <c r="M20" i="44"/>
  <c r="S24" i="42"/>
  <c r="N24" i="42"/>
  <c r="L24" i="42"/>
  <c r="Q24" i="42" s="1"/>
  <c r="N25" i="42"/>
  <c r="S25" i="42" s="1"/>
  <c r="N26" i="42"/>
  <c r="S26" i="42"/>
  <c r="R45" i="44"/>
  <c r="R44" i="44"/>
  <c r="R43" i="44"/>
  <c r="M45" i="44"/>
  <c r="M44" i="44"/>
  <c r="M43" i="44"/>
  <c r="R27" i="44"/>
  <c r="M27" i="44"/>
  <c r="R31" i="44"/>
  <c r="M31" i="44"/>
  <c r="S42" i="44"/>
  <c r="N42" i="44"/>
  <c r="S33" i="44"/>
  <c r="N33" i="44"/>
  <c r="S24" i="44"/>
  <c r="N24" i="44"/>
  <c r="N42" i="39"/>
  <c r="N43" i="39"/>
  <c r="S43" i="39" s="1"/>
  <c r="N44" i="39"/>
  <c r="R40" i="44"/>
  <c r="R39" i="44"/>
  <c r="R38" i="44"/>
  <c r="R36" i="44"/>
  <c r="R35" i="44"/>
  <c r="M35" i="44"/>
  <c r="M36" i="44"/>
  <c r="M40" i="44"/>
  <c r="M39" i="44"/>
  <c r="M38" i="44"/>
  <c r="R34" i="44"/>
  <c r="M34" i="44"/>
  <c r="R30" i="44"/>
  <c r="R29" i="44"/>
  <c r="M30" i="44"/>
  <c r="M29" i="44"/>
  <c r="M26" i="44"/>
  <c r="R26" i="44" s="1"/>
  <c r="M25" i="44"/>
  <c r="R25" i="44" s="1"/>
  <c r="L42" i="44"/>
  <c r="Q42" i="44" s="1"/>
  <c r="B16" i="45"/>
  <c r="N44" i="45"/>
  <c r="S44" i="45" s="1"/>
  <c r="N43" i="45"/>
  <c r="S43" i="45" s="1"/>
  <c r="N42" i="45"/>
  <c r="S42" i="45" s="1"/>
  <c r="S39" i="45"/>
  <c r="N39" i="45"/>
  <c r="S38" i="45"/>
  <c r="N38" i="45"/>
  <c r="S37" i="45"/>
  <c r="N37" i="45"/>
  <c r="S35" i="45"/>
  <c r="N35" i="45"/>
  <c r="S34" i="45"/>
  <c r="N34" i="45"/>
  <c r="S33" i="45"/>
  <c r="N33" i="45"/>
  <c r="S30" i="45"/>
  <c r="N30" i="45"/>
  <c r="S29" i="45"/>
  <c r="N29" i="45"/>
  <c r="S28" i="45"/>
  <c r="N28" i="45"/>
  <c r="S26" i="45"/>
  <c r="N26" i="45"/>
  <c r="S25" i="45"/>
  <c r="N25" i="45"/>
  <c r="R15" i="45"/>
  <c r="N15" i="45"/>
  <c r="J15" i="45"/>
  <c r="G15" i="45"/>
  <c r="E15" i="45"/>
  <c r="B15" i="45"/>
  <c r="R13" i="45"/>
  <c r="N13" i="45"/>
  <c r="J13" i="45"/>
  <c r="G13" i="45"/>
  <c r="E13" i="45"/>
  <c r="B13" i="45"/>
  <c r="N45" i="44"/>
  <c r="S45" i="44" s="1"/>
  <c r="N44" i="44"/>
  <c r="S44" i="44" s="1"/>
  <c r="N43" i="44"/>
  <c r="S43" i="44" s="1"/>
  <c r="N40" i="44"/>
  <c r="S40" i="44" s="1"/>
  <c r="N39" i="44"/>
  <c r="S39" i="44" s="1"/>
  <c r="S38" i="44"/>
  <c r="N38" i="44"/>
  <c r="N36" i="44"/>
  <c r="S36" i="44" s="1"/>
  <c r="S35" i="44"/>
  <c r="N35" i="44"/>
  <c r="S34" i="44"/>
  <c r="N34" i="44"/>
  <c r="N31" i="44"/>
  <c r="S31" i="44" s="1"/>
  <c r="N30" i="44"/>
  <c r="S30" i="44" s="1"/>
  <c r="N29" i="44"/>
  <c r="S29" i="44" s="1"/>
  <c r="N27" i="44"/>
  <c r="S27" i="44" s="1"/>
  <c r="N26" i="44"/>
  <c r="S26" i="44" s="1"/>
  <c r="N25" i="44"/>
  <c r="S25" i="44" s="1"/>
  <c r="L24" i="44"/>
  <c r="Q24" i="44" s="1"/>
  <c r="N15" i="43"/>
  <c r="N13" i="43"/>
  <c r="R15" i="43"/>
  <c r="R13" i="43"/>
  <c r="J15" i="43"/>
  <c r="J13" i="43"/>
  <c r="G15" i="43"/>
  <c r="G13" i="43"/>
  <c r="E15" i="43"/>
  <c r="E13" i="43"/>
  <c r="B16" i="43"/>
  <c r="B15" i="43"/>
  <c r="B13" i="43"/>
  <c r="N45" i="42"/>
  <c r="S45" i="42" s="1"/>
  <c r="N44" i="42"/>
  <c r="S44" i="42" s="1"/>
  <c r="N43" i="42"/>
  <c r="S43" i="42" s="1"/>
  <c r="N40" i="42"/>
  <c r="S40" i="42" s="1"/>
  <c r="N39" i="42"/>
  <c r="S39" i="42" s="1"/>
  <c r="N38" i="42"/>
  <c r="S38" i="42" s="1"/>
  <c r="N36" i="42"/>
  <c r="S36" i="42" s="1"/>
  <c r="N35" i="42"/>
  <c r="S35" i="42" s="1"/>
  <c r="S34" i="42"/>
  <c r="N34" i="42"/>
  <c r="N31" i="42"/>
  <c r="S31" i="42" s="1"/>
  <c r="N30" i="42"/>
  <c r="S30" i="42" s="1"/>
  <c r="N29" i="42"/>
  <c r="S29" i="42" s="1"/>
  <c r="N27" i="42"/>
  <c r="S27" i="42" s="1"/>
  <c r="R15" i="41"/>
  <c r="R13" i="41"/>
  <c r="N15" i="41"/>
  <c r="N13" i="41"/>
  <c r="J15" i="41"/>
  <c r="J13" i="41"/>
  <c r="G15" i="41"/>
  <c r="G13" i="41"/>
  <c r="E15" i="41"/>
  <c r="E13" i="41"/>
  <c r="B16" i="41"/>
  <c r="B15" i="41"/>
  <c r="B13" i="41"/>
  <c r="N44" i="41"/>
  <c r="S44" i="41" s="1"/>
  <c r="N43" i="41"/>
  <c r="S43" i="41" s="1"/>
  <c r="N42" i="41"/>
  <c r="S42" i="41" s="1"/>
  <c r="S39" i="41"/>
  <c r="N39" i="41"/>
  <c r="S38" i="41"/>
  <c r="N38" i="41"/>
  <c r="S37" i="41"/>
  <c r="N37" i="41"/>
  <c r="S35" i="41"/>
  <c r="N35" i="41"/>
  <c r="S34" i="41"/>
  <c r="N34" i="41"/>
  <c r="S33" i="41"/>
  <c r="N33" i="41"/>
  <c r="S30" i="41"/>
  <c r="N30" i="41"/>
  <c r="S29" i="41"/>
  <c r="N29" i="41"/>
  <c r="S28" i="41"/>
  <c r="N28" i="41"/>
  <c r="S26" i="41"/>
  <c r="N26" i="41"/>
  <c r="S25" i="41"/>
  <c r="N25" i="41"/>
  <c r="S24" i="41"/>
  <c r="N24" i="41"/>
  <c r="N45" i="40"/>
  <c r="S45" i="40" s="1"/>
  <c r="N44" i="40"/>
  <c r="S44" i="40" s="1"/>
  <c r="N43" i="40"/>
  <c r="S43" i="40" s="1"/>
  <c r="N40" i="40"/>
  <c r="S40" i="40" s="1"/>
  <c r="N39" i="40"/>
  <c r="S39" i="40" s="1"/>
  <c r="N38" i="40"/>
  <c r="S38" i="40" s="1"/>
  <c r="N36" i="40"/>
  <c r="S36" i="40" s="1"/>
  <c r="N35" i="40"/>
  <c r="S35" i="40" s="1"/>
  <c r="S34" i="40"/>
  <c r="N34" i="40"/>
  <c r="N31" i="40"/>
  <c r="S31" i="40" s="1"/>
  <c r="N30" i="40"/>
  <c r="S30" i="40" s="1"/>
  <c r="N29" i="40"/>
  <c r="S29" i="40" s="1"/>
  <c r="N27" i="40"/>
  <c r="S27" i="40" s="1"/>
  <c r="N26" i="40"/>
  <c r="S26" i="40" s="1"/>
  <c r="N25" i="40"/>
  <c r="S25" i="40" s="1"/>
  <c r="R15" i="39"/>
  <c r="R13" i="39"/>
  <c r="N15" i="39"/>
  <c r="N13" i="39"/>
  <c r="J15" i="39"/>
  <c r="J13" i="39"/>
  <c r="G15" i="39"/>
  <c r="G13" i="39"/>
  <c r="E15" i="39"/>
  <c r="E13" i="39"/>
  <c r="B16" i="39"/>
  <c r="B15" i="39"/>
  <c r="B13" i="39"/>
  <c r="S44" i="39"/>
  <c r="S42" i="39"/>
  <c r="S39" i="39"/>
  <c r="N39" i="39"/>
  <c r="S38" i="39"/>
  <c r="N38" i="39"/>
  <c r="S37" i="39"/>
  <c r="N37" i="39"/>
  <c r="S35" i="39"/>
  <c r="N35" i="39"/>
  <c r="S34" i="39"/>
  <c r="N34" i="39"/>
  <c r="S33" i="39"/>
  <c r="N33" i="39"/>
  <c r="S30" i="39"/>
  <c r="N30" i="39"/>
  <c r="S29" i="39"/>
  <c r="N29" i="39"/>
  <c r="S28" i="39"/>
  <c r="N28" i="39"/>
  <c r="S26" i="39"/>
  <c r="N26" i="39"/>
  <c r="S25" i="39"/>
  <c r="N25" i="39"/>
  <c r="S24" i="39"/>
  <c r="N24" i="39"/>
  <c r="N45" i="38"/>
  <c r="S45" i="38" s="1"/>
  <c r="N44" i="38"/>
  <c r="S44" i="38" s="1"/>
  <c r="N43" i="38"/>
  <c r="S43" i="38" s="1"/>
  <c r="N40" i="38"/>
  <c r="S40" i="38" s="1"/>
  <c r="N39" i="38"/>
  <c r="S39" i="38" s="1"/>
  <c r="N38" i="38"/>
  <c r="S38" i="38" s="1"/>
  <c r="N36" i="38"/>
  <c r="S36" i="38" s="1"/>
  <c r="N35" i="38"/>
  <c r="S35" i="38" s="1"/>
  <c r="S34" i="38"/>
  <c r="N34" i="38"/>
  <c r="N31" i="38"/>
  <c r="S31" i="38" s="1"/>
  <c r="N30" i="38"/>
  <c r="S30" i="38" s="1"/>
  <c r="N29" i="38"/>
  <c r="S29" i="38" s="1"/>
  <c r="N27" i="38"/>
  <c r="S27" i="38" s="1"/>
  <c r="N26" i="38"/>
  <c r="S26" i="38" s="1"/>
  <c r="N25" i="38"/>
  <c r="S25" i="38" s="1"/>
  <c r="AE38" i="37"/>
  <c r="M19" i="37"/>
  <c r="R48" i="37"/>
  <c r="Q48" i="37"/>
  <c r="P48" i="37"/>
  <c r="O48" i="37"/>
  <c r="N48" i="37"/>
  <c r="M48" i="37"/>
  <c r="L48" i="37"/>
  <c r="K48" i="37"/>
  <c r="J48" i="37"/>
  <c r="I48" i="37"/>
  <c r="H48" i="37"/>
  <c r="G48" i="37"/>
  <c r="F48" i="37"/>
  <c r="E48" i="37"/>
  <c r="D48" i="37"/>
  <c r="AM38" i="37"/>
  <c r="AL38" i="37"/>
  <c r="AK38" i="37"/>
  <c r="AJ38" i="37"/>
  <c r="AI38" i="37"/>
  <c r="AH38" i="37"/>
  <c r="AG38" i="37"/>
  <c r="AF38" i="37"/>
  <c r="AD38" i="37"/>
  <c r="AC38" i="37"/>
  <c r="AB38" i="37"/>
  <c r="AA38" i="37"/>
  <c r="Z38" i="37"/>
  <c r="Y38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E38" i="37"/>
  <c r="D38" i="37"/>
  <c r="AM29" i="37"/>
  <c r="AL29" i="37"/>
  <c r="AK29" i="37"/>
  <c r="AJ29" i="37"/>
  <c r="AI29" i="37"/>
  <c r="AH29" i="37"/>
  <c r="AG29" i="37"/>
  <c r="AF29" i="37"/>
  <c r="AE29" i="37"/>
  <c r="AD29" i="37"/>
  <c r="AC29" i="37"/>
  <c r="AB29" i="37"/>
  <c r="AA29" i="37"/>
  <c r="Z29" i="37"/>
  <c r="Y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AM19" i="37"/>
  <c r="AL19" i="37"/>
  <c r="AK19" i="37"/>
  <c r="AJ19" i="37"/>
  <c r="AI19" i="37"/>
  <c r="AH19" i="37"/>
  <c r="AG19" i="37"/>
  <c r="AF19" i="37"/>
  <c r="AE19" i="37"/>
  <c r="AD19" i="37"/>
  <c r="AC19" i="37"/>
  <c r="AB19" i="37"/>
  <c r="AA19" i="37"/>
  <c r="Z19" i="37"/>
  <c r="Y19" i="37"/>
  <c r="R19" i="37"/>
  <c r="Q19" i="37"/>
  <c r="P19" i="37"/>
  <c r="O19" i="37"/>
  <c r="N19" i="37"/>
  <c r="L19" i="37"/>
  <c r="K19" i="37"/>
  <c r="J19" i="37"/>
  <c r="I19" i="37"/>
  <c r="H19" i="37"/>
  <c r="G19" i="37"/>
  <c r="F19" i="37"/>
  <c r="E19" i="37"/>
  <c r="D19" i="37"/>
  <c r="AM10" i="37"/>
  <c r="AL10" i="37"/>
  <c r="AK10" i="37"/>
  <c r="AJ10" i="37"/>
  <c r="AI10" i="37"/>
  <c r="AH10" i="37"/>
  <c r="AG10" i="37"/>
  <c r="AF10" i="37"/>
  <c r="AE10" i="37"/>
  <c r="AD10" i="37"/>
  <c r="AC10" i="37"/>
  <c r="AB10" i="37"/>
  <c r="AA10" i="37"/>
  <c r="Z10" i="37"/>
  <c r="Y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T10" i="37" s="1"/>
  <c r="R48" i="36"/>
  <c r="Q48" i="36"/>
  <c r="P48" i="36"/>
  <c r="O48" i="36"/>
  <c r="N48" i="36"/>
  <c r="M48" i="36"/>
  <c r="L48" i="36"/>
  <c r="K48" i="36"/>
  <c r="J48" i="36"/>
  <c r="I48" i="36"/>
  <c r="H48" i="36"/>
  <c r="G48" i="36"/>
  <c r="F48" i="36"/>
  <c r="E48" i="36"/>
  <c r="D48" i="36"/>
  <c r="T48" i="36" s="1"/>
  <c r="AM38" i="36"/>
  <c r="AL38" i="36"/>
  <c r="AK38" i="36"/>
  <c r="AJ38" i="36"/>
  <c r="AI38" i="36"/>
  <c r="AH38" i="36"/>
  <c r="AG38" i="36"/>
  <c r="AF38" i="36"/>
  <c r="AE38" i="36"/>
  <c r="AD38" i="36"/>
  <c r="AC38" i="36"/>
  <c r="AB38" i="36"/>
  <c r="AA38" i="36"/>
  <c r="Z38" i="36"/>
  <c r="Y38" i="36"/>
  <c r="R38" i="36"/>
  <c r="Q38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D38" i="36"/>
  <c r="T38" i="36" s="1"/>
  <c r="AM29" i="36"/>
  <c r="AL29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AO29" i="36" s="1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T29" i="36" s="1"/>
  <c r="AM19" i="36"/>
  <c r="AL19" i="36"/>
  <c r="AK19" i="36"/>
  <c r="AJ19" i="36"/>
  <c r="AI19" i="36"/>
  <c r="AH19" i="36"/>
  <c r="AG19" i="36"/>
  <c r="AF19" i="36"/>
  <c r="AE19" i="36"/>
  <c r="AD19" i="36"/>
  <c r="AC19" i="36"/>
  <c r="AB19" i="36"/>
  <c r="AA19" i="36"/>
  <c r="Z19" i="36"/>
  <c r="Y19" i="36"/>
  <c r="AO19" i="36" s="1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T19" i="36" s="1"/>
  <c r="AM10" i="36"/>
  <c r="AL10" i="36"/>
  <c r="AK10" i="36"/>
  <c r="AJ10" i="36"/>
  <c r="AI10" i="36"/>
  <c r="AH10" i="36"/>
  <c r="AG10" i="36"/>
  <c r="AF10" i="36"/>
  <c r="AE10" i="36"/>
  <c r="AD10" i="36"/>
  <c r="AC10" i="36"/>
  <c r="AB10" i="36"/>
  <c r="AA10" i="36"/>
  <c r="Z10" i="36"/>
  <c r="Y10" i="36"/>
  <c r="AO10" i="36" s="1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T10" i="36" s="1"/>
  <c r="R15" i="35"/>
  <c r="R13" i="35"/>
  <c r="N15" i="35"/>
  <c r="N13" i="35"/>
  <c r="J15" i="35"/>
  <c r="J13" i="35"/>
  <c r="G15" i="35"/>
  <c r="G13" i="35"/>
  <c r="E15" i="35"/>
  <c r="E13" i="35"/>
  <c r="B15" i="35"/>
  <c r="B13" i="35"/>
  <c r="B16" i="35"/>
  <c r="N44" i="35"/>
  <c r="S44" i="35" s="1"/>
  <c r="N43" i="35"/>
  <c r="S43" i="35" s="1"/>
  <c r="N42" i="35"/>
  <c r="S42" i="35" s="1"/>
  <c r="S39" i="35"/>
  <c r="N39" i="35"/>
  <c r="S38" i="35"/>
  <c r="N38" i="35"/>
  <c r="S37" i="35"/>
  <c r="N37" i="35"/>
  <c r="S35" i="35"/>
  <c r="N35" i="35"/>
  <c r="S34" i="35"/>
  <c r="N34" i="35"/>
  <c r="S33" i="35"/>
  <c r="N33" i="35"/>
  <c r="S30" i="35"/>
  <c r="N30" i="35"/>
  <c r="S29" i="35"/>
  <c r="N29" i="35"/>
  <c r="S28" i="35"/>
  <c r="N28" i="35"/>
  <c r="S26" i="35"/>
  <c r="N26" i="35"/>
  <c r="S25" i="35"/>
  <c r="N25" i="35"/>
  <c r="S24" i="35"/>
  <c r="N24" i="35"/>
  <c r="N45" i="34"/>
  <c r="S45" i="34" s="1"/>
  <c r="N44" i="34"/>
  <c r="S44" i="34" s="1"/>
  <c r="N43" i="34"/>
  <c r="S43" i="34" s="1"/>
  <c r="N40" i="34"/>
  <c r="S40" i="34" s="1"/>
  <c r="N39" i="34"/>
  <c r="S39" i="34" s="1"/>
  <c r="N38" i="34"/>
  <c r="S38" i="34" s="1"/>
  <c r="N36" i="34"/>
  <c r="S36" i="34" s="1"/>
  <c r="N35" i="34"/>
  <c r="S35" i="34" s="1"/>
  <c r="S34" i="34"/>
  <c r="N34" i="34"/>
  <c r="N31" i="34"/>
  <c r="S31" i="34" s="1"/>
  <c r="N30" i="34"/>
  <c r="S30" i="34" s="1"/>
  <c r="N29" i="34"/>
  <c r="S29" i="34" s="1"/>
  <c r="N27" i="34"/>
  <c r="S27" i="34" s="1"/>
  <c r="N26" i="34"/>
  <c r="S26" i="34" s="1"/>
  <c r="N25" i="34"/>
  <c r="S25" i="34" s="1"/>
  <c r="B16" i="33"/>
  <c r="R15" i="33"/>
  <c r="R13" i="33"/>
  <c r="N15" i="33"/>
  <c r="N13" i="33"/>
  <c r="J15" i="33"/>
  <c r="J13" i="33"/>
  <c r="G15" i="33"/>
  <c r="G13" i="33"/>
  <c r="E15" i="33"/>
  <c r="E13" i="33"/>
  <c r="B15" i="33"/>
  <c r="B13" i="33"/>
  <c r="N44" i="33"/>
  <c r="S44" i="33" s="1"/>
  <c r="N43" i="33"/>
  <c r="S43" i="33" s="1"/>
  <c r="N42" i="33"/>
  <c r="S42" i="33" s="1"/>
  <c r="S39" i="33"/>
  <c r="N39" i="33"/>
  <c r="S38" i="33"/>
  <c r="N38" i="33"/>
  <c r="S37" i="33"/>
  <c r="N37" i="33"/>
  <c r="S35" i="33"/>
  <c r="N35" i="33"/>
  <c r="S34" i="33"/>
  <c r="N34" i="33"/>
  <c r="S33" i="33"/>
  <c r="N33" i="33"/>
  <c r="S30" i="33"/>
  <c r="N30" i="33"/>
  <c r="S29" i="33"/>
  <c r="N29" i="33"/>
  <c r="S28" i="33"/>
  <c r="N28" i="33"/>
  <c r="S26" i="33"/>
  <c r="N26" i="33"/>
  <c r="S25" i="33"/>
  <c r="N25" i="33"/>
  <c r="S24" i="33"/>
  <c r="N24" i="33"/>
  <c r="N45" i="32"/>
  <c r="S45" i="32" s="1"/>
  <c r="N44" i="32"/>
  <c r="S44" i="32" s="1"/>
  <c r="N43" i="32"/>
  <c r="S43" i="32" s="1"/>
  <c r="N40" i="32"/>
  <c r="S40" i="32" s="1"/>
  <c r="N39" i="32"/>
  <c r="S39" i="32" s="1"/>
  <c r="N38" i="32"/>
  <c r="S38" i="32" s="1"/>
  <c r="N36" i="32"/>
  <c r="S36" i="32" s="1"/>
  <c r="N35" i="32"/>
  <c r="S35" i="32" s="1"/>
  <c r="S34" i="32"/>
  <c r="N34" i="32"/>
  <c r="N31" i="32"/>
  <c r="S31" i="32" s="1"/>
  <c r="N30" i="32"/>
  <c r="S30" i="32" s="1"/>
  <c r="N29" i="32"/>
  <c r="S29" i="32" s="1"/>
  <c r="N27" i="32"/>
  <c r="S27" i="32" s="1"/>
  <c r="N26" i="32"/>
  <c r="S26" i="32" s="1"/>
  <c r="N25" i="32"/>
  <c r="S25" i="32" s="1"/>
  <c r="R15" i="31"/>
  <c r="R13" i="31"/>
  <c r="N15" i="31"/>
  <c r="N13" i="31"/>
  <c r="J15" i="31"/>
  <c r="J13" i="31"/>
  <c r="G15" i="31"/>
  <c r="G13" i="31"/>
  <c r="E15" i="31"/>
  <c r="E13" i="31"/>
  <c r="B15" i="31"/>
  <c r="B13" i="31"/>
  <c r="B16" i="31"/>
  <c r="N44" i="31"/>
  <c r="S44" i="31" s="1"/>
  <c r="N43" i="31"/>
  <c r="S43" i="31" s="1"/>
  <c r="N42" i="31"/>
  <c r="S42" i="31" s="1"/>
  <c r="S39" i="31"/>
  <c r="N39" i="31"/>
  <c r="S38" i="31"/>
  <c r="N38" i="31"/>
  <c r="S37" i="31"/>
  <c r="N37" i="31"/>
  <c r="S35" i="31"/>
  <c r="N35" i="31"/>
  <c r="S34" i="31"/>
  <c r="N34" i="31"/>
  <c r="S33" i="31"/>
  <c r="N33" i="31"/>
  <c r="S30" i="31"/>
  <c r="N30" i="31"/>
  <c r="S29" i="31"/>
  <c r="N29" i="31"/>
  <c r="S28" i="31"/>
  <c r="N28" i="31"/>
  <c r="S26" i="31"/>
  <c r="N26" i="31"/>
  <c r="S25" i="31"/>
  <c r="N25" i="31"/>
  <c r="S24" i="31"/>
  <c r="N24" i="31"/>
  <c r="N45" i="30"/>
  <c r="S45" i="30" s="1"/>
  <c r="N44" i="30"/>
  <c r="S44" i="30" s="1"/>
  <c r="N43" i="30"/>
  <c r="S43" i="30" s="1"/>
  <c r="N40" i="30"/>
  <c r="S40" i="30" s="1"/>
  <c r="N39" i="30"/>
  <c r="S39" i="30" s="1"/>
  <c r="N38" i="30"/>
  <c r="S38" i="30" s="1"/>
  <c r="N36" i="30"/>
  <c r="S36" i="30" s="1"/>
  <c r="N35" i="30"/>
  <c r="S35" i="30" s="1"/>
  <c r="S34" i="30"/>
  <c r="N34" i="30"/>
  <c r="N31" i="30"/>
  <c r="S31" i="30" s="1"/>
  <c r="N30" i="30"/>
  <c r="S30" i="30" s="1"/>
  <c r="N29" i="30"/>
  <c r="S29" i="30" s="1"/>
  <c r="N27" i="30"/>
  <c r="S27" i="30" s="1"/>
  <c r="N26" i="30"/>
  <c r="S26" i="30" s="1"/>
  <c r="N25" i="30"/>
  <c r="S25" i="30" s="1"/>
  <c r="B16" i="27"/>
  <c r="R15" i="27"/>
  <c r="R13" i="27"/>
  <c r="N15" i="27"/>
  <c r="N13" i="27"/>
  <c r="J15" i="27"/>
  <c r="J13" i="27"/>
  <c r="G15" i="27"/>
  <c r="G13" i="27"/>
  <c r="E15" i="27"/>
  <c r="E13" i="27"/>
  <c r="B15" i="27"/>
  <c r="B13" i="27"/>
  <c r="N44" i="27"/>
  <c r="S44" i="27" s="1"/>
  <c r="N43" i="27"/>
  <c r="S43" i="27" s="1"/>
  <c r="N42" i="27"/>
  <c r="S42" i="27" s="1"/>
  <c r="S39" i="27"/>
  <c r="N39" i="27"/>
  <c r="S38" i="27"/>
  <c r="N38" i="27"/>
  <c r="S37" i="27"/>
  <c r="N37" i="27"/>
  <c r="S35" i="27"/>
  <c r="N35" i="27"/>
  <c r="S34" i="27"/>
  <c r="N34" i="27"/>
  <c r="S33" i="27"/>
  <c r="N33" i="27"/>
  <c r="S30" i="27"/>
  <c r="N30" i="27"/>
  <c r="S29" i="27"/>
  <c r="N29" i="27"/>
  <c r="S28" i="27"/>
  <c r="N28" i="27"/>
  <c r="S26" i="27"/>
  <c r="N26" i="27"/>
  <c r="S25" i="27"/>
  <c r="N25" i="27"/>
  <c r="S24" i="27"/>
  <c r="N24" i="27"/>
  <c r="T21" i="27"/>
  <c r="O21" i="27"/>
  <c r="T20" i="27"/>
  <c r="O20" i="27"/>
  <c r="N45" i="26"/>
  <c r="S45" i="26" s="1"/>
  <c r="N44" i="26"/>
  <c r="S44" i="26" s="1"/>
  <c r="N43" i="26"/>
  <c r="S43" i="26" s="1"/>
  <c r="N40" i="26"/>
  <c r="S40" i="26" s="1"/>
  <c r="N39" i="26"/>
  <c r="S39" i="26" s="1"/>
  <c r="N38" i="26"/>
  <c r="S38" i="26" s="1"/>
  <c r="N36" i="26"/>
  <c r="S36" i="26" s="1"/>
  <c r="N35" i="26"/>
  <c r="S35" i="26" s="1"/>
  <c r="S34" i="26"/>
  <c r="N34" i="26"/>
  <c r="N31" i="26"/>
  <c r="S31" i="26" s="1"/>
  <c r="N30" i="26"/>
  <c r="S30" i="26" s="1"/>
  <c r="N29" i="26"/>
  <c r="S29" i="26" s="1"/>
  <c r="N27" i="26"/>
  <c r="S27" i="26" s="1"/>
  <c r="N26" i="26"/>
  <c r="S26" i="26" s="1"/>
  <c r="N25" i="26"/>
  <c r="S25" i="26" s="1"/>
  <c r="T22" i="26"/>
  <c r="O22" i="26"/>
  <c r="T21" i="26"/>
  <c r="O21" i="26"/>
  <c r="R15" i="25"/>
  <c r="R13" i="25"/>
  <c r="N15" i="25"/>
  <c r="N13" i="25"/>
  <c r="J15" i="25"/>
  <c r="J13" i="25"/>
  <c r="G15" i="25"/>
  <c r="G13" i="25"/>
  <c r="E15" i="25"/>
  <c r="E13" i="25"/>
  <c r="B15" i="25"/>
  <c r="B13" i="25"/>
  <c r="B16" i="25"/>
  <c r="N44" i="25"/>
  <c r="S44" i="25" s="1"/>
  <c r="N43" i="25"/>
  <c r="S43" i="25" s="1"/>
  <c r="N42" i="25"/>
  <c r="S42" i="25" s="1"/>
  <c r="S39" i="25"/>
  <c r="N39" i="25"/>
  <c r="S38" i="25"/>
  <c r="N38" i="25"/>
  <c r="S37" i="25"/>
  <c r="N37" i="25"/>
  <c r="S35" i="25"/>
  <c r="N35" i="25"/>
  <c r="S34" i="25"/>
  <c r="N34" i="25"/>
  <c r="S33" i="25"/>
  <c r="N33" i="25"/>
  <c r="S30" i="25"/>
  <c r="N30" i="25"/>
  <c r="S29" i="25"/>
  <c r="N29" i="25"/>
  <c r="S28" i="25"/>
  <c r="N28" i="25"/>
  <c r="S26" i="25"/>
  <c r="N26" i="25"/>
  <c r="S25" i="25"/>
  <c r="N25" i="25"/>
  <c r="S24" i="25"/>
  <c r="N24" i="25"/>
  <c r="T21" i="25"/>
  <c r="O21" i="25"/>
  <c r="T20" i="25"/>
  <c r="O20" i="25"/>
  <c r="N45" i="24"/>
  <c r="S45" i="24" s="1"/>
  <c r="N44" i="24"/>
  <c r="S44" i="24" s="1"/>
  <c r="N43" i="24"/>
  <c r="S43" i="24" s="1"/>
  <c r="N40" i="24"/>
  <c r="S40" i="24" s="1"/>
  <c r="N39" i="24"/>
  <c r="S39" i="24" s="1"/>
  <c r="N38" i="24"/>
  <c r="S38" i="24" s="1"/>
  <c r="N36" i="24"/>
  <c r="S36" i="24" s="1"/>
  <c r="N35" i="24"/>
  <c r="S35" i="24" s="1"/>
  <c r="S34" i="24"/>
  <c r="N34" i="24"/>
  <c r="N31" i="24"/>
  <c r="S31" i="24" s="1"/>
  <c r="N30" i="24"/>
  <c r="S30" i="24" s="1"/>
  <c r="N29" i="24"/>
  <c r="S29" i="24" s="1"/>
  <c r="N27" i="24"/>
  <c r="S27" i="24" s="1"/>
  <c r="N26" i="24"/>
  <c r="S26" i="24" s="1"/>
  <c r="N25" i="24"/>
  <c r="S25" i="24" s="1"/>
  <c r="T22" i="24"/>
  <c r="O22" i="24"/>
  <c r="T21" i="24"/>
  <c r="O21" i="24"/>
  <c r="AO38" i="36" l="1"/>
  <c r="T38" i="37"/>
  <c r="T48" i="37"/>
  <c r="AO38" i="37"/>
  <c r="AO29" i="37"/>
  <c r="AO19" i="37"/>
  <c r="T29" i="37"/>
  <c r="T19" i="37"/>
  <c r="AO10" i="37"/>
  <c r="B16" i="23"/>
  <c r="R15" i="23"/>
  <c r="N15" i="23"/>
  <c r="J15" i="23"/>
  <c r="G15" i="23"/>
  <c r="E15" i="23"/>
  <c r="B15" i="23"/>
  <c r="R13" i="23"/>
  <c r="N13" i="23"/>
  <c r="J13" i="23"/>
  <c r="G13" i="23"/>
  <c r="E13" i="23"/>
  <c r="B13" i="23"/>
  <c r="N44" i="23"/>
  <c r="S44" i="23" s="1"/>
  <c r="N43" i="23"/>
  <c r="S43" i="23" s="1"/>
  <c r="N42" i="23"/>
  <c r="S42" i="23" s="1"/>
  <c r="S39" i="23"/>
  <c r="N39" i="23"/>
  <c r="S38" i="23"/>
  <c r="N38" i="23"/>
  <c r="S37" i="23"/>
  <c r="N37" i="23"/>
  <c r="S35" i="23"/>
  <c r="N35" i="23"/>
  <c r="S34" i="23"/>
  <c r="N34" i="23"/>
  <c r="S33" i="23"/>
  <c r="N33" i="23"/>
  <c r="S30" i="23"/>
  <c r="N30" i="23"/>
  <c r="S29" i="23"/>
  <c r="N29" i="23"/>
  <c r="S28" i="23"/>
  <c r="N28" i="23"/>
  <c r="S26" i="23"/>
  <c r="N26" i="23"/>
  <c r="S25" i="23"/>
  <c r="N25" i="23"/>
  <c r="S24" i="23"/>
  <c r="N24" i="23"/>
  <c r="T21" i="23"/>
  <c r="O21" i="23"/>
  <c r="T20" i="23"/>
  <c r="O20" i="23"/>
  <c r="N45" i="22"/>
  <c r="S45" i="22" s="1"/>
  <c r="N44" i="22"/>
  <c r="S44" i="22" s="1"/>
  <c r="N43" i="22"/>
  <c r="S43" i="22" s="1"/>
  <c r="N40" i="22"/>
  <c r="S40" i="22" s="1"/>
  <c r="N39" i="22"/>
  <c r="S39" i="22" s="1"/>
  <c r="N38" i="22"/>
  <c r="S38" i="22" s="1"/>
  <c r="N36" i="22"/>
  <c r="S36" i="22" s="1"/>
  <c r="N35" i="22"/>
  <c r="S35" i="22" s="1"/>
  <c r="S34" i="22"/>
  <c r="N34" i="22"/>
  <c r="N31" i="22"/>
  <c r="S31" i="22" s="1"/>
  <c r="N30" i="22"/>
  <c r="S30" i="22" s="1"/>
  <c r="N29" i="22"/>
  <c r="S29" i="22" s="1"/>
  <c r="N27" i="22"/>
  <c r="S27" i="22" s="1"/>
  <c r="N26" i="22"/>
  <c r="S26" i="22" s="1"/>
  <c r="N25" i="22"/>
  <c r="S25" i="22" s="1"/>
  <c r="T22" i="22"/>
  <c r="O22" i="22"/>
  <c r="T21" i="22"/>
  <c r="O21" i="22"/>
  <c r="S29" i="7" l="1"/>
  <c r="N29" i="7"/>
  <c r="S24" i="7"/>
  <c r="S37" i="5"/>
  <c r="N37" i="5"/>
  <c r="S32" i="1"/>
  <c r="N32" i="1"/>
  <c r="S29" i="1"/>
  <c r="N29" i="1"/>
  <c r="S32" i="11" l="1"/>
  <c r="N32" i="11"/>
  <c r="S32" i="13"/>
  <c r="N32" i="13"/>
  <c r="B15" i="16"/>
  <c r="B15" i="14"/>
  <c r="S39" i="16"/>
  <c r="N39" i="16"/>
  <c r="S38" i="16"/>
  <c r="N38" i="16"/>
  <c r="N37" i="16"/>
  <c r="S37" i="16" s="1"/>
  <c r="M37" i="16"/>
  <c r="R37" i="16" s="1"/>
  <c r="S36" i="16"/>
  <c r="N34" i="16"/>
  <c r="S34" i="16" s="1"/>
  <c r="N33" i="16"/>
  <c r="S33" i="16" s="1"/>
  <c r="N31" i="16"/>
  <c r="S31" i="16" s="1"/>
  <c r="N30" i="16"/>
  <c r="S30" i="16" s="1"/>
  <c r="N29" i="16"/>
  <c r="S29" i="16" s="1"/>
  <c r="N28" i="16"/>
  <c r="S28" i="16" s="1"/>
  <c r="S27" i="16"/>
  <c r="N27" i="16"/>
  <c r="N26" i="16"/>
  <c r="N25" i="16"/>
  <c r="S25" i="16" s="1"/>
  <c r="N24" i="16"/>
  <c r="S24" i="16" s="1"/>
  <c r="N23" i="16"/>
  <c r="S23" i="16" s="1"/>
  <c r="L22" i="16"/>
  <c r="Q22" i="16" s="1"/>
  <c r="S10" i="16"/>
  <c r="N42" i="15"/>
  <c r="S42" i="15" s="1"/>
  <c r="S41" i="15"/>
  <c r="N41" i="15"/>
  <c r="S40" i="15"/>
  <c r="N40" i="15"/>
  <c r="N38" i="15"/>
  <c r="S38" i="15" s="1"/>
  <c r="N37" i="15"/>
  <c r="S37" i="15" s="1"/>
  <c r="N36" i="15"/>
  <c r="S36" i="15" s="1"/>
  <c r="S35" i="15"/>
  <c r="N35" i="15"/>
  <c r="N34" i="15"/>
  <c r="S34" i="15" s="1"/>
  <c r="N33" i="15"/>
  <c r="S33" i="15" s="1"/>
  <c r="N31" i="15"/>
  <c r="S31" i="15" s="1"/>
  <c r="N30" i="15"/>
  <c r="S30" i="15" s="1"/>
  <c r="N29" i="15"/>
  <c r="S29" i="15" s="1"/>
  <c r="N28" i="15"/>
  <c r="S28" i="15" s="1"/>
  <c r="N27" i="15"/>
  <c r="N26" i="15"/>
  <c r="N25" i="15"/>
  <c r="S25" i="15" s="1"/>
  <c r="N24" i="15"/>
  <c r="S24" i="15" s="1"/>
  <c r="N23" i="15"/>
  <c r="S23" i="15" s="1"/>
  <c r="L22" i="15"/>
  <c r="Q22" i="15" s="1"/>
  <c r="S39" i="14"/>
  <c r="N39" i="14"/>
  <c r="S38" i="14"/>
  <c r="N38" i="14"/>
  <c r="N37" i="14"/>
  <c r="S37" i="14" s="1"/>
  <c r="M37" i="14"/>
  <c r="R37" i="14" s="1"/>
  <c r="S36" i="14"/>
  <c r="N34" i="14"/>
  <c r="S34" i="14" s="1"/>
  <c r="N33" i="14"/>
  <c r="S33" i="14" s="1"/>
  <c r="N31" i="14"/>
  <c r="S31" i="14" s="1"/>
  <c r="N30" i="14"/>
  <c r="S30" i="14" s="1"/>
  <c r="N29" i="14"/>
  <c r="S29" i="14" s="1"/>
  <c r="N28" i="14"/>
  <c r="S28" i="14" s="1"/>
  <c r="S27" i="14"/>
  <c r="N27" i="14"/>
  <c r="N26" i="14"/>
  <c r="N25" i="14"/>
  <c r="S25" i="14" s="1"/>
  <c r="N24" i="14"/>
  <c r="S24" i="14" s="1"/>
  <c r="N23" i="14"/>
  <c r="S23" i="14" s="1"/>
  <c r="L22" i="14"/>
  <c r="Q22" i="14" s="1"/>
  <c r="S10" i="14"/>
  <c r="N42" i="13"/>
  <c r="S42" i="13" s="1"/>
  <c r="S41" i="13"/>
  <c r="N41" i="13"/>
  <c r="S40" i="13"/>
  <c r="N40" i="13"/>
  <c r="N38" i="13"/>
  <c r="S38" i="13" s="1"/>
  <c r="N37" i="13"/>
  <c r="S37" i="13" s="1"/>
  <c r="N36" i="13"/>
  <c r="S36" i="13" s="1"/>
  <c r="S35" i="13"/>
  <c r="N35" i="13"/>
  <c r="N34" i="13"/>
  <c r="S34" i="13" s="1"/>
  <c r="N33" i="13"/>
  <c r="S33" i="13" s="1"/>
  <c r="N31" i="13"/>
  <c r="S31" i="13" s="1"/>
  <c r="N30" i="13"/>
  <c r="S30" i="13" s="1"/>
  <c r="N29" i="13"/>
  <c r="S29" i="13" s="1"/>
  <c r="N28" i="13"/>
  <c r="S28" i="13" s="1"/>
  <c r="N27" i="13"/>
  <c r="N26" i="13"/>
  <c r="N25" i="13"/>
  <c r="S25" i="13" s="1"/>
  <c r="N24" i="13"/>
  <c r="S24" i="13" s="1"/>
  <c r="N23" i="13"/>
  <c r="S23" i="13" s="1"/>
  <c r="L22" i="13"/>
  <c r="Q22" i="13" s="1"/>
  <c r="B15" i="12"/>
  <c r="S39" i="12"/>
  <c r="N39" i="12"/>
  <c r="S38" i="12"/>
  <c r="N38" i="12"/>
  <c r="N37" i="12"/>
  <c r="S37" i="12" s="1"/>
  <c r="M37" i="12"/>
  <c r="R37" i="12" s="1"/>
  <c r="S36" i="12"/>
  <c r="N34" i="12"/>
  <c r="S34" i="12" s="1"/>
  <c r="N33" i="12"/>
  <c r="S33" i="12" s="1"/>
  <c r="N31" i="12"/>
  <c r="S31" i="12" s="1"/>
  <c r="N30" i="12"/>
  <c r="S30" i="12" s="1"/>
  <c r="N29" i="12"/>
  <c r="S29" i="12" s="1"/>
  <c r="N28" i="12"/>
  <c r="S28" i="12" s="1"/>
  <c r="S27" i="12"/>
  <c r="N27" i="12"/>
  <c r="N26" i="12"/>
  <c r="N25" i="12"/>
  <c r="S25" i="12" s="1"/>
  <c r="N24" i="12"/>
  <c r="S24" i="12" s="1"/>
  <c r="N23" i="12"/>
  <c r="S23" i="12" s="1"/>
  <c r="L22" i="12"/>
  <c r="Q22" i="12" s="1"/>
  <c r="S10" i="12"/>
  <c r="N42" i="11"/>
  <c r="S42" i="11" s="1"/>
  <c r="S41" i="11"/>
  <c r="N41" i="11"/>
  <c r="S40" i="11"/>
  <c r="N40" i="11"/>
  <c r="N38" i="11"/>
  <c r="S38" i="11" s="1"/>
  <c r="N37" i="11"/>
  <c r="S37" i="11" s="1"/>
  <c r="N36" i="11"/>
  <c r="S36" i="11" s="1"/>
  <c r="S35" i="11"/>
  <c r="N35" i="11"/>
  <c r="N34" i="11"/>
  <c r="S34" i="11" s="1"/>
  <c r="N33" i="11"/>
  <c r="S33" i="11" s="1"/>
  <c r="N31" i="11"/>
  <c r="S31" i="11" s="1"/>
  <c r="N30" i="11"/>
  <c r="S30" i="11" s="1"/>
  <c r="N29" i="11"/>
  <c r="S29" i="11" s="1"/>
  <c r="N28" i="11"/>
  <c r="S28" i="11" s="1"/>
  <c r="N27" i="11"/>
  <c r="N26" i="11"/>
  <c r="N25" i="11"/>
  <c r="S25" i="11" s="1"/>
  <c r="N24" i="11"/>
  <c r="S24" i="11" s="1"/>
  <c r="N23" i="11"/>
  <c r="S23" i="11" s="1"/>
  <c r="L22" i="11"/>
  <c r="Q22" i="11" s="1"/>
  <c r="S27" i="10" l="1"/>
  <c r="S35" i="9"/>
  <c r="N35" i="9"/>
  <c r="B15" i="10" l="1"/>
  <c r="S39" i="10"/>
  <c r="N39" i="10"/>
  <c r="S38" i="10"/>
  <c r="N38" i="10"/>
  <c r="N37" i="10"/>
  <c r="S37" i="10" s="1"/>
  <c r="M37" i="10"/>
  <c r="R37" i="10" s="1"/>
  <c r="S36" i="10"/>
  <c r="N34" i="10"/>
  <c r="S34" i="10" s="1"/>
  <c r="N33" i="10"/>
  <c r="S33" i="10" s="1"/>
  <c r="N31" i="10"/>
  <c r="S31" i="10" s="1"/>
  <c r="N30" i="10"/>
  <c r="S30" i="10" s="1"/>
  <c r="N29" i="10"/>
  <c r="S29" i="10" s="1"/>
  <c r="N28" i="10"/>
  <c r="S28" i="10" s="1"/>
  <c r="N27" i="10"/>
  <c r="N26" i="10"/>
  <c r="N25" i="10"/>
  <c r="S25" i="10" s="1"/>
  <c r="N24" i="10"/>
  <c r="S24" i="10" s="1"/>
  <c r="N23" i="10"/>
  <c r="S23" i="10" s="1"/>
  <c r="L22" i="10"/>
  <c r="Q22" i="10" s="1"/>
  <c r="S10" i="10"/>
  <c r="N42" i="9"/>
  <c r="S42" i="9" s="1"/>
  <c r="S41" i="9"/>
  <c r="N41" i="9"/>
  <c r="S40" i="9"/>
  <c r="N40" i="9"/>
  <c r="N38" i="9"/>
  <c r="S38" i="9" s="1"/>
  <c r="N37" i="9"/>
  <c r="S37" i="9" s="1"/>
  <c r="N36" i="9"/>
  <c r="S36" i="9" s="1"/>
  <c r="N34" i="9"/>
  <c r="S34" i="9" s="1"/>
  <c r="N33" i="9"/>
  <c r="S33" i="9" s="1"/>
  <c r="N31" i="9"/>
  <c r="S31" i="9" s="1"/>
  <c r="N30" i="9"/>
  <c r="S30" i="9" s="1"/>
  <c r="N29" i="9"/>
  <c r="S29" i="9" s="1"/>
  <c r="N28" i="9"/>
  <c r="S28" i="9" s="1"/>
  <c r="N27" i="9"/>
  <c r="N26" i="9"/>
  <c r="N25" i="9"/>
  <c r="S25" i="9" s="1"/>
  <c r="N24" i="9"/>
  <c r="S24" i="9" s="1"/>
  <c r="N23" i="9"/>
  <c r="S23" i="9" s="1"/>
  <c r="L22" i="9"/>
  <c r="Q22" i="9" s="1"/>
  <c r="S39" i="8" l="1"/>
  <c r="S38" i="8"/>
  <c r="S36" i="8"/>
  <c r="N39" i="8"/>
  <c r="N38" i="8"/>
  <c r="N37" i="8"/>
  <c r="S37" i="8" s="1"/>
  <c r="S38" i="7"/>
  <c r="S37" i="7"/>
  <c r="N38" i="1"/>
  <c r="S38" i="1" s="1"/>
  <c r="N35" i="1"/>
  <c r="S35" i="1" s="1"/>
  <c r="N34" i="1"/>
  <c r="S34" i="1" s="1"/>
  <c r="N33" i="1"/>
  <c r="S33" i="1" s="1"/>
  <c r="N31" i="1"/>
  <c r="S31" i="1" s="1"/>
  <c r="N30" i="1"/>
  <c r="S30" i="1" s="1"/>
  <c r="N28" i="1"/>
  <c r="S28" i="1" s="1"/>
  <c r="N27" i="1"/>
  <c r="S27" i="1" s="1"/>
  <c r="N26" i="1"/>
  <c r="S26" i="1" s="1"/>
  <c r="N25" i="1"/>
  <c r="S25" i="1" s="1"/>
  <c r="N24" i="1"/>
  <c r="N23" i="1"/>
  <c r="N22" i="1"/>
  <c r="S22" i="1" s="1"/>
  <c r="N21" i="1"/>
  <c r="S21" i="1" s="1"/>
  <c r="N20" i="1"/>
  <c r="S20" i="1" s="1"/>
  <c r="B15" i="8"/>
  <c r="N35" i="7"/>
  <c r="S35" i="7" s="1"/>
  <c r="N34" i="7"/>
  <c r="S34" i="7" s="1"/>
  <c r="N33" i="7"/>
  <c r="S33" i="7" s="1"/>
  <c r="N31" i="7"/>
  <c r="S31" i="7" s="1"/>
  <c r="N30" i="7"/>
  <c r="S30" i="7" s="1"/>
  <c r="N28" i="7"/>
  <c r="S28" i="7" s="1"/>
  <c r="N27" i="7"/>
  <c r="S27" i="7" s="1"/>
  <c r="N26" i="7"/>
  <c r="S26" i="7" s="1"/>
  <c r="N25" i="7"/>
  <c r="S25" i="7" s="1"/>
  <c r="N24" i="7"/>
  <c r="N23" i="7"/>
  <c r="N22" i="7"/>
  <c r="S22" i="7" s="1"/>
  <c r="N21" i="7"/>
  <c r="S21" i="7" s="1"/>
  <c r="N20" i="7"/>
  <c r="S20" i="7" s="1"/>
  <c r="S14" i="8"/>
  <c r="O14" i="8"/>
  <c r="L14" i="8"/>
  <c r="H14" i="8"/>
  <c r="E14" i="8"/>
  <c r="B14" i="8"/>
  <c r="R12" i="8"/>
  <c r="O12" i="8"/>
  <c r="L12" i="8"/>
  <c r="M37" i="8"/>
  <c r="R37" i="8" s="1"/>
  <c r="N34" i="8"/>
  <c r="S34" i="8" s="1"/>
  <c r="N33" i="8"/>
  <c r="S33" i="8" s="1"/>
  <c r="N31" i="8"/>
  <c r="S31" i="8" s="1"/>
  <c r="N30" i="8"/>
  <c r="S30" i="8" s="1"/>
  <c r="N29" i="8"/>
  <c r="S29" i="8" s="1"/>
  <c r="N28" i="8"/>
  <c r="S28" i="8" s="1"/>
  <c r="N27" i="8"/>
  <c r="N26" i="8"/>
  <c r="N25" i="8"/>
  <c r="S25" i="8" s="1"/>
  <c r="N24" i="8"/>
  <c r="S24" i="8" s="1"/>
  <c r="N23" i="8"/>
  <c r="S23" i="8" s="1"/>
  <c r="L22" i="8"/>
  <c r="Q22" i="8" s="1"/>
  <c r="S10" i="8"/>
  <c r="N39" i="7"/>
  <c r="S39" i="7" s="1"/>
  <c r="N38" i="7"/>
  <c r="N37" i="7"/>
  <c r="L19" i="7"/>
  <c r="Q19" i="7" s="1"/>
  <c r="N32" i="5" l="1"/>
  <c r="S32" i="5" s="1"/>
  <c r="N31" i="5"/>
  <c r="S31" i="5" s="1"/>
  <c r="N29" i="5"/>
  <c r="S29" i="5" s="1"/>
  <c r="N28" i="5"/>
  <c r="S28" i="5" s="1"/>
  <c r="N27" i="5"/>
  <c r="S27" i="5" s="1"/>
  <c r="N26" i="5"/>
  <c r="S26" i="5" s="1"/>
  <c r="N25" i="5"/>
  <c r="N24" i="5"/>
  <c r="N23" i="5"/>
  <c r="S23" i="5" s="1"/>
  <c r="N22" i="5"/>
  <c r="S22" i="5" s="1"/>
  <c r="N21" i="5"/>
  <c r="S21" i="5" s="1"/>
  <c r="N35" i="5"/>
  <c r="S35" i="5" s="1"/>
  <c r="M35" i="5"/>
  <c r="R35" i="5" s="1"/>
  <c r="L20" i="5" l="1"/>
  <c r="Q20" i="5" s="1"/>
  <c r="L19" i="1"/>
  <c r="Q19" i="1" s="1"/>
  <c r="N39" i="1" l="1"/>
  <c r="S39" i="1" s="1"/>
  <c r="N37" i="1"/>
  <c r="S37" i="1" s="1"/>
  <c r="B13" i="5" l="1"/>
  <c r="R12" i="5" l="1"/>
  <c r="N12" i="5" l="1"/>
  <c r="J12" i="5"/>
  <c r="G12" i="5"/>
  <c r="E12" i="5"/>
  <c r="B12" i="5"/>
  <c r="R10" i="5"/>
  <c r="N10" i="5"/>
  <c r="J10" i="5"/>
  <c r="G10" i="5"/>
  <c r="E10" i="5"/>
  <c r="B10" i="5"/>
</calcChain>
</file>

<file path=xl/sharedStrings.xml><?xml version="1.0" encoding="utf-8"?>
<sst xmlns="http://schemas.openxmlformats.org/spreadsheetml/2006/main" count="6769" uniqueCount="918">
  <si>
    <t>Current Goals</t>
  </si>
  <si>
    <t>Logo</t>
  </si>
  <si>
    <t>Preparatory</t>
  </si>
  <si>
    <t>General Preparation</t>
  </si>
  <si>
    <t>Technical Development</t>
  </si>
  <si>
    <t xml:space="preserve">Accumulation </t>
  </si>
  <si>
    <t>Dynamic</t>
  </si>
  <si>
    <t>1x20</t>
  </si>
  <si>
    <t>Explosiv Block</t>
  </si>
  <si>
    <t>TEMPO</t>
  </si>
  <si>
    <t>RPE</t>
  </si>
  <si>
    <t>SxR</t>
  </si>
  <si>
    <t>EXPL</t>
  </si>
  <si>
    <t>8-9</t>
  </si>
  <si>
    <t>3x5</t>
  </si>
  <si>
    <t>1x30s</t>
  </si>
  <si>
    <t>BW</t>
  </si>
  <si>
    <t>1x20s</t>
  </si>
  <si>
    <t>1x25s</t>
  </si>
  <si>
    <t>TGU ROLL TO 1-ARM PRESS</t>
  </si>
  <si>
    <t>1KB SUITCASE CARRY</t>
  </si>
  <si>
    <t>ANKLE ROCKERS WIPERS</t>
  </si>
  <si>
    <t>ANKLE SKIPS</t>
  </si>
  <si>
    <t xml:space="preserve">1-LEG DROP &amp; CATCH </t>
  </si>
  <si>
    <t>SQUAT JUMP W/PASSIVE ELASTIC</t>
  </si>
  <si>
    <t>ANKLE JUMPS - DOUBLE CONTACT</t>
  </si>
  <si>
    <t>KB/BW GOBLET SQUAT</t>
  </si>
  <si>
    <t>PLANK</t>
  </si>
  <si>
    <t>BW BOTTON-UP SPLIT SQUAT</t>
  </si>
  <si>
    <t>2-LEG GLUTE BRIDGE</t>
  </si>
  <si>
    <t>KN SIDE PLANK</t>
  </si>
  <si>
    <t>1-LEG STANCE</t>
  </si>
  <si>
    <t>1/2-KN ANTIROTATION HOLD - BAND</t>
  </si>
  <si>
    <t>SIDELYING LEG HIP ABDUKTION</t>
  </si>
  <si>
    <t>SIDELYING LEG HIP ADDUKTION</t>
  </si>
  <si>
    <t>SEATED TIBIA BAND RAISE</t>
  </si>
  <si>
    <t>ISO HOLD SPLIT SQUAT</t>
  </si>
  <si>
    <t>1x25s/ea</t>
  </si>
  <si>
    <t>1KB 1-ARM RACK CARRY</t>
  </si>
  <si>
    <t>1KB BOTTOM-UP WAITER CARRY</t>
  </si>
  <si>
    <t>2KB BOTTOM-UP WAITER CARRY</t>
  </si>
  <si>
    <t>1KB OVERHEAD CARRY</t>
  </si>
  <si>
    <t>SANDBAG BEAR HUG CARRY</t>
  </si>
  <si>
    <t>2KB RACK CARRY</t>
  </si>
  <si>
    <t>2KB SUITCASE CARRY</t>
  </si>
  <si>
    <t>OVERHEAD/ SUITCASE CROSS CARRY</t>
  </si>
  <si>
    <t>SANDBAG OVER SHOULDER CARRY</t>
  </si>
  <si>
    <t>SANDBAG ELBOW CROOK CARRY</t>
  </si>
  <si>
    <t>PLANK - SWITCH IN FRONT</t>
  </si>
  <si>
    <t>PLANK - SANDBAG PULL THROUGH</t>
  </si>
  <si>
    <t>PLANK - SWITCH ON BACK</t>
  </si>
  <si>
    <t>PB ROLL-OUT</t>
  </si>
  <si>
    <t>KNEES ELEVATED PB ROLL-OUT</t>
  </si>
  <si>
    <t>AB-WHEEL ROLL-OUT</t>
  </si>
  <si>
    <t>BB ROLL-OUT</t>
  </si>
  <si>
    <t>KNEES ELEVATED BB ROLL-OUT</t>
  </si>
  <si>
    <t>VS BODY SAW - 1-LEG</t>
  </si>
  <si>
    <t>BB RESISTED ROLL-OUT</t>
  </si>
  <si>
    <t>VS STRAIGHT ARM BODY SAW</t>
  </si>
  <si>
    <t>PB STIR THE POT</t>
  </si>
  <si>
    <t>FEET ELEVATED PB STIR THE POT</t>
  </si>
  <si>
    <t>REACTIVE 1-LEG MEDIAL HOP - TO BOX (NCM)</t>
  </si>
  <si>
    <t>1-LEG LATERAL HOP - TO BOX (CM)</t>
  </si>
  <si>
    <t>1-LEG MEDIAL HOP - TO BOX (CM)</t>
  </si>
  <si>
    <t>REACTIVE 1-LEG LATERAL HOP - TO BOX (CM)</t>
  </si>
  <si>
    <t>REACTIVE 1-LEG MEDIAL HOP - TO BOX (CM)</t>
  </si>
  <si>
    <t xml:space="preserve">1-LEG LATERAL HOP - TO BOX (NCM) </t>
  </si>
  <si>
    <t xml:space="preserve">1-LEG MEDIAL HOP - TO BOX (NCM) </t>
  </si>
  <si>
    <t xml:space="preserve">1-LEG LINEAR HOP - TO BOX (NCM) </t>
  </si>
  <si>
    <t xml:space="preserve">REACTIVE 1-LEG LATERAL HOP - TO BOX (NCM) </t>
  </si>
  <si>
    <t xml:space="preserve">KB GOBLET SQUAT (CURL) </t>
  </si>
  <si>
    <t xml:space="preserve">KB GOBLET SQUAT (PRESS OUT) </t>
  </si>
  <si>
    <t xml:space="preserve">KB GOBLET SQUAT (CURL &amp; PRESS) </t>
  </si>
  <si>
    <t>1-ARM 1KB SUMO DL</t>
  </si>
  <si>
    <t>TRAP BAR DL</t>
  </si>
  <si>
    <t>SIDE PLANK</t>
  </si>
  <si>
    <t>FT ELEVATED SIDE PLANK</t>
  </si>
  <si>
    <t>BENCH OBLIQUE ISO HOLD - CHEST</t>
  </si>
  <si>
    <t>BENCH OBLIQUE ISO HOLD - HEAD</t>
  </si>
  <si>
    <t>BENCH OBLIQUE ISO HOLD - OH</t>
  </si>
  <si>
    <t>LOADED BENCH OBLIQUE ISO HOLD - CHEST</t>
  </si>
  <si>
    <t>LOADED BENCH OBLIQUE ISO HOLD - HEAD</t>
  </si>
  <si>
    <t>LOADED BENCH OBLIQUE ISO HOLD - OH</t>
  </si>
  <si>
    <t>BENCH OBLIQUE ISO HOLD - CHEST PRESS</t>
  </si>
  <si>
    <t>BENCH OBLIQUE ISO HOLD - OH PRESS</t>
  </si>
  <si>
    <t>BENCH OBLIQUE ISO HOLD - OH LIFT</t>
  </si>
  <si>
    <t>BENCH OBLIQUE ISO HOLD - CHEST PASS</t>
  </si>
  <si>
    <t>BENCH OBLIQUE ISO HOLD - OH PASS</t>
  </si>
  <si>
    <t>BENCH OBLIQUE ISO HOLD - OH TOSS</t>
  </si>
  <si>
    <t>1/2-KN ANTI-ROTATION PRESS</t>
  </si>
  <si>
    <t>TK ANTI-ROTATION HOLD</t>
  </si>
  <si>
    <t>TK ANTI-ROTATION PRESS</t>
  </si>
  <si>
    <t>STAGGERED ANTI-ROTATION PRESS</t>
  </si>
  <si>
    <t>ANKLE JUMPS</t>
  </si>
  <si>
    <t>DROP ANKLE JUMP - LOW</t>
  </si>
  <si>
    <t>DROP ANKLE JUMP - OFF BOX TO BOX</t>
  </si>
  <si>
    <t>DROP ANKLE JUMP - 12 INCHES</t>
  </si>
  <si>
    <t>RESISTED ANKLE JUMPS</t>
  </si>
  <si>
    <t>ASSISTED ANKLE JUMPS</t>
  </si>
  <si>
    <t>SPLIT ANKLE JUMPS - DC</t>
  </si>
  <si>
    <t>STANDING SIDELYING LEG HIP ADDUKTION</t>
  </si>
  <si>
    <t>1/2-KN ARM MEDBALL SIDE TOSS - 90°</t>
  </si>
  <si>
    <t>SPLIT STANCE MEDBALL SIDE TOSS - PARALLEL</t>
  </si>
  <si>
    <t>SPLIT STANCE MEDBALL SIDE TOSS - 90°</t>
  </si>
  <si>
    <t>SPLIT SQUAT MEDBALL SIDE TOSS - 90°</t>
  </si>
  <si>
    <t>SPLIT SQUAT MEDBALL SIDE TOSS - PARALLEL</t>
  </si>
  <si>
    <t>1-LEG MEDBALL SIDE TOSS - PARALLEL</t>
  </si>
  <si>
    <t>1-LEG MEDBALL SIDE TOSS - 90°</t>
  </si>
  <si>
    <t>1/2-KN ARM MEDBALL SIDE TOSS AND CATCH - 90°</t>
  </si>
  <si>
    <t xml:space="preserve">1/2-KN ARM MEDBALL SIDE TOSS - PARALLEL </t>
  </si>
  <si>
    <t>SPLIT STANCE MEDBALL SIDE TOSS AND CATCH - PARALLEL</t>
  </si>
  <si>
    <t>SPLIT STANCE MEDBALL SIDE TOSS AND CATCH - 90°</t>
  </si>
  <si>
    <t>SPLIT SQUAT MEDBALL SIDE TOSS AND CATCH - PARALLEL</t>
  </si>
  <si>
    <t>SPLIT SQUAT MEDBALL SIDE TOSS AND CATCH - 90°</t>
  </si>
  <si>
    <t>1-LEG MEDBALL SIDE TOSS AND CATCH - PARALLEL</t>
  </si>
  <si>
    <t>1-LEG MEDBALL SIDE TOSS AND CATCH - 90°</t>
  </si>
  <si>
    <t>Block 1</t>
  </si>
  <si>
    <t xml:space="preserve">2-LEG DROP &amp; CATCH </t>
  </si>
  <si>
    <t>ANKLE MARCH</t>
  </si>
  <si>
    <t>1x30s/ea</t>
  </si>
  <si>
    <t>1-LEG A-SKIP</t>
  </si>
  <si>
    <t>TGU - ELBOW TO POST</t>
  </si>
  <si>
    <t>ANKLE ROCKER 1/2-KN</t>
  </si>
  <si>
    <t>SPLIT TOE STANCE</t>
  </si>
  <si>
    <t>A-SKIP</t>
  </si>
  <si>
    <t>CMJ W/PASSIVE ELASTIC</t>
  </si>
  <si>
    <t>TGU - ELBOW TO HIGH PELVIS</t>
  </si>
  <si>
    <t>ANKLE ROCKER SHUFFLE</t>
  </si>
  <si>
    <t>SQUAT TOE STANCE</t>
  </si>
  <si>
    <t>ANKLE BOUNDS</t>
  </si>
  <si>
    <t>1-LEG B-SKIP</t>
  </si>
  <si>
    <t>SQUAT JUMP - DC</t>
  </si>
  <si>
    <t>ANKLE ROCKER SPLIT SQUAT</t>
  </si>
  <si>
    <t>LATERAL ANKLE MARCH</t>
  </si>
  <si>
    <t>B-SKIP</t>
  </si>
  <si>
    <t>LATERAL ANKLE SKIP</t>
  </si>
  <si>
    <t>1-LEG C-SKIP</t>
  </si>
  <si>
    <t>C-SKIP</t>
  </si>
  <si>
    <t>LATERAL SKIP</t>
  </si>
  <si>
    <t>LINEAR SKIP</t>
  </si>
  <si>
    <t>KNEE RUN</t>
  </si>
  <si>
    <t>1-ARM PRESS TO ELBOW</t>
  </si>
  <si>
    <t>TGU - POST TO HIGH PELVIS</t>
  </si>
  <si>
    <t>TGU - HIGH PELVIS TO BEND</t>
  </si>
  <si>
    <t>TGU - BEND TO 1/2-KN.</t>
  </si>
  <si>
    <t>TGU - 1/2-KN. TO STAND</t>
  </si>
  <si>
    <t>SIDE CRAWL</t>
  </si>
  <si>
    <t>BKWD CRAWL</t>
  </si>
  <si>
    <t>PUSH UP CRAWL</t>
  </si>
  <si>
    <t>SUITCASE/ RACK CROSS CARRY</t>
  </si>
  <si>
    <t>ANKLE ROCKER 1-LEG SQUAT</t>
  </si>
  <si>
    <t>1-LEG TOE STANCE</t>
  </si>
  <si>
    <t>ANKLE POS. 1 15 SEC</t>
  </si>
  <si>
    <t>ANKLE POS. 1 30 SEC</t>
  </si>
  <si>
    <t>LATERAL BOUND</t>
  </si>
  <si>
    <t>REACTIVE SQUAT JUMP</t>
  </si>
  <si>
    <t>SQUAT JUMPS</t>
  </si>
  <si>
    <t>RESISTENT  SQUAT JUMP</t>
  </si>
  <si>
    <t>ASSISTENT  SQUAT JUMP</t>
  </si>
  <si>
    <t>ANKLE ROCKER MOONWALK</t>
  </si>
  <si>
    <t>1-LEG GLUTE BRIDGE</t>
  </si>
  <si>
    <t>2-LEG HIP THRUST</t>
  </si>
  <si>
    <t>1-LEG HIP THRUST</t>
  </si>
  <si>
    <t>LOADED 2-LEG HIP THRUST</t>
  </si>
  <si>
    <t>LOADED 1-LEG HIP THRUST</t>
  </si>
  <si>
    <t>1-LEG STANCE CLOSED EYES</t>
  </si>
  <si>
    <t xml:space="preserve">1-LEG STANCE HEAD ROTATION - EYES FOCUS </t>
  </si>
  <si>
    <t xml:space="preserve">1-LEG STANCE HEAD UP AND DOWN - EYES FOCUS </t>
  </si>
  <si>
    <t>1-LEG STANCE HEAD UP AND DOWN - DIAGONAL - EYES FOCUS</t>
  </si>
  <si>
    <t>1-LEG STANCE EYES ROTATION LEFT - RIGHT</t>
  </si>
  <si>
    <t xml:space="preserve">1-LEG STANCE EYES UP AND DOWN </t>
  </si>
  <si>
    <t xml:space="preserve">1-LEG STANCE EYES UP AND DOWN - DIAGONAL </t>
  </si>
  <si>
    <t>PUSH UP - SHOULDER TAP</t>
  </si>
  <si>
    <t>2 KB SUITCASE SPLIT SQUAT</t>
  </si>
  <si>
    <t>1 KB SUITBASE SPLIT SQUAT</t>
  </si>
  <si>
    <t>LYING MINIBAND HIP EXTERNAL ROTATION</t>
  </si>
  <si>
    <t>STANDING MINIBAND HIP EXTERNAL ROTATION</t>
  </si>
  <si>
    <t>STANDING  LEG HIP ABDUKTION</t>
  </si>
  <si>
    <t>ISO HOLD SPLIT SQUAT - HEAD ROTATION - EYES FOCUS</t>
  </si>
  <si>
    <t>ISO HOLD SPLIT SQUAT - HEAD UP AND DOWN - EYES FOCUS</t>
  </si>
  <si>
    <t>ISO HOLD SPLIT SQUAT - UP AND DOWN DIAGONAL - EYES FOCUS</t>
  </si>
  <si>
    <t>ISO HOLD 2-LEG CALF RAISE</t>
  </si>
  <si>
    <t>ISO HOLD 1-LEG CALF RAISE</t>
  </si>
  <si>
    <t>1-LEG STANDING MINIBAND HIP EXTERNAL ROTATION</t>
  </si>
  <si>
    <t>BALANCE - TGU ROLL TO 1-ARM PRESS</t>
  </si>
  <si>
    <t>BALANCE - 1-ARM PRESS TO ELBOW</t>
  </si>
  <si>
    <t>BALANCE - TGU - ELBOW TO POST</t>
  </si>
  <si>
    <t>BALANCE - TGU - ELBOW TO HIGH PELVIS</t>
  </si>
  <si>
    <t>BALANCE - TGU - POST TO HIGH PELVIS</t>
  </si>
  <si>
    <t>BALANCE - TGU - HIGH PELVIS TO BEND</t>
  </si>
  <si>
    <t>BALANCE - TGU - BEND TO 1/2-KN.</t>
  </si>
  <si>
    <t>BALANCE - TGU - 1/2-KN. TO STAND</t>
  </si>
  <si>
    <t>LOADED - TGU - 1/2-KN. TO STAND</t>
  </si>
  <si>
    <t>NAME</t>
  </si>
  <si>
    <t>1/2-KN MB OH THROW &amp; CATCH</t>
  </si>
  <si>
    <t>1/2-KN MB CHEST PASS &amp; CATCH</t>
  </si>
  <si>
    <t>1/2-KN 1-ARM CABLE/BAND PRESS</t>
  </si>
  <si>
    <t>1/2-KN 1-ARM CABLE/BAND PULLDOWN</t>
  </si>
  <si>
    <t>FOOT HAND CRAWL</t>
  </si>
  <si>
    <t>STANDING 1-ARM BAND/CABLE ROW</t>
  </si>
  <si>
    <t>STRAIGHT LEG GET UP</t>
  </si>
  <si>
    <t>STANDING BAND PULL APART</t>
  </si>
  <si>
    <t>STANDING BAND/CABLE BICEP CURL</t>
  </si>
  <si>
    <t>STANDING BAND/CABLE TRICEP CURL</t>
  </si>
  <si>
    <t>HIGH OBLIQUE SIT</t>
  </si>
  <si>
    <t>RACKET SUPINATION/PRONATION</t>
  </si>
  <si>
    <t>TENNISBALL SQUEEZE</t>
  </si>
  <si>
    <t>PRONE BENCH "T"</t>
  </si>
  <si>
    <t>PUSH UP PLANK</t>
  </si>
  <si>
    <t>1x45s</t>
  </si>
  <si>
    <t>1x60s</t>
  </si>
  <si>
    <t>SQUAT JUMP</t>
  </si>
  <si>
    <t>SQUAT JUMP - TO BOX</t>
  </si>
  <si>
    <t>1/2-KN MB OH THROW</t>
  </si>
  <si>
    <t>1/2-KN MB CHEST PASS</t>
  </si>
  <si>
    <t>CM JUMP - TO BOX</t>
  </si>
  <si>
    <t>1/2-KN MB OH THROWS</t>
  </si>
  <si>
    <t>1/2-KN MB CHEST PASSES</t>
  </si>
  <si>
    <t>CM JUMP</t>
  </si>
  <si>
    <t>1/2-KN MB OH CATCH &amp; THROW</t>
  </si>
  <si>
    <t>1-LEG MB CHEST PASS &amp; CATCH</t>
  </si>
  <si>
    <t>1-LEG MB OH THROW &amp; CATCH</t>
  </si>
  <si>
    <t>1-LEG MB CHEST PASS</t>
  </si>
  <si>
    <t>REACTIVE BOX SQUAT JUMP - TO BOX</t>
  </si>
  <si>
    <t>1-LEG MB OH THROW</t>
  </si>
  <si>
    <t>1-LEG MB CHEST PASSES</t>
  </si>
  <si>
    <t>REACTIVE BOX SQUAT JUMP</t>
  </si>
  <si>
    <t>1-LEG MB OH THROWS</t>
  </si>
  <si>
    <t>SPLIT MB CHEST PASS &amp; CATCH</t>
  </si>
  <si>
    <t>1-LEG MB OH CATCH &amp; THROW</t>
  </si>
  <si>
    <t>SPLIT MB CHEST PASS</t>
  </si>
  <si>
    <t>SPLIT MB OH THROW &amp; CATCH</t>
  </si>
  <si>
    <t>SPLIT MB CHEST PASSES</t>
  </si>
  <si>
    <t>SPLIT MB OH THROW</t>
  </si>
  <si>
    <t>STAGGERED MB CHEST PASS &amp; CATCH</t>
  </si>
  <si>
    <t>SPLIT MB OH THROWS</t>
  </si>
  <si>
    <t>STAGGERED MB CHEST PASS</t>
  </si>
  <si>
    <t>SPLIT MB OH CATCH &amp; THROW</t>
  </si>
  <si>
    <t>STAGGERED MB CHEST PASSES</t>
  </si>
  <si>
    <t>STAGGERED MB OH THROW &amp; CATCH</t>
  </si>
  <si>
    <t>BASE MB CHEST PASS &amp; CATCH</t>
  </si>
  <si>
    <t>STAGGERED MB OH THROW</t>
  </si>
  <si>
    <t>BASE MB CHEST PASS</t>
  </si>
  <si>
    <t>STAGGERED MB OH THROWS</t>
  </si>
  <si>
    <t>BASE MB CHEST PASSES</t>
  </si>
  <si>
    <t>STAGGERED MB OH CATCH &amp; THROW</t>
  </si>
  <si>
    <t>BASE MB OH THROW &amp; CATCH</t>
  </si>
  <si>
    <t>BASE MB OH THROW</t>
  </si>
  <si>
    <t>BASE MB OH THROWS</t>
  </si>
  <si>
    <t>BASE MB OH CATCH &amp; THROW</t>
  </si>
  <si>
    <t>PULL UP HANG PASSIVE LOW</t>
  </si>
  <si>
    <t>PUSH UP VARIATION</t>
  </si>
  <si>
    <t>PULL UP HANG AKTIVE LOW</t>
  </si>
  <si>
    <t>PULL UP ECC</t>
  </si>
  <si>
    <t>PUSH UP</t>
  </si>
  <si>
    <t>LOADED PUSH UP</t>
  </si>
  <si>
    <t>RESISTEND SQUAT JUMP</t>
  </si>
  <si>
    <t>RESISTEND CMJ</t>
  </si>
  <si>
    <t>ASSISTEND SQUAT JUMP</t>
  </si>
  <si>
    <t>ASSISTEND CMJ</t>
  </si>
  <si>
    <t>2-ARM TRX ROW</t>
  </si>
  <si>
    <t>1-ARM TRX ROW</t>
  </si>
  <si>
    <t>STANDING BB BICEP CURL</t>
  </si>
  <si>
    <t>LOADED ARM SUPINATION/PRONATION</t>
  </si>
  <si>
    <t>STANDING CABLE "T"</t>
  </si>
  <si>
    <t>SUPPORTED DIPS</t>
  </si>
  <si>
    <t>LOADED 2-LEG GLUTE BRIDGE</t>
  </si>
  <si>
    <t>LOADED 1-LEG GLUTE BRIDGE</t>
  </si>
  <si>
    <t>2-LEG GLUTE BRIDGE ISO HOLD</t>
  </si>
  <si>
    <t>1-LEG GLUTE BRIDGE ISO HOLD</t>
  </si>
  <si>
    <t>LOADED 2-LEG GLUTE BRIDGE ISO HOLD</t>
  </si>
  <si>
    <t>LOADED 1-LEG GLUTE BRIDGE ISO HOLD</t>
  </si>
  <si>
    <t>FOOT ELBOW CRAWL</t>
  </si>
  <si>
    <t>3x10s</t>
  </si>
  <si>
    <t>PRONE BENCH "W"</t>
  </si>
  <si>
    <t>PRONE BENCH "V"</t>
  </si>
  <si>
    <t>TRX PUSH UP</t>
  </si>
  <si>
    <t>BOSU PUSH UP</t>
  </si>
  <si>
    <t>PULL UP</t>
  </si>
  <si>
    <t>BAND SUPPORTED PULL UP</t>
  </si>
  <si>
    <t>LOADED PULL UP</t>
  </si>
  <si>
    <t>1-KB 3 POINT HINGE ROW</t>
  </si>
  <si>
    <t>KB PRONE BENCH ROW</t>
  </si>
  <si>
    <t>2 ARM TRX ROW</t>
  </si>
  <si>
    <t>1 ARM TRX ROW</t>
  </si>
  <si>
    <t>1-KB 2 POINT 1 -LEG HINGE ROW</t>
  </si>
  <si>
    <t>Level</t>
  </si>
  <si>
    <t>Level 4</t>
  </si>
  <si>
    <t>1x15s</t>
  </si>
  <si>
    <t>1x15s/ea</t>
  </si>
  <si>
    <t>1x45s/ea</t>
  </si>
  <si>
    <t>1x60s/ea</t>
  </si>
  <si>
    <t>3x10s/ea</t>
  </si>
  <si>
    <t>BW SQUAT TO TOUCH BOX</t>
  </si>
  <si>
    <t>HEARTBEAT SQUAT</t>
  </si>
  <si>
    <t>LOADED FOOT HAND CRAWL</t>
  </si>
  <si>
    <t>LOADED DIPS</t>
  </si>
  <si>
    <t>FLEXBAR WRING</t>
  </si>
  <si>
    <t>LOADED ANKLE MARCH</t>
  </si>
  <si>
    <t>LOADED ANKLE SKIPS</t>
  </si>
  <si>
    <t>LOADED ANKLE BOUNDS</t>
  </si>
  <si>
    <t>LOADED LATERAL ANKLE MARCH</t>
  </si>
  <si>
    <t>LOADED LATERAL ANKLE SKIP</t>
  </si>
  <si>
    <t>LOADED LATERAL BOUND</t>
  </si>
  <si>
    <t>2KB SUITCASE SPLIT SQUAT RFESS</t>
  </si>
  <si>
    <t>1-LEG STANCE 1KB LEG ROTATION</t>
  </si>
  <si>
    <t>1-LEG STANCE 1KB AROUND HEAD ROTATION</t>
  </si>
  <si>
    <t>KN COPENHAGEN PLANK BENCH</t>
  </si>
  <si>
    <t>FOOT COPENHAGENPLANK BENCH</t>
  </si>
  <si>
    <t>SIDE MARCH WITH MINIBANDS</t>
  </si>
  <si>
    <t>Level 7</t>
  </si>
  <si>
    <t>2x12s/ea</t>
  </si>
  <si>
    <t>Squat</t>
  </si>
  <si>
    <t>Deadlift</t>
  </si>
  <si>
    <t>Plank</t>
  </si>
  <si>
    <t>Side Plank</t>
  </si>
  <si>
    <t>Balance</t>
  </si>
  <si>
    <t>Antirotation</t>
  </si>
  <si>
    <t>SPLIT SQUAT DROP AND CATCH</t>
  </si>
  <si>
    <t>SPLIT SQUAT DROP AND CATCH -ROTATION OPEN</t>
  </si>
  <si>
    <t>SPLIT SQUAT DROP AND CATCH -ROTATION CLOSED</t>
  </si>
  <si>
    <t>LOADED SPLIT SQUAT DROP AND CATCH -ROTATION OPEN</t>
  </si>
  <si>
    <t>LOADED SPLIT SQUAT DROP AND CATCH -ROTATION CLOSED</t>
  </si>
  <si>
    <t>ANKLE POS. 1 45 SEC</t>
  </si>
  <si>
    <t>ANKLE POS. 2 15 SEC</t>
  </si>
  <si>
    <t>ANKLE POS. 2 30 SEC</t>
  </si>
  <si>
    <t>ANKLE POS. 3 45 SEC</t>
  </si>
  <si>
    <t>SEATED CALF RAISE 90° MAX FORCE 15 SEC</t>
  </si>
  <si>
    <t>BEAR CRAWL STRAIGHT LEGS</t>
  </si>
  <si>
    <t>CIRCLE CRAWL</t>
  </si>
  <si>
    <t>CRAB CRAWL</t>
  </si>
  <si>
    <t>SIDEWAY CRAB CRAWL</t>
  </si>
  <si>
    <t>GORILLA CRAWL</t>
  </si>
  <si>
    <t>SIDEWAY GORILLA CRAWL</t>
  </si>
  <si>
    <t>ALLIGATOR CRAWL</t>
  </si>
  <si>
    <t>CRAWL WITH SIT THROUGH</t>
  </si>
  <si>
    <t>CRAWL WITH PULL THROUGH</t>
  </si>
  <si>
    <t>2x30s/ea</t>
  </si>
  <si>
    <t>1-LEG HAMSTRING BRIDGE</t>
  </si>
  <si>
    <t>LOADED 1-LEG HAMSTRING BRIDGE</t>
  </si>
  <si>
    <t>LOADED 1-LEG A-SKIP</t>
  </si>
  <si>
    <t>LOADED A-SKIP</t>
  </si>
  <si>
    <t>LOADED 1-LEG B-SKIP</t>
  </si>
  <si>
    <t>LOADED B-SKIP</t>
  </si>
  <si>
    <t>LOADED C-SKIP</t>
  </si>
  <si>
    <t>LOADED LATERAL SKIP</t>
  </si>
  <si>
    <t>LANDMINE 1-LEG DEADLIFT TO BOX</t>
  </si>
  <si>
    <t>1KB 1-LEG DEADLIFT TO BOX</t>
  </si>
  <si>
    <t>LANDMINE 1-LEG DEADLIFT</t>
  </si>
  <si>
    <t>1KB 1-LEG DEADLIFT</t>
  </si>
  <si>
    <t>2KB 1-LEG DEADLIFT TO BOX</t>
  </si>
  <si>
    <t>1/2-KN OVERHEAD PRESS</t>
  </si>
  <si>
    <t>Block 2</t>
  </si>
  <si>
    <t>1/2-KN LANDMINE PRESS-ISO HOLD</t>
  </si>
  <si>
    <t>2-LEG ROPE SKIPPINGS</t>
  </si>
  <si>
    <t>1-LEG ROPE SKIPPING</t>
  </si>
  <si>
    <t>2-LEG ROPE SKIPPINGS - 3 CONTACTS</t>
  </si>
  <si>
    <t>DOUBLE JUMP 2-LEG ROPE SKIPPING</t>
  </si>
  <si>
    <t>LEVEL A</t>
  </si>
  <si>
    <t>LEVEL B</t>
  </si>
  <si>
    <t>LEVEL C</t>
  </si>
  <si>
    <t>LEVEL D</t>
  </si>
  <si>
    <t>LEVEL E</t>
  </si>
  <si>
    <t>PEZZIBALL SUPPORTED SQUAT - WALL</t>
  </si>
  <si>
    <t>BW RACK SQUAT</t>
  </si>
  <si>
    <t>KB GOBLET SQUAT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</si>
  <si>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</si>
  <si>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</si>
  <si>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</si>
  <si>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</si>
  <si>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</si>
  <si>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</si>
  <si>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</si>
  <si>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</si>
  <si>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</si>
  <si>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</si>
  <si>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</si>
  <si>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LEVEL 12</t>
  </si>
  <si>
    <t>LEVEL 13</t>
  </si>
  <si>
    <t>LEVEL 14</t>
  </si>
  <si>
    <t>LEVEL 15</t>
  </si>
  <si>
    <t>LEVEL 16</t>
  </si>
  <si>
    <t>BW SQUAT TO TOUCH SIT ON BOX</t>
  </si>
  <si>
    <t>SPLIT STANCE BASKETBALL SIDE TOSS AND CATCH - PARALLEL</t>
  </si>
  <si>
    <t>HIP HINGE WITH STICK</t>
  </si>
  <si>
    <t>HINGE TO KB TOUCH (KB SUMO DEADLIFT)</t>
  </si>
  <si>
    <t>HINGE TO CRUSH HANDLE (KB SUMO DEADLIFT)</t>
  </si>
  <si>
    <t>1 KB DEADLIFT</t>
  </si>
  <si>
    <t>BW 1-ARM OVERHEAD SQUAT</t>
  </si>
  <si>
    <t>PUSH UP PLANK TENNISBALL CATCH</t>
  </si>
  <si>
    <t>DEAD BUG</t>
  </si>
  <si>
    <t>BW SPLIT SQUAT TO TOUCH GROUND WITH STICK</t>
  </si>
  <si>
    <t>BW STEP FORWARD SPLIT SQUAT TO GROUND WITH STICK</t>
  </si>
  <si>
    <t xml:space="preserve">BW BULGARIAN SPLIT SQUAT </t>
  </si>
  <si>
    <t>KB GOBLET SPLIT SQUAT</t>
  </si>
  <si>
    <t>LEVEL F</t>
  </si>
  <si>
    <t>STICK DEADLIFT</t>
  </si>
  <si>
    <t>HINGE TO SNIFF AIR  (KB SUMO DEADLIFT)</t>
  </si>
  <si>
    <t>2-LEG MARCHING GLUTE BRIDGE</t>
  </si>
  <si>
    <t>2-LEG MARCHING FORWARD GLUTE BRIDGE</t>
  </si>
  <si>
    <t>2-LEG MARCHING FORWARD GLUTE BRIDGE WITH BLACKROLL</t>
  </si>
  <si>
    <t>2-LEG CURL WITH PEZZIBALL</t>
  </si>
  <si>
    <t>FT ELEVATED SIDE PLANK - BLACKROLL</t>
  </si>
  <si>
    <t>SIDE PLANK ROTATIONS</t>
  </si>
  <si>
    <t>SAFTYBAR BACK SQUAT</t>
  </si>
  <si>
    <t>1-ARM 1KB RACK SQUAT</t>
  </si>
  <si>
    <t>1-ARM 1KB OVERHEAD SQUAT</t>
  </si>
  <si>
    <t>2-ARM 2KB RACK SQUAT</t>
  </si>
  <si>
    <t xml:space="preserve">SIDE PLANK WITH LEG ABDUCTION </t>
  </si>
  <si>
    <t xml:space="preserve">SIDELYING MINIBAND HIP EXTERNAL RORATION </t>
  </si>
  <si>
    <t>1-LEG MINIBAND PEZZIBALL EXTERNAL ROTATION</t>
  </si>
  <si>
    <t>SPLIT STANCE</t>
  </si>
  <si>
    <t>SPLIT STANCE CLOSED EYES</t>
  </si>
  <si>
    <t>SIDE MARCH WITH MINIBAND OVER KNEE</t>
  </si>
  <si>
    <t>SIDE MARCH WITH MINIBAND OVER ANKLES</t>
  </si>
  <si>
    <t>SIDE MARCH WITH MINIBAND OVER FOOT</t>
  </si>
  <si>
    <t xml:space="preserve">SIDE MARCH WITH MINIBAND OVER KNEE HEAVY BAND </t>
  </si>
  <si>
    <t>Ankle Jumps</t>
  </si>
  <si>
    <t>Split Squat</t>
  </si>
  <si>
    <t>Bridging</t>
  </si>
  <si>
    <t>Hip External Rotation</t>
  </si>
  <si>
    <t>Hip/Leg Abduktion</t>
  </si>
  <si>
    <t>Hip/Leg Adduction</t>
  </si>
  <si>
    <t>FOOT COPENHAGEN PLANK BLACKROLL</t>
  </si>
  <si>
    <t>FOOT COPENHAGEN PLANK TRX</t>
  </si>
  <si>
    <t>FOOT COPENHAGENPLANK PEZZIBALL</t>
  </si>
  <si>
    <t>1/2-KN ANTI-ROTATION PRESS TO OVERHEAD</t>
  </si>
  <si>
    <t>TK ANTI-ROTATION PRESS TO OVERHEAD</t>
  </si>
  <si>
    <t>STAGGERED ANTI-ROTATION PRESS OVER HEAD</t>
  </si>
  <si>
    <t>BASE POSITION ANTI-ROTATION HOLD</t>
  </si>
  <si>
    <t>BASE POSITION ANTI-ROTATION PRESS</t>
  </si>
  <si>
    <t>BASE POSITION ANTI-ROTATION PRESS OVER HEAD</t>
  </si>
  <si>
    <t>SPLIT SQUAT ANTI-ROTATION HOLD</t>
  </si>
  <si>
    <t>SPLIT SQUAT ANTI-ROTATION PRESS</t>
  </si>
  <si>
    <t>SPLIT SQUAT ANTI-ROTATION PRESS TO OVERHEAD</t>
  </si>
  <si>
    <t>Calf Raise</t>
  </si>
  <si>
    <t>2-LEG CALF RAISES</t>
  </si>
  <si>
    <t>1-LEG CALF RAISES</t>
  </si>
  <si>
    <t>Tibialis Raise</t>
  </si>
  <si>
    <t>WALL TIBIALIS RAISES 45°</t>
  </si>
  <si>
    <t>TIBIALIS RAISES TOUCHING WALL WITH TOES</t>
  </si>
  <si>
    <t>LOADED 2-LEG CALF RAISES</t>
  </si>
  <si>
    <t>ISO Hold Calf Raise</t>
  </si>
  <si>
    <t>ISO Hold Split Squat</t>
  </si>
  <si>
    <t>ISO Hold Bridging</t>
  </si>
  <si>
    <t>ISO HOLD SPLIT SQUAT TOE STAND</t>
  </si>
  <si>
    <t>Squat Jump</t>
  </si>
  <si>
    <t>MedBall Overhead Throw</t>
  </si>
  <si>
    <t>MedBall Chest Pass</t>
  </si>
  <si>
    <t>Push Up</t>
  </si>
  <si>
    <t>Rowing</t>
  </si>
  <si>
    <t>Crawling</t>
  </si>
  <si>
    <t>Pull Up</t>
  </si>
  <si>
    <t>Cable Ts</t>
  </si>
  <si>
    <t>Biceps</t>
  </si>
  <si>
    <t>Triceps</t>
  </si>
  <si>
    <t>Side Planks</t>
  </si>
  <si>
    <t>Underarm</t>
  </si>
  <si>
    <t>Hand</t>
  </si>
  <si>
    <t>ISO Hold Upper Back</t>
  </si>
  <si>
    <t>ISO Hold Push Up</t>
  </si>
  <si>
    <t>ISO Hold Overhead Press</t>
  </si>
  <si>
    <t>ISO Hold Pull Up</t>
  </si>
  <si>
    <t>Overhead Press</t>
  </si>
  <si>
    <t>1-Leg Squat</t>
  </si>
  <si>
    <t>STEPDOWN SMALL STEPPER</t>
  </si>
  <si>
    <t>STEPDOWN MEDIUM STEPPER</t>
  </si>
  <si>
    <t>STEP UP MEDIUM STEPPER</t>
  </si>
  <si>
    <t>STEP UP HIGH STEPPER</t>
  </si>
  <si>
    <t>CROSS STEP UP MEDIUM STEPPER</t>
  </si>
  <si>
    <t>CROSS STEP UP HIGH STEPPER</t>
  </si>
  <si>
    <t>Lateral Split Squat</t>
  </si>
  <si>
    <t>SUPPORTED LATERAL SPLIT SQUAT WITH TRX</t>
  </si>
  <si>
    <t>HEARBEAT LATERAL SPLIT SQUAT WITH PEZZIBALL</t>
  </si>
  <si>
    <t>HEARBEAT LATERAL SPLIT SQUAT TO BOX</t>
  </si>
  <si>
    <t>HEARBEAT LATERAL SPLIT SQUAT</t>
  </si>
  <si>
    <t>GOBLET LATERAL SPLIT SQUAT TO BOX</t>
  </si>
  <si>
    <t>GOBLET LATERAL SPLIT SQUAT</t>
  </si>
  <si>
    <t>REACTIVE CMJ</t>
  </si>
  <si>
    <t>1/2-KN MB OVERHEAD THROW WITH PARTNER</t>
  </si>
  <si>
    <t>1/2-KN MB 2-ARM CHEST PASS WITH PARTNER</t>
  </si>
  <si>
    <t>1/2-KN MB OVERHEAD THROW INTO WALL</t>
  </si>
  <si>
    <t>1/2-KN MB 2-ARM CHEST PASS INTO WALL</t>
  </si>
  <si>
    <t>ARMS ELEVATED PUSH UP HIGH</t>
  </si>
  <si>
    <t>ARMS ELEVATED PUSH UP LOW</t>
  </si>
  <si>
    <t>PUSH UP ON KNEE</t>
  </si>
  <si>
    <t>ECC PUSH UP ON KNEE UP</t>
  </si>
  <si>
    <t>1/2-KN 1-ARM BAND PULLDOWN</t>
  </si>
  <si>
    <t>1-LEG SUPPORTED PULL UPS</t>
  </si>
  <si>
    <t>LATERAL PUSH UP CRAWL</t>
  </si>
  <si>
    <t>1/2 KN 1-ARM BAND ROW</t>
  </si>
  <si>
    <t>STANDING 2-ARM BAND ROW</t>
  </si>
  <si>
    <t>STANDING 1-ARM BAND ROW</t>
  </si>
  <si>
    <t>SEATED 1-ARM BAND ROW</t>
  </si>
  <si>
    <t>3-POINT HINGE ROW</t>
  </si>
  <si>
    <t>1/2 KN 1-ARM OVERHEAD PRESS</t>
  </si>
  <si>
    <t>SITTING ON THE FLOOR 2-ARM BAND ROW</t>
  </si>
  <si>
    <t>SEATED 1-ARM OVERHEAD PRESS</t>
  </si>
  <si>
    <t>SEATED 2-ARM OVERHEAD PRESS</t>
  </si>
  <si>
    <t>SITTING ON THE FLOOR 1 ARM OVERHEAD PRESS</t>
  </si>
  <si>
    <t>SITTING ON THE FLOOR 2 ARM OVERHEAD PRESS</t>
  </si>
  <si>
    <t>STANDING 1-ARM OVERHEAD PRESS</t>
  </si>
  <si>
    <t>STANDIG CABLE FACE PULL</t>
  </si>
  <si>
    <t>PRONE BENCH ROW TO "W"</t>
  </si>
  <si>
    <t>PRONE BENCH DB  "V" RAISE</t>
  </si>
  <si>
    <t>PRONE "T", "V" RAISE</t>
  </si>
  <si>
    <t>STANDING DB BICEP CURL</t>
  </si>
  <si>
    <t>STANDING BAND/CABLE 2-ARM TRICEP CURL</t>
  </si>
  <si>
    <t>UNDERARM SUPINATION/PRONATION</t>
  </si>
  <si>
    <t>FLEXBAR WRING HORIZONAL</t>
  </si>
  <si>
    <t>FLEXBAR WRING VERTICAL</t>
  </si>
  <si>
    <t>TENNISBALL SQUEEZE ORANGE</t>
  </si>
  <si>
    <t>TENNISBALL SQUEZZE GREEN</t>
  </si>
  <si>
    <t>FLEXBAR BREAKING DOWN</t>
  </si>
  <si>
    <t>FLEXBAR BREAKING UP</t>
  </si>
  <si>
    <t>ISO HOLD PRONE BENCH "T"</t>
  </si>
  <si>
    <t>ISO HOLD PRONE BENCH "W"</t>
  </si>
  <si>
    <t>ISO HOLD PRONE BENCH "V"</t>
  </si>
  <si>
    <t>ISO HOLD PRONE BENCH LOADED "T"</t>
  </si>
  <si>
    <t>ISO HOLD PRONE BENCH LOADED "W"</t>
  </si>
  <si>
    <t>ISO HOLD PRONE BENCH LOADED "V"</t>
  </si>
  <si>
    <t>ISO HOLD FT ELEVATED PUSH UP PLANK</t>
  </si>
  <si>
    <t>ISO HOLD PUSH UP PLANK</t>
  </si>
  <si>
    <t>ISO HOLD PULL UP PASSIV LOW</t>
  </si>
  <si>
    <t>ISO HOLD PULL UP ACTIVE LOW</t>
  </si>
  <si>
    <t>SQUAT</t>
  </si>
  <si>
    <t>1-Leg Deadlift</t>
  </si>
  <si>
    <t>SUPPORTED 1-LEG ISO HINGE</t>
  </si>
  <si>
    <t>SUPPORTED 1-LEG ISO HINGE WITH HIP ROTATION</t>
  </si>
  <si>
    <t>1-ARM SUPPORTED 1-LEG ISO HINGE</t>
  </si>
  <si>
    <t>1-LEG HINGE WITH ARMS STRETCHED</t>
  </si>
  <si>
    <t>STICK SUPPOERTED 1-LEG HINGE</t>
  </si>
  <si>
    <t>1-LEG HINGE WITH MED/PEZZIBALL</t>
  </si>
  <si>
    <t>TGU</t>
  </si>
  <si>
    <t>CRAWLING</t>
  </si>
  <si>
    <t>CARRY</t>
  </si>
  <si>
    <t>DEADLIFT</t>
  </si>
  <si>
    <t>1-LEG DEADLIFT</t>
  </si>
  <si>
    <t>ANKLE ROCKERS</t>
  </si>
  <si>
    <t>TOE STANCE</t>
  </si>
  <si>
    <t>ANKLE WORK</t>
  </si>
  <si>
    <t>RUNNING SCHOOL</t>
  </si>
  <si>
    <t>DROP AND CATCHES</t>
  </si>
  <si>
    <t>JUMPS</t>
  </si>
  <si>
    <t>2-LEG TOE STANCE WIDE STAND</t>
  </si>
  <si>
    <t>2-LEG TOE STANCE CLOSE STAND</t>
  </si>
  <si>
    <t>SPLIT SQUAT TOE STANCE</t>
  </si>
  <si>
    <t>2-ARM RACK CARRY</t>
  </si>
  <si>
    <t>TGU ROLL TO 1-ARM PRESS SHOE BALANCE</t>
  </si>
  <si>
    <t>1-ARM PRESS TO ELBOW SHOE BALANCE</t>
  </si>
  <si>
    <t>TGU - ELBOW TO POST SHOE BALANCE</t>
  </si>
  <si>
    <t xml:space="preserve">2-LEG DROP &amp; CATCH &amp; SQUAT JUMP </t>
  </si>
  <si>
    <t>1-LEG DROP &amp; CATCH &amp; SIDE BOUND</t>
  </si>
  <si>
    <t>SPLIT SQUAT DROP &amp; CATCH</t>
  </si>
  <si>
    <t>SPLIT SQUAT DROP &amp; CATCH &amp; JUMP</t>
  </si>
  <si>
    <t>REAKTIV CMJ</t>
  </si>
  <si>
    <t>Level A</t>
  </si>
  <si>
    <t>3x100</t>
  </si>
  <si>
    <t>3x125</t>
  </si>
  <si>
    <t>3x150</t>
  </si>
  <si>
    <t>BB</t>
  </si>
  <si>
    <t>1x10ea</t>
  </si>
  <si>
    <t>1x10m</t>
  </si>
  <si>
    <t>1x12m</t>
  </si>
  <si>
    <t>1x15m</t>
  </si>
  <si>
    <t>ANKEL ROCKERS ROTATIONS</t>
  </si>
  <si>
    <t>HINGE TO KB TOUCH</t>
  </si>
  <si>
    <t xml:space="preserve">HINGE TO CRUSH HANDLE </t>
  </si>
  <si>
    <t xml:space="preserve">HINGE TO SNIFF AIR  </t>
  </si>
  <si>
    <t>SUP 1-LEG ISO HINGE</t>
  </si>
  <si>
    <t>SUP 1-LEG ISO HINGE WITH HIP ROTATION</t>
  </si>
  <si>
    <t>STICK SUP 1-LEG HINGE</t>
  </si>
  <si>
    <t>BW STEP BACK SPLIT SQUAT TO GROUND-STICK</t>
  </si>
  <si>
    <t>Level B</t>
  </si>
  <si>
    <t>1x45ea</t>
  </si>
  <si>
    <t>Level C</t>
  </si>
  <si>
    <t xml:space="preserve">1/2-KN BASKETBALL SIDE TOSS AND CATCH - PARALLEL </t>
  </si>
  <si>
    <t xml:space="preserve">1/2-KN BASKETBALL SIDE TOSS - PARALLEL </t>
  </si>
  <si>
    <t>SPLIT STANCE BASKETBALL SIDE TOSS  AND CATCH - 90°</t>
  </si>
  <si>
    <t>1/2-KN ARM MEDBALL SIDE TOSS AND CATCH - PARALLEL +C8:C23</t>
  </si>
  <si>
    <t>1-LEG BASKETBALL SIDE TOSS - PARALLEL</t>
  </si>
  <si>
    <t>1-LEG BASKETBALL SIDE TOSS AND CATCH - PARALLEL</t>
  </si>
  <si>
    <t>1-LEG BASKETBALL SIDE TOSS AND CATCH - 90°</t>
  </si>
  <si>
    <t>1-LEG BASKETBALL SIDE TOSS - 90°</t>
  </si>
  <si>
    <t>SPLIT STANCE BASKETBALL SIDE TOSS AND CATCH - 90°</t>
  </si>
  <si>
    <t xml:space="preserve">1/2-KN BASKETBALL SIDE TOSS - 90° </t>
  </si>
  <si>
    <t xml:space="preserve">1/2-KN BASKETBALL SIDE TOSS AND CATCH - 90° </t>
  </si>
  <si>
    <t>MedBall Side Toss 90°</t>
  </si>
  <si>
    <t>MedBall Side Toss Parallel</t>
  </si>
  <si>
    <t>SPLIT STANCE BASKETBALL SIDE TOSS  - PARALLEL</t>
  </si>
  <si>
    <t>SPLIT STANCE BASKETBALL SIDE TOSS  - 90°</t>
  </si>
  <si>
    <t>2x12/ea</t>
  </si>
  <si>
    <t>1x20/ea</t>
  </si>
  <si>
    <t xml:space="preserve">1x20/ea </t>
  </si>
  <si>
    <t>1x15m/ea</t>
  </si>
  <si>
    <t>1/2-KN BASKETBALL OVERHEAD THROW WITH PARTNER</t>
  </si>
  <si>
    <t>1/2-KN BASKETBALL OVERHEAD THROW INTO WALL</t>
  </si>
  <si>
    <t>SPLIT STANCE BASKETBALL OH THROWS WITH PARTNER</t>
  </si>
  <si>
    <t>SPLIT STANCE MB OH THROWS INTO WALL</t>
  </si>
  <si>
    <t>1-LEG BASKETBALL OH THROW WITH PARTNER</t>
  </si>
  <si>
    <t>1/2-KN BASKETBALL 2-ARM CHEST PASS WITH PARTNER</t>
  </si>
  <si>
    <t>1/2-KN BASKETBALL 2-ARM CHEST PASS INTO WALL</t>
  </si>
  <si>
    <t>SPLIT STANCE BASKETBALL 2-ARM CHEST PASSES WITH PARTNER</t>
  </si>
  <si>
    <t>SPLIT STANCE BASKETBALL 2-ARM CHEST PASSES INTO WALL</t>
  </si>
  <si>
    <t>1-LEG BASKETBALL CHEST PASS WITH PARTNER</t>
  </si>
  <si>
    <t xml:space="preserve">ISO HOLD 2-LEG GLUTE BRIDGE </t>
  </si>
  <si>
    <t xml:space="preserve">ISO HOLD 1-LEG GLUTE BRIDGE </t>
  </si>
  <si>
    <t>ISO HOLD 2-LEG HAMSTRING BRIDGE</t>
  </si>
  <si>
    <t>ISO HOLD 1-LEG HAMSTRING BRIDGE</t>
  </si>
  <si>
    <t>ISO HOLD 1/2 KN 1-ARM LANDMINE OVERHEAD PRESS</t>
  </si>
  <si>
    <t>3x2x20</t>
  </si>
  <si>
    <t>3x3x10</t>
  </si>
  <si>
    <t>3x2x15</t>
  </si>
  <si>
    <t>Level D</t>
  </si>
  <si>
    <t>LOADED ISO HOLD 2-LEG CALF RAISE</t>
  </si>
  <si>
    <t>LOADED ISO HOLD 1-LEG CALF RAISE</t>
  </si>
  <si>
    <t>Level E</t>
  </si>
  <si>
    <t>LOADED 1-LEG CALF RAISES</t>
  </si>
  <si>
    <t>1x90s/ea</t>
  </si>
  <si>
    <t>1x75s/ea</t>
  </si>
  <si>
    <t>1-LEG BASKETBALL CHEST PASSES INTO WALL</t>
  </si>
  <si>
    <t>1-LEG BASKETBALL OH THROW INTO WALL</t>
  </si>
  <si>
    <t>Level F</t>
  </si>
  <si>
    <t>1x10</t>
  </si>
  <si>
    <t>1x8</t>
  </si>
  <si>
    <t>1x10/ea</t>
  </si>
  <si>
    <t xml:space="preserve">1x20 </t>
  </si>
  <si>
    <t>1x12/ea</t>
  </si>
  <si>
    <t>1x12</t>
  </si>
  <si>
    <t>1x15/ea</t>
  </si>
  <si>
    <t xml:space="preserve">STANDING PEZZIBALL EXTERNAL ROTATION </t>
  </si>
  <si>
    <t>TIBIALIS WALL RAISES</t>
  </si>
  <si>
    <t xml:space="preserve">TRX SUPPORTED LATERAL SPLIT SQUAT </t>
  </si>
  <si>
    <t xml:space="preserve">PEZZIBALL SUPPORTED HEARBEAT LATERAL SPLIT SQUAT </t>
  </si>
  <si>
    <t>3x10/ea</t>
  </si>
  <si>
    <t>ECC PUSH UP ON KNEE</t>
  </si>
  <si>
    <t>3x25/ea</t>
  </si>
  <si>
    <t>3x40/ea</t>
  </si>
  <si>
    <t>3x60/ea</t>
  </si>
  <si>
    <t>LEVEL 17</t>
  </si>
  <si>
    <t>LEVEL 18</t>
  </si>
  <si>
    <t>LEVEL 19</t>
  </si>
  <si>
    <t>LEVEL 20</t>
  </si>
  <si>
    <t>LEVEL 21</t>
  </si>
  <si>
    <t>LEVEL 22</t>
  </si>
  <si>
    <t>LEVEL 23</t>
  </si>
  <si>
    <t>LEVEL 24</t>
  </si>
  <si>
    <t>LEVEL 25</t>
  </si>
  <si>
    <t>LEVEL 26</t>
  </si>
  <si>
    <t>LEVEL 27</t>
  </si>
  <si>
    <t>LEVEL 28</t>
  </si>
  <si>
    <t>LEVEL 29</t>
  </si>
  <si>
    <t>LEVEL 30</t>
  </si>
  <si>
    <t>PLANK - SWITCH ON BACK AND PULL THROUGH</t>
  </si>
  <si>
    <t>PUSH UP PLANK SHOULDER TAP AND TENNISBALL CATCH</t>
  </si>
  <si>
    <t>PUSH UP PLANK MEDBALL BALL CATCH</t>
  </si>
  <si>
    <t>BACK SQUAT WITH BARBEL</t>
  </si>
  <si>
    <t>1/2 KN BAND/PEZZIBALL ROTATION</t>
  </si>
  <si>
    <t>TK BAND/PEZZIBALL ROTATION</t>
  </si>
  <si>
    <t>CLOSED STANCE BAND/PEZZIBALL ROTATION</t>
  </si>
  <si>
    <t>OPEN STANCE BAND/PEZZIBALL ROTATION</t>
  </si>
  <si>
    <t>SPLIT STANCE BAND/PEZZIBALL ROTATION</t>
  </si>
  <si>
    <t>LOADED 1-ARM WAITER  ANKLE MARCH</t>
  </si>
  <si>
    <t>LOADED 1-ARM WAITER ANKLE SKIPS</t>
  </si>
  <si>
    <t>LOADED 1-ARM WAITER ANKLE BOUNDS</t>
  </si>
  <si>
    <t>LOADED 1-ARM WAITER LATERAL ANKLE MARCH</t>
  </si>
  <si>
    <t>LOADED 1-ARM OH LATERAL ANKLE SKIP</t>
  </si>
  <si>
    <t>LOADED 1-ARM OH LATERAL BOUND</t>
  </si>
  <si>
    <t>LOADED 1-ARM OH  ANKLE MARCH</t>
  </si>
  <si>
    <t>LOADED 1-ARM OH ANKLE SKIPS</t>
  </si>
  <si>
    <t>LOADED 1-ARM OH ANKLE BOUNDS</t>
  </si>
  <si>
    <t>LOADED 1-ARM OH LATERAL ANKLE MARCH</t>
  </si>
  <si>
    <t>LOADED 1-ARM OH 1-LEG A-SKIP</t>
  </si>
  <si>
    <t>LOADED 1-ARM OH A-SKIP</t>
  </si>
  <si>
    <t>LOADED 1-ARM OH 1-LEG B-SKIP</t>
  </si>
  <si>
    <t>LOADED 1-ARM OH B-SKIP</t>
  </si>
  <si>
    <t>LOADED 1-ARM OH C-SKIP</t>
  </si>
  <si>
    <t xml:space="preserve">1-LEG DROP &amp; LINEAR HOP &amp; CATCH </t>
  </si>
  <si>
    <t xml:space="preserve">1-LEG DROP &amp; LATERAL HOP &amp; CATCH </t>
  </si>
  <si>
    <t xml:space="preserve">1-LEG DROP &amp; MEDIAL HOP &amp; CATCH </t>
  </si>
  <si>
    <t>REACTIVE 1-LEG LINEAR HOP - TO BOX (NCM)</t>
  </si>
  <si>
    <t>1-LEG LINEAR HOP - TO BOX (CM)</t>
  </si>
  <si>
    <t>LOADED ANKLE ROCKER PUSH PULL</t>
  </si>
  <si>
    <t>LOADED ANKLE ROCKERS WIPERS</t>
  </si>
  <si>
    <t>LOADED ANKLE ROCKER SHUFFLE</t>
  </si>
  <si>
    <t>LOADED ANKLE ROCKER SPLIT SQUAT</t>
  </si>
  <si>
    <t>LOADED ANKLE ROCKER MOONWALK</t>
  </si>
  <si>
    <t>LOADED ANKLE ROCKER 1-LEG SQUAT</t>
  </si>
  <si>
    <t>1-ARM 2KB OH SQUAT</t>
  </si>
  <si>
    <t xml:space="preserve">HINGE TO CRUSH HANDEADLIFTE </t>
  </si>
  <si>
    <t>1-ARM 1KB SUMO DEADLIFT</t>
  </si>
  <si>
    <t>2KB SUITCASE DEADLIFT</t>
  </si>
  <si>
    <t>1-ARM 1KB SUITCASE DEADLIFT</t>
  </si>
  <si>
    <t>TRAP BAR DEADLIFT</t>
  </si>
  <si>
    <t>2KB RACK SQUAT</t>
  </si>
  <si>
    <t>1-ARM 1KB OH SQUAT</t>
  </si>
  <si>
    <t>DEADLEG CRAWL</t>
  </si>
  <si>
    <t>LOADED DEADLEG CRAWL</t>
  </si>
  <si>
    <t>STANDING 1-ARM BAND "T"</t>
  </si>
  <si>
    <t>3-POINT HINGE "T"</t>
  </si>
  <si>
    <t>DIPS</t>
  </si>
  <si>
    <t>BB 1-LEG DEADLIFT</t>
  </si>
  <si>
    <t>2KB 1-LEG DEADLIFT</t>
  </si>
  <si>
    <t>2 DIFFERENT KB 1-LEG DEADLIFT</t>
  </si>
  <si>
    <t>SUPPORTED 1-LEG SQUAT</t>
  </si>
  <si>
    <t xml:space="preserve">1-LEG SQUAT </t>
  </si>
  <si>
    <t>LOADED 1-LEG SQUAT</t>
  </si>
  <si>
    <t>1 KB SUITCASE LATERAL SPLIT SQUAT</t>
  </si>
  <si>
    <t>3x8</t>
  </si>
  <si>
    <t>2x30s</t>
  </si>
  <si>
    <t>2x12</t>
  </si>
  <si>
    <t>1kg</t>
  </si>
  <si>
    <t>2x15m</t>
  </si>
  <si>
    <t>2x30s ea</t>
  </si>
  <si>
    <t>Movement Patterns 1&amp;2</t>
  </si>
  <si>
    <t>3x10s ea</t>
  </si>
  <si>
    <t xml:space="preserve">3x10s </t>
  </si>
  <si>
    <t>6x5s ea</t>
  </si>
  <si>
    <t>6x5s</t>
  </si>
  <si>
    <t>1x15</t>
  </si>
  <si>
    <t>2x10</t>
  </si>
  <si>
    <t>1x75s</t>
  </si>
  <si>
    <t>1x90s</t>
  </si>
  <si>
    <t>2x90s</t>
  </si>
  <si>
    <t>5x3</t>
  </si>
  <si>
    <t>2kg</t>
  </si>
  <si>
    <t>Basketball</t>
  </si>
  <si>
    <t>0,5kg</t>
  </si>
  <si>
    <t>3kg</t>
  </si>
  <si>
    <t>4kg</t>
  </si>
  <si>
    <t>5kg</t>
  </si>
  <si>
    <t xml:space="preserve">1-ARM BAND SHOULDER EXTERNAL ROTATION </t>
  </si>
  <si>
    <t>1-ARM BAND SHOULDER EXTERNAL ROTATION 90°</t>
  </si>
  <si>
    <t>2-ARM BAND SHOULDER EXTERNAL ROTATION 90°</t>
  </si>
  <si>
    <t>ISO 1-ARM BAND SHOULDER EXTERNAL ROTATION - SIDE MARCH</t>
  </si>
  <si>
    <t>KN SHOULDERBLADE PUSH UPS</t>
  </si>
  <si>
    <t>SHOULDERBLADE PUSH UPS</t>
  </si>
  <si>
    <t>LOADED BKWD CRAWL</t>
  </si>
  <si>
    <t>LOADED SIDE CRAWL</t>
  </si>
  <si>
    <t>LOADED FOOT ELBOW CRAWL</t>
  </si>
  <si>
    <t>LOADED PUSH UP CRAWL</t>
  </si>
  <si>
    <t>LOADED LATERAL PUSH UP CRAWL</t>
  </si>
  <si>
    <t>1 KB SUITCASE DEADLIFT</t>
  </si>
  <si>
    <t>2 DIFFERENT KB SUITCASE DEADLIFT</t>
  </si>
  <si>
    <t>DIFFERENT LOEDED TRAPBAR DEADLIFT</t>
  </si>
  <si>
    <t>SEATED CALF RAISE 90° MAX FORCE 10 SEC</t>
  </si>
  <si>
    <t>SEATED CALF RAISE 90° MAX FORCE 20 SEC</t>
  </si>
  <si>
    <t>LOADED SQUAT JUMP - DC</t>
  </si>
  <si>
    <t>LOADED SQUAT JUMPS</t>
  </si>
  <si>
    <t>LOADED SQUAT JUMP TO BOX</t>
  </si>
  <si>
    <t>LOADED CMJ TO BOX</t>
  </si>
  <si>
    <t>LOADED REACTIVE SQUAT JUMP OF BOX TO BOX</t>
  </si>
  <si>
    <t>LOADED REACTIVE SQUAT JUMP OF BOX</t>
  </si>
  <si>
    <t>STEPDOWN HIGH STEPPER</t>
  </si>
  <si>
    <t>3x5 ea</t>
  </si>
  <si>
    <t>LATERAL BOUND W/STICK</t>
  </si>
  <si>
    <t>LATERAL BOUND 45° W/STICK</t>
  </si>
  <si>
    <t>CONTINUOUS LATERAL BOUND 45°</t>
  </si>
  <si>
    <t>CONTINUOUS LATERAL BOUND 45° W/MINI HOP</t>
  </si>
  <si>
    <t>SHUFFEL MEDBALL SIDE TOSS</t>
  </si>
  <si>
    <t>OPEN STANCE MEDBALL SIDE TOSS</t>
  </si>
  <si>
    <t>CLOSED STANCE MEDBALL SIDE TOSS</t>
  </si>
  <si>
    <t>SPLIT STEP W OPEN STANCE MEDBALL SIDE TOSS</t>
  </si>
  <si>
    <t xml:space="preserve">SLIDE IN OPEN STANCE MED BALL SIDE TOSS </t>
  </si>
  <si>
    <t xml:space="preserve">SLIDE IN CLOSED STANCE MED BALL SIDE TOSS </t>
  </si>
  <si>
    <t>SLIDE IN OPEN STANCE MED BALL SIDE TOSS W/ HOP</t>
  </si>
  <si>
    <t xml:space="preserve">SLIDE IN OPEN STANCE MED BALL SIDE TOSS W/ BOUND </t>
  </si>
  <si>
    <t>SEATED LEG ABD W/BAND + W/LEG EXTERNAL ROTATION</t>
  </si>
  <si>
    <t>SIDE LYING LEG ABD W/MINIBAND HIP EXTERNAL ROT</t>
  </si>
  <si>
    <t>SEATED  LEG ABD W/BAND + W/ISO LEG EXTERNAL ROT W/ANKLE WIPERS</t>
  </si>
  <si>
    <t>LOADED FOOT COPENHAGEN PLANK BLACKROLL</t>
  </si>
  <si>
    <t>LOADED FOOT COPENHAGEN PLANK TRX</t>
  </si>
  <si>
    <t xml:space="preserve">1-LEG TIBIALIS RAISES </t>
  </si>
  <si>
    <t>1-LEG TIBIALIS RAISES 45°</t>
  </si>
  <si>
    <t>SEATED TIBIALIS RAISES</t>
  </si>
  <si>
    <t>1/2 KN LANDMINE OVERHEAD PRESS</t>
  </si>
  <si>
    <t xml:space="preserve">TK PEZZIBALL BAND ROTATION </t>
  </si>
  <si>
    <t>PEZZIBALL BAND ROTATION CLOSED STANCE</t>
  </si>
  <si>
    <t>PEZZIBALL BAND ROTATION OPEN STANCE</t>
  </si>
  <si>
    <t>Wochengestaltung je nach Trainings- oder Wettkampfperiode</t>
  </si>
  <si>
    <t>Samstag</t>
  </si>
  <si>
    <t>Sonntag</t>
  </si>
  <si>
    <t>Montag</t>
  </si>
  <si>
    <t>Dienstag</t>
  </si>
  <si>
    <t>Mittwoch</t>
  </si>
  <si>
    <t>Donnerstag</t>
  </si>
  <si>
    <t>Freitag</t>
  </si>
  <si>
    <t>4+</t>
  </si>
  <si>
    <t>2-</t>
  </si>
  <si>
    <t>3-</t>
  </si>
  <si>
    <t>3+</t>
  </si>
  <si>
    <t>2+</t>
  </si>
  <si>
    <t>Inhalt</t>
  </si>
  <si>
    <t>Zeit</t>
  </si>
  <si>
    <t>Spielen</t>
  </si>
  <si>
    <t>frei</t>
  </si>
  <si>
    <t>WU Spr</t>
  </si>
  <si>
    <t>BH1</t>
  </si>
  <si>
    <t>KV1</t>
  </si>
  <si>
    <t>BH2</t>
  </si>
  <si>
    <t>Match</t>
  </si>
  <si>
    <t>KV2</t>
  </si>
  <si>
    <t>OKK</t>
  </si>
  <si>
    <t>Ukex</t>
  </si>
  <si>
    <t>Okex</t>
  </si>
  <si>
    <t>Okp</t>
  </si>
  <si>
    <t>UKK</t>
  </si>
  <si>
    <t>Prävention</t>
  </si>
  <si>
    <t>Ukp</t>
  </si>
  <si>
    <t>OKiso</t>
  </si>
  <si>
    <t>Okiso</t>
  </si>
  <si>
    <t>UKiso</t>
  </si>
  <si>
    <t xml:space="preserve">WU Spr </t>
  </si>
  <si>
    <t>RPE gesamt</t>
  </si>
  <si>
    <t>1+</t>
  </si>
  <si>
    <t>Ukiso</t>
  </si>
  <si>
    <t>1-</t>
  </si>
  <si>
    <t>OKK/
UKK</t>
  </si>
  <si>
    <t>LATERAL BOUND 45° W/ HIGH HOP W/STICK</t>
  </si>
  <si>
    <t>LATERAL BOUND 45° W/ LINEAR HOP W/STICK</t>
  </si>
  <si>
    <t>CONTINUOUS LATERAL BOUND 45° W/HIGH HOP</t>
  </si>
  <si>
    <t>CONTINUOUS LATERAL BOUND 45° W/LINEAR HOP</t>
  </si>
  <si>
    <t>LATERAL BOUND 45° W/ MINI HOP W/STICK</t>
  </si>
  <si>
    <t>LOADED SIDE MARCH W/MINIBAND</t>
  </si>
  <si>
    <t>LOADED OH SIDE MARCH W/ MINIBAND</t>
  </si>
  <si>
    <t>LOADED RACK SIDE MARCH W/ MINIBAND</t>
  </si>
  <si>
    <t>SIDE MARCH W/ MINIBANDS</t>
  </si>
  <si>
    <t>SIDE MARCH W/ MINIBAND</t>
  </si>
  <si>
    <t>HEARTBEAT SIDE MARCH W/ MINIBAND</t>
  </si>
  <si>
    <t>MED BALL SLAM</t>
  </si>
  <si>
    <t>1-LEG MED BALL SLAM</t>
  </si>
  <si>
    <t>ROT OH MED BALL SLAM W/ SIDE TOSS PARALLEL</t>
  </si>
  <si>
    <t>ROT OH MED BALL SLAM W/ SIDE TOSS 90°</t>
  </si>
  <si>
    <t>ROT OH MED BALL SLAM</t>
  </si>
  <si>
    <t>ROT OH MED BALL SLAM W/ 1-ARM CHEST PASS 90°</t>
  </si>
  <si>
    <t>ROT OH MED BALL SLAM W/ 1-ARM CHEST PASS PARALLEL</t>
  </si>
  <si>
    <t>ROT OH MED BALL SLAM W/ 2-ARM CHEST PASS PARALLEL</t>
  </si>
  <si>
    <t>1-ARM BENCH PRESS</t>
  </si>
  <si>
    <t>PUSH UP W/ROTATION</t>
  </si>
  <si>
    <t>LEVEL 1 bis 6</t>
  </si>
  <si>
    <t>LEVEL 7 bis 9</t>
  </si>
  <si>
    <t>3-4x5</t>
  </si>
  <si>
    <t>HIP HINGE W/ STICK</t>
  </si>
  <si>
    <t>SUPPORTED 1-LEG ISO HINGE W/ HIP ROTATION</t>
  </si>
  <si>
    <t>SIDE MARCH W/ MINIBAND OVER KNEE</t>
  </si>
  <si>
    <t>TIBIALIS RAISES TOUCHING WALL W/ TOES</t>
  </si>
  <si>
    <t>SIDE MARCH W/ MINIBAND OVER ANKLES</t>
  </si>
  <si>
    <t>1-LEG HINGE W/ ARMS STRETCHED</t>
  </si>
  <si>
    <t xml:space="preserve">SIDE PLANK W/ LEG ABDUCTION </t>
  </si>
  <si>
    <t>2-LEG MARCHING FORWARD GLUTE BRIDGE W/ BLACKROLL</t>
  </si>
  <si>
    <t>SIDE MARCH W/ MINIBAND OVER FOOT</t>
  </si>
  <si>
    <t>1-LEG HINGE W/ MED/PEZZIBALL</t>
  </si>
  <si>
    <t>2-LEG CURL W/ PEZZIBALL</t>
  </si>
  <si>
    <t xml:space="preserve">SIDE MARCH W/ MINIBAND OVER KNEE HEAVY BAND </t>
  </si>
  <si>
    <t>FT ELEVATED SIDE PLANK - BLACKROLL W/ LEG ABDUKTION</t>
  </si>
  <si>
    <t>GOBLET BULGARIEN SPLIT SQUAT</t>
  </si>
  <si>
    <t>VS BODY SAW</t>
  </si>
  <si>
    <t>SLIDE IN OPEN STANCE MED BALL SIDE TOSS VH/BH</t>
  </si>
  <si>
    <t>Explosiv Block (Okex)</t>
  </si>
  <si>
    <t>Bewegungshygiene 1 (BH1)</t>
  </si>
  <si>
    <t>Bewegungshygiene 2 (BH2)</t>
  </si>
  <si>
    <t>Unterkörper</t>
  </si>
  <si>
    <t>Körperkonstitution</t>
  </si>
  <si>
    <t>Größe</t>
  </si>
  <si>
    <t>Gewicht</t>
  </si>
  <si>
    <t>Datum 1</t>
  </si>
  <si>
    <t>Datum 2</t>
  </si>
  <si>
    <t>Datum 3</t>
  </si>
  <si>
    <t>Datum 4</t>
  </si>
  <si>
    <t>Datum 5</t>
  </si>
  <si>
    <t>Datum 6</t>
  </si>
  <si>
    <t>Kraft Block (OKK)</t>
  </si>
  <si>
    <t>Kraft Block (Okp)</t>
  </si>
  <si>
    <t>Halteübungen 1</t>
  </si>
  <si>
    <t>Halteübungen 2</t>
  </si>
  <si>
    <t>Halteübungen (Ukiso)</t>
  </si>
  <si>
    <t>Halteübungen (Okiso)</t>
  </si>
  <si>
    <t>Woche 1</t>
  </si>
  <si>
    <t>Woche 2</t>
  </si>
  <si>
    <t>Woche 3</t>
  </si>
  <si>
    <t>GEWICHT</t>
  </si>
  <si>
    <t>Explosiv Block (Ukex)</t>
  </si>
  <si>
    <t>Kraft Block (UKK)</t>
  </si>
  <si>
    <t>Kraft Block (Ukp)</t>
  </si>
  <si>
    <t xml:space="preserve">BW SPLIT SQUAT TO TOUCH GROUND </t>
  </si>
  <si>
    <t>BW STEP FORWARD SPLIT SQUAT TO GROUND - STICK</t>
  </si>
  <si>
    <t>Oberkörper</t>
  </si>
  <si>
    <t>Tempo</t>
  </si>
  <si>
    <t>3-1-1-0</t>
  </si>
  <si>
    <t>3-1-1-1</t>
  </si>
  <si>
    <t>2-1-1-0</t>
  </si>
  <si>
    <t>X-3-1-1</t>
  </si>
  <si>
    <t>5-1-1-0</t>
  </si>
  <si>
    <t>3-0-X-0</t>
  </si>
  <si>
    <t>Gewichte</t>
  </si>
  <si>
    <t>Zeit/Wdh.</t>
  </si>
  <si>
    <t>SxR/RPE 7-8</t>
  </si>
  <si>
    <t>SxR/RPE 8-9</t>
  </si>
  <si>
    <t>CROSSOVER STICK</t>
  </si>
  <si>
    <t>OVERSPEED CROSSOVER STICK</t>
  </si>
  <si>
    <t>ISO</t>
  </si>
  <si>
    <t>SxR/RPE 9</t>
  </si>
  <si>
    <t>SxR/RPE 5-6</t>
  </si>
  <si>
    <t>SxR/RPE 6-7</t>
  </si>
  <si>
    <t>BACK SQUAT W/ BARBELL</t>
  </si>
  <si>
    <t>BARBELLL OVERHEAD SQUAT</t>
  </si>
  <si>
    <t>FRONT SQUAT W/BARBELL</t>
  </si>
  <si>
    <t>SIDE CRAWL W/KNEE TOUCH</t>
  </si>
  <si>
    <t>SIDE CRAWL W/SHOULDER TOUCH</t>
  </si>
  <si>
    <t>GOBLET BULGARIAN SPLIT SQUAT</t>
  </si>
  <si>
    <t>2-2-2-2</t>
  </si>
  <si>
    <t>5-0-3-0</t>
  </si>
  <si>
    <t>BARBELL ROW</t>
  </si>
  <si>
    <t>3-0-X-1</t>
  </si>
  <si>
    <t xml:space="preserve">2x8 </t>
  </si>
  <si>
    <t>1-1-1-1</t>
  </si>
  <si>
    <t>LOADED FOOT COPENHAGENPLANK BENCH</t>
  </si>
  <si>
    <t>FLEXBAR WRING 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</si>
</sst>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8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49" fontId="0" fillId="0" borderId="0" xfId="0" applyNumberFormat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" fontId="0" fillId="0" borderId="14" xfId="0" quotePrefix="1" applyNumberFormat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3" xfId="0" applyFont="1" applyBorder="1" applyAlignment="1">
      <alignment horizontal="center" vertical="center"/>
    </xf>
    <xf numFmtId="16" fontId="8" fillId="0" borderId="14" xfId="0" quotePrefix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2" xfId="0" quotePrefix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/>
    </xf>
    <xf numFmtId="0" fontId="9" fillId="0" borderId="0" xfId="0" applyFont="1"/>
    <xf numFmtId="0" fontId="4" fillId="0" borderId="0" xfId="0" applyFon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30" xfId="0" applyFill="1" applyBorder="1" applyAlignment="1">
      <alignment vertic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0" fillId="0" borderId="31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0" fillId="0" borderId="33" xfId="0" applyBorder="1" applyAlignment="1">
      <alignment horizontal="center" vertical="center"/>
    </xf>
    <xf numFmtId="0" fontId="0" fillId="0" borderId="3" xfId="0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4" fillId="0" borderId="30" xfId="0" applyFont="1" applyBorder="1" applyAlignment="1">
      <alignment horizontal="center" vertical="center" wrapText="1"/>
    </xf>
    <xf numFmtId="0" fontId="4" fillId="0" borderId="37" xfId="0" applyFont="1" applyBorder="1" applyAlignment="1">
      <alignment vertical="top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vertical="top" wrapText="1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2" xfId="0" applyFont="1" applyBorder="1"/>
    <xf numFmtId="0" fontId="4" fillId="0" borderId="44" xfId="0" applyFont="1" applyBorder="1" applyAlignment="1">
      <alignment horizontal="center" vertical="center" wrapText="1"/>
    </xf>
    <xf numFmtId="0" fontId="3" fillId="0" borderId="0" xfId="1" applyAlignment="1">
      <alignment wrapText="1"/>
    </xf>
    <xf numFmtId="0" fontId="3" fillId="0" borderId="0" xfId="1" applyAlignment="1">
      <alignment horizontal="center" vertical="center" wrapText="1"/>
    </xf>
    <xf numFmtId="0" fontId="13" fillId="0" borderId="49" xfId="1" applyFont="1" applyBorder="1" applyAlignment="1">
      <alignment horizontal="center" vertical="center" wrapText="1"/>
    </xf>
    <xf numFmtId="0" fontId="13" fillId="0" borderId="50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51" xfId="1" applyFont="1" applyBorder="1" applyAlignment="1">
      <alignment horizontal="center" vertical="center" wrapText="1"/>
    </xf>
    <xf numFmtId="0" fontId="13" fillId="0" borderId="52" xfId="1" applyFont="1" applyBorder="1" applyAlignment="1">
      <alignment horizontal="center" vertical="center" wrapText="1"/>
    </xf>
    <xf numFmtId="0" fontId="15" fillId="0" borderId="35" xfId="1" applyFont="1" applyBorder="1" applyAlignment="1">
      <alignment horizontal="center" vertical="center" textRotation="90" wrapText="1"/>
    </xf>
    <xf numFmtId="0" fontId="13" fillId="0" borderId="10" xfId="1" applyFont="1" applyBorder="1" applyAlignment="1">
      <alignment horizontal="center" vertical="center" wrapText="1"/>
    </xf>
    <xf numFmtId="0" fontId="13" fillId="0" borderId="24" xfId="1" applyFont="1" applyBorder="1" applyAlignment="1">
      <alignment horizontal="center" vertical="center" wrapText="1"/>
    </xf>
    <xf numFmtId="0" fontId="13" fillId="0" borderId="25" xfId="1" applyFont="1" applyBorder="1" applyAlignment="1">
      <alignment horizontal="center" vertical="center" wrapText="1"/>
    </xf>
    <xf numFmtId="0" fontId="13" fillId="0" borderId="26" xfId="1" applyFont="1" applyBorder="1" applyAlignment="1">
      <alignment horizontal="center" vertical="center" wrapText="1"/>
    </xf>
    <xf numFmtId="0" fontId="13" fillId="5" borderId="38" xfId="1" applyFont="1" applyFill="1" applyBorder="1" applyAlignment="1">
      <alignment horizontal="center" vertical="center" wrapText="1"/>
    </xf>
    <xf numFmtId="0" fontId="13" fillId="5" borderId="39" xfId="1" applyFont="1" applyFill="1" applyBorder="1" applyAlignment="1">
      <alignment horizontal="center" vertical="center" wrapText="1"/>
    </xf>
    <xf numFmtId="0" fontId="13" fillId="5" borderId="40" xfId="1" applyFont="1" applyFill="1" applyBorder="1" applyAlignment="1">
      <alignment horizontal="center" vertical="center" wrapText="1"/>
    </xf>
    <xf numFmtId="0" fontId="13" fillId="6" borderId="38" xfId="1" applyFont="1" applyFill="1" applyBorder="1" applyAlignment="1">
      <alignment horizontal="center" vertical="center" wrapText="1"/>
    </xf>
    <xf numFmtId="0" fontId="13" fillId="6" borderId="39" xfId="1" applyFont="1" applyFill="1" applyBorder="1" applyAlignment="1">
      <alignment horizontal="center" vertical="center" wrapText="1"/>
    </xf>
    <xf numFmtId="0" fontId="13" fillId="6" borderId="40" xfId="1" applyFont="1" applyFill="1" applyBorder="1" applyAlignment="1">
      <alignment horizontal="center" vertical="center" wrapText="1"/>
    </xf>
    <xf numFmtId="0" fontId="13" fillId="7" borderId="38" xfId="1" applyFont="1" applyFill="1" applyBorder="1" applyAlignment="1">
      <alignment horizontal="center" vertical="center" wrapText="1"/>
    </xf>
    <xf numFmtId="0" fontId="13" fillId="7" borderId="39" xfId="1" applyFont="1" applyFill="1" applyBorder="1" applyAlignment="1">
      <alignment horizontal="center" vertical="center" wrapText="1"/>
    </xf>
    <xf numFmtId="0" fontId="13" fillId="7" borderId="40" xfId="1" applyFont="1" applyFill="1" applyBorder="1" applyAlignment="1">
      <alignment horizontal="center" vertical="center" wrapText="1"/>
    </xf>
    <xf numFmtId="0" fontId="13" fillId="8" borderId="38" xfId="1" applyFont="1" applyFill="1" applyBorder="1" applyAlignment="1">
      <alignment horizontal="center" vertical="center" wrapText="1"/>
    </xf>
    <xf numFmtId="0" fontId="13" fillId="8" borderId="39" xfId="1" applyFont="1" applyFill="1" applyBorder="1" applyAlignment="1">
      <alignment horizontal="center" vertical="center" wrapText="1"/>
    </xf>
    <xf numFmtId="0" fontId="13" fillId="8" borderId="40" xfId="1" applyFont="1" applyFill="1" applyBorder="1" applyAlignment="1">
      <alignment horizontal="center" vertical="center" wrapText="1"/>
    </xf>
    <xf numFmtId="0" fontId="13" fillId="10" borderId="53" xfId="1" applyFont="1" applyFill="1" applyBorder="1" applyAlignment="1">
      <alignment horizontal="center" vertical="center" wrapText="1"/>
    </xf>
    <xf numFmtId="0" fontId="13" fillId="10" borderId="54" xfId="1" applyFont="1" applyFill="1" applyBorder="1" applyAlignment="1">
      <alignment horizontal="center" vertical="center" wrapText="1"/>
    </xf>
    <xf numFmtId="0" fontId="13" fillId="10" borderId="55" xfId="1" applyFont="1" applyFill="1" applyBorder="1" applyAlignment="1">
      <alignment horizontal="center" vertical="center" wrapText="1"/>
    </xf>
    <xf numFmtId="0" fontId="13" fillId="5" borderId="53" xfId="1" applyFont="1" applyFill="1" applyBorder="1" applyAlignment="1">
      <alignment horizontal="center" vertical="center" wrapText="1"/>
    </xf>
    <xf numFmtId="0" fontId="13" fillId="5" borderId="54" xfId="1" applyFont="1" applyFill="1" applyBorder="1" applyAlignment="1">
      <alignment horizontal="center" vertical="center" wrapText="1"/>
    </xf>
    <xf numFmtId="0" fontId="13" fillId="5" borderId="55" xfId="1" applyFont="1" applyFill="1" applyBorder="1" applyAlignment="1">
      <alignment horizontal="center" vertical="center" wrapText="1"/>
    </xf>
    <xf numFmtId="0" fontId="13" fillId="7" borderId="53" xfId="1" applyFont="1" applyFill="1" applyBorder="1" applyAlignment="1">
      <alignment horizontal="center" vertical="center" wrapText="1"/>
    </xf>
    <xf numFmtId="0" fontId="13" fillId="7" borderId="54" xfId="1" applyFont="1" applyFill="1" applyBorder="1" applyAlignment="1">
      <alignment horizontal="center" vertical="center" wrapText="1"/>
    </xf>
    <xf numFmtId="0" fontId="13" fillId="7" borderId="55" xfId="1" applyFont="1" applyFill="1" applyBorder="1" applyAlignment="1">
      <alignment horizontal="center" vertical="center" wrapText="1"/>
    </xf>
    <xf numFmtId="0" fontId="13" fillId="6" borderId="53" xfId="1" applyFont="1" applyFill="1" applyBorder="1" applyAlignment="1">
      <alignment horizontal="center" vertical="center" wrapText="1"/>
    </xf>
    <xf numFmtId="0" fontId="13" fillId="6" borderId="54" xfId="1" applyFont="1" applyFill="1" applyBorder="1" applyAlignment="1">
      <alignment horizontal="center" vertical="center" wrapText="1"/>
    </xf>
    <xf numFmtId="0" fontId="13" fillId="6" borderId="55" xfId="1" applyFont="1" applyFill="1" applyBorder="1" applyAlignment="1">
      <alignment horizontal="center" vertical="center" wrapText="1"/>
    </xf>
    <xf numFmtId="0" fontId="13" fillId="0" borderId="54" xfId="1" applyFont="1" applyBorder="1" applyAlignment="1">
      <alignment horizontal="center" vertical="center" wrapText="1"/>
    </xf>
    <xf numFmtId="0" fontId="3" fillId="0" borderId="55" xfId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3" fillId="3" borderId="56" xfId="1" applyFill="1" applyBorder="1" applyAlignment="1">
      <alignment horizontal="center" vertical="center" wrapText="1"/>
    </xf>
    <xf numFmtId="0" fontId="13" fillId="12" borderId="58" xfId="1" applyFont="1" applyFill="1" applyBorder="1" applyAlignment="1">
      <alignment horizontal="center" vertical="center" wrapText="1"/>
    </xf>
    <xf numFmtId="0" fontId="13" fillId="12" borderId="37" xfId="1" applyFont="1" applyFill="1" applyBorder="1" applyAlignment="1">
      <alignment horizontal="center" vertical="center" wrapText="1"/>
    </xf>
    <xf numFmtId="0" fontId="13" fillId="12" borderId="59" xfId="1" applyFont="1" applyFill="1" applyBorder="1" applyAlignment="1">
      <alignment horizontal="center" vertical="center" wrapText="1"/>
    </xf>
    <xf numFmtId="0" fontId="13" fillId="13" borderId="58" xfId="1" applyFont="1" applyFill="1" applyBorder="1" applyAlignment="1">
      <alignment horizontal="center" vertical="center" wrapText="1"/>
    </xf>
    <xf numFmtId="0" fontId="13" fillId="13" borderId="37" xfId="1" applyFont="1" applyFill="1" applyBorder="1" applyAlignment="1">
      <alignment horizontal="center" vertical="center" wrapText="1"/>
    </xf>
    <xf numFmtId="0" fontId="13" fillId="13" borderId="59" xfId="1" applyFont="1" applyFill="1" applyBorder="1" applyAlignment="1">
      <alignment horizontal="center" vertical="center" wrapText="1"/>
    </xf>
    <xf numFmtId="0" fontId="13" fillId="5" borderId="58" xfId="1" applyFont="1" applyFill="1" applyBorder="1" applyAlignment="1">
      <alignment horizontal="center" vertical="center" wrapText="1"/>
    </xf>
    <xf numFmtId="0" fontId="13" fillId="5" borderId="37" xfId="1" applyFont="1" applyFill="1" applyBorder="1" applyAlignment="1">
      <alignment horizontal="center" vertical="center" wrapText="1"/>
    </xf>
    <xf numFmtId="0" fontId="13" fillId="5" borderId="59" xfId="1" applyFont="1" applyFill="1" applyBorder="1" applyAlignment="1">
      <alignment horizontal="center" vertical="center" wrapText="1"/>
    </xf>
    <xf numFmtId="0" fontId="13" fillId="8" borderId="58" xfId="1" applyFont="1" applyFill="1" applyBorder="1" applyAlignment="1">
      <alignment horizontal="center" vertical="center" wrapText="1"/>
    </xf>
    <xf numFmtId="0" fontId="13" fillId="8" borderId="37" xfId="1" applyFont="1" applyFill="1" applyBorder="1" applyAlignment="1">
      <alignment horizontal="center" vertical="center" wrapText="1"/>
    </xf>
    <xf numFmtId="0" fontId="13" fillId="8" borderId="59" xfId="1" applyFont="1" applyFill="1" applyBorder="1" applyAlignment="1">
      <alignment horizontal="center" vertical="center" wrapText="1"/>
    </xf>
    <xf numFmtId="0" fontId="13" fillId="10" borderId="58" xfId="1" applyFont="1" applyFill="1" applyBorder="1" applyAlignment="1">
      <alignment horizontal="center" vertical="center" wrapText="1"/>
    </xf>
    <xf numFmtId="0" fontId="13" fillId="10" borderId="37" xfId="1" applyFont="1" applyFill="1" applyBorder="1" applyAlignment="1">
      <alignment horizontal="center" vertical="center" wrapText="1"/>
    </xf>
    <xf numFmtId="0" fontId="13" fillId="10" borderId="59" xfId="1" applyFont="1" applyFill="1" applyBorder="1" applyAlignment="1">
      <alignment horizontal="center" vertical="center" wrapText="1"/>
    </xf>
    <xf numFmtId="0" fontId="13" fillId="14" borderId="58" xfId="1" applyFont="1" applyFill="1" applyBorder="1" applyAlignment="1">
      <alignment horizontal="center" vertical="center" wrapText="1"/>
    </xf>
    <xf numFmtId="0" fontId="13" fillId="0" borderId="37" xfId="1" applyFont="1" applyBorder="1" applyAlignment="1">
      <alignment horizontal="center" vertical="center" wrapText="1"/>
    </xf>
    <xf numFmtId="0" fontId="3" fillId="0" borderId="59" xfId="1" applyBorder="1" applyAlignment="1">
      <alignment horizontal="center" vertical="center" wrapText="1"/>
    </xf>
    <xf numFmtId="0" fontId="13" fillId="9" borderId="58" xfId="1" applyFont="1" applyFill="1" applyBorder="1" applyAlignment="1">
      <alignment horizontal="center" vertical="center" wrapText="1"/>
    </xf>
    <xf numFmtId="0" fontId="13" fillId="9" borderId="37" xfId="1" applyFont="1" applyFill="1" applyBorder="1" applyAlignment="1">
      <alignment horizontal="center" vertical="center" wrapText="1"/>
    </xf>
    <xf numFmtId="0" fontId="13" fillId="9" borderId="59" xfId="1" applyFont="1" applyFill="1" applyBorder="1" applyAlignment="1">
      <alignment horizontal="center" vertical="center" wrapText="1"/>
    </xf>
    <xf numFmtId="0" fontId="13" fillId="11" borderId="37" xfId="1" applyFont="1" applyFill="1" applyBorder="1" applyAlignment="1">
      <alignment horizontal="center" vertical="center" wrapText="1"/>
    </xf>
    <xf numFmtId="0" fontId="13" fillId="11" borderId="59" xfId="1" applyFont="1" applyFill="1" applyBorder="1" applyAlignment="1">
      <alignment horizontal="center" vertical="center" wrapText="1"/>
    </xf>
    <xf numFmtId="0" fontId="13" fillId="15" borderId="58" xfId="1" applyFont="1" applyFill="1" applyBorder="1" applyAlignment="1">
      <alignment horizontal="center" vertical="center" wrapText="1"/>
    </xf>
    <xf numFmtId="0" fontId="13" fillId="15" borderId="37" xfId="1" applyFont="1" applyFill="1" applyBorder="1" applyAlignment="1">
      <alignment horizontal="center" vertical="center" wrapText="1"/>
    </xf>
    <xf numFmtId="0" fontId="13" fillId="15" borderId="59" xfId="1" applyFont="1" applyFill="1" applyBorder="1" applyAlignment="1">
      <alignment horizontal="center" vertical="center" wrapText="1"/>
    </xf>
    <xf numFmtId="0" fontId="13" fillId="16" borderId="58" xfId="1" applyFont="1" applyFill="1" applyBorder="1" applyAlignment="1">
      <alignment horizontal="center" vertical="center" wrapText="1"/>
    </xf>
    <xf numFmtId="0" fontId="13" fillId="16" borderId="37" xfId="1" applyFont="1" applyFill="1" applyBorder="1" applyAlignment="1">
      <alignment horizontal="center" vertical="center" wrapText="1"/>
    </xf>
    <xf numFmtId="0" fontId="13" fillId="16" borderId="59" xfId="1" applyFont="1" applyFill="1" applyBorder="1" applyAlignment="1">
      <alignment horizontal="center" vertical="center" wrapText="1"/>
    </xf>
    <xf numFmtId="0" fontId="13" fillId="14" borderId="37" xfId="1" applyFont="1" applyFill="1" applyBorder="1" applyAlignment="1">
      <alignment horizontal="center" vertical="center" wrapText="1"/>
    </xf>
    <xf numFmtId="0" fontId="13" fillId="14" borderId="59" xfId="1" applyFont="1" applyFill="1" applyBorder="1" applyAlignment="1">
      <alignment horizontal="center" vertical="center" wrapText="1"/>
    </xf>
    <xf numFmtId="0" fontId="3" fillId="0" borderId="58" xfId="1" applyBorder="1" applyAlignment="1">
      <alignment vertical="center" wrapText="1"/>
    </xf>
    <xf numFmtId="0" fontId="3" fillId="0" borderId="37" xfId="1" applyBorder="1" applyAlignment="1">
      <alignment vertical="center" wrapText="1"/>
    </xf>
    <xf numFmtId="0" fontId="3" fillId="0" borderId="59" xfId="1" applyBorder="1" applyAlignment="1">
      <alignment vertical="center" wrapText="1"/>
    </xf>
    <xf numFmtId="0" fontId="13" fillId="17" borderId="58" xfId="1" applyFont="1" applyFill="1" applyBorder="1" applyAlignment="1">
      <alignment horizontal="center" vertical="center" wrapText="1"/>
    </xf>
    <xf numFmtId="0" fontId="13" fillId="17" borderId="37" xfId="1" applyFont="1" applyFill="1" applyBorder="1" applyAlignment="1">
      <alignment horizontal="center" vertical="center" wrapText="1"/>
    </xf>
    <xf numFmtId="0" fontId="13" fillId="17" borderId="59" xfId="1" applyFont="1" applyFill="1" applyBorder="1" applyAlignment="1">
      <alignment horizontal="center" vertical="center" wrapText="1"/>
    </xf>
    <xf numFmtId="0" fontId="13" fillId="18" borderId="58" xfId="1" applyFont="1" applyFill="1" applyBorder="1" applyAlignment="1">
      <alignment horizontal="center" vertical="center" wrapText="1"/>
    </xf>
    <xf numFmtId="0" fontId="13" fillId="18" borderId="37" xfId="1" applyFont="1" applyFill="1" applyBorder="1" applyAlignment="1">
      <alignment horizontal="center" vertical="center" wrapText="1"/>
    </xf>
    <xf numFmtId="0" fontId="13" fillId="18" borderId="59" xfId="1" applyFont="1" applyFill="1" applyBorder="1" applyAlignment="1">
      <alignment horizontal="center" vertical="center" wrapText="1"/>
    </xf>
    <xf numFmtId="0" fontId="13" fillId="0" borderId="58" xfId="1" applyFont="1" applyBorder="1" applyAlignment="1">
      <alignment horizontal="center" vertical="center" wrapText="1"/>
    </xf>
    <xf numFmtId="0" fontId="13" fillId="0" borderId="59" xfId="1" applyFont="1" applyBorder="1" applyAlignment="1">
      <alignment horizontal="center" vertical="center" wrapText="1"/>
    </xf>
    <xf numFmtId="0" fontId="3" fillId="0" borderId="58" xfId="1" applyBorder="1" applyAlignment="1">
      <alignment wrapText="1"/>
    </xf>
    <xf numFmtId="0" fontId="3" fillId="0" borderId="37" xfId="1" applyBorder="1" applyAlignment="1">
      <alignment wrapText="1"/>
    </xf>
    <xf numFmtId="0" fontId="3" fillId="0" borderId="59" xfId="1" applyBorder="1" applyAlignment="1">
      <alignment wrapText="1"/>
    </xf>
    <xf numFmtId="0" fontId="13" fillId="6" borderId="58" xfId="1" applyFont="1" applyFill="1" applyBorder="1" applyAlignment="1">
      <alignment horizontal="center" vertical="center" wrapText="1"/>
    </xf>
    <xf numFmtId="0" fontId="3" fillId="0" borderId="41" xfId="1" applyBorder="1" applyAlignment="1">
      <alignment wrapText="1"/>
    </xf>
    <xf numFmtId="0" fontId="3" fillId="0" borderId="42" xfId="1" applyBorder="1" applyAlignment="1">
      <alignment wrapText="1"/>
    </xf>
    <xf numFmtId="0" fontId="3" fillId="0" borderId="43" xfId="1" applyBorder="1" applyAlignment="1">
      <alignment wrapText="1"/>
    </xf>
    <xf numFmtId="0" fontId="3" fillId="0" borderId="41" xfId="1" applyBorder="1" applyAlignment="1">
      <alignment vertical="center" wrapText="1"/>
    </xf>
    <xf numFmtId="0" fontId="3" fillId="0" borderId="42" xfId="1" applyBorder="1" applyAlignment="1">
      <alignment vertical="center" wrapText="1"/>
    </xf>
    <xf numFmtId="0" fontId="3" fillId="0" borderId="43" xfId="1" applyBorder="1" applyAlignment="1">
      <alignment vertical="center" wrapText="1"/>
    </xf>
    <xf numFmtId="0" fontId="16" fillId="9" borderId="62" xfId="1" applyFont="1" applyFill="1" applyBorder="1" applyAlignment="1">
      <alignment horizontal="center" vertical="center" wrapText="1"/>
    </xf>
    <xf numFmtId="0" fontId="13" fillId="17" borderId="65" xfId="1" applyFont="1" applyFill="1" applyBorder="1" applyAlignment="1">
      <alignment horizontal="center" vertical="center" wrapText="1"/>
    </xf>
    <xf numFmtId="0" fontId="13" fillId="17" borderId="44" xfId="1" applyFont="1" applyFill="1" applyBorder="1" applyAlignment="1">
      <alignment horizontal="center" vertical="center" wrapText="1"/>
    </xf>
    <xf numFmtId="0" fontId="13" fillId="17" borderId="66" xfId="1" applyFont="1" applyFill="1" applyBorder="1" applyAlignment="1">
      <alignment horizontal="center" vertical="center" wrapText="1"/>
    </xf>
    <xf numFmtId="0" fontId="3" fillId="0" borderId="65" xfId="1" applyBorder="1" applyAlignment="1">
      <alignment wrapText="1"/>
    </xf>
    <xf numFmtId="0" fontId="3" fillId="0" borderId="44" xfId="1" applyBorder="1" applyAlignment="1">
      <alignment wrapText="1"/>
    </xf>
    <xf numFmtId="0" fontId="3" fillId="0" borderId="66" xfId="1" applyBorder="1" applyAlignment="1">
      <alignment wrapText="1"/>
    </xf>
    <xf numFmtId="0" fontId="13" fillId="0" borderId="65" xfId="1" applyFont="1" applyBorder="1" applyAlignment="1">
      <alignment horizontal="center" vertical="center" wrapText="1"/>
    </xf>
    <xf numFmtId="0" fontId="13" fillId="0" borderId="44" xfId="1" applyFont="1" applyBorder="1" applyAlignment="1">
      <alignment horizontal="center" vertical="center" wrapText="1"/>
    </xf>
    <xf numFmtId="0" fontId="13" fillId="0" borderId="66" xfId="1" applyFont="1" applyBorder="1" applyAlignment="1">
      <alignment horizontal="center" vertical="center" wrapText="1"/>
    </xf>
    <xf numFmtId="0" fontId="13" fillId="0" borderId="67" xfId="1" applyFont="1" applyBorder="1" applyAlignment="1">
      <alignment horizontal="center" vertical="center" wrapText="1"/>
    </xf>
    <xf numFmtId="0" fontId="16" fillId="9" borderId="3" xfId="1" applyFont="1" applyFill="1" applyBorder="1" applyAlignment="1">
      <alignment horizontal="center" vertical="center" wrapText="1"/>
    </xf>
    <xf numFmtId="0" fontId="16" fillId="0" borderId="24" xfId="1" applyFont="1" applyBorder="1" applyAlignment="1">
      <alignment horizontal="center" vertical="center" wrapText="1"/>
    </xf>
    <xf numFmtId="0" fontId="13" fillId="0" borderId="68" xfId="1" applyFont="1" applyBorder="1" applyAlignment="1">
      <alignment horizontal="center" vertical="center" wrapText="1"/>
    </xf>
    <xf numFmtId="0" fontId="16" fillId="9" borderId="6" xfId="1" applyFont="1" applyFill="1" applyBorder="1" applyAlignment="1">
      <alignment horizontal="center" vertical="center" wrapText="1"/>
    </xf>
    <xf numFmtId="0" fontId="13" fillId="0" borderId="69" xfId="1" applyFont="1" applyBorder="1" applyAlignment="1">
      <alignment horizontal="center" vertical="center" wrapText="1"/>
    </xf>
    <xf numFmtId="0" fontId="13" fillId="0" borderId="56" xfId="1" applyFont="1" applyBorder="1" applyAlignment="1">
      <alignment horizontal="center" vertical="center" wrapText="1"/>
    </xf>
    <xf numFmtId="0" fontId="13" fillId="0" borderId="57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0" borderId="60" xfId="1" applyFont="1" applyBorder="1" applyAlignment="1">
      <alignment horizontal="center" vertical="center" wrapText="1"/>
    </xf>
    <xf numFmtId="0" fontId="13" fillId="7" borderId="58" xfId="1" applyFont="1" applyFill="1" applyBorder="1" applyAlignment="1">
      <alignment horizontal="center" vertical="center" wrapText="1"/>
    </xf>
    <xf numFmtId="0" fontId="3" fillId="0" borderId="58" xfId="1" applyBorder="1" applyAlignment="1">
      <alignment horizontal="center" vertical="center" wrapText="1"/>
    </xf>
    <xf numFmtId="0" fontId="3" fillId="0" borderId="37" xfId="1" applyBorder="1" applyAlignment="1">
      <alignment horizontal="center" vertical="center" wrapText="1"/>
    </xf>
    <xf numFmtId="0" fontId="13" fillId="10" borderId="41" xfId="1" applyFont="1" applyFill="1" applyBorder="1" applyAlignment="1">
      <alignment horizontal="center" vertical="center" wrapText="1"/>
    </xf>
    <xf numFmtId="0" fontId="13" fillId="0" borderId="42" xfId="1" applyFont="1" applyBorder="1" applyAlignment="1">
      <alignment horizontal="center" vertical="center" wrapText="1"/>
    </xf>
    <xf numFmtId="0" fontId="3" fillId="0" borderId="43" xfId="1" applyBorder="1" applyAlignment="1">
      <alignment horizontal="center" vertical="center" wrapText="1"/>
    </xf>
    <xf numFmtId="0" fontId="13" fillId="17" borderId="41" xfId="1" applyFont="1" applyFill="1" applyBorder="1" applyAlignment="1">
      <alignment horizontal="center" vertical="center" wrapText="1"/>
    </xf>
    <xf numFmtId="0" fontId="13" fillId="17" borderId="42" xfId="1" applyFont="1" applyFill="1" applyBorder="1" applyAlignment="1">
      <alignment horizontal="center" vertical="center" wrapText="1"/>
    </xf>
    <xf numFmtId="0" fontId="13" fillId="17" borderId="43" xfId="1" applyFont="1" applyFill="1" applyBorder="1" applyAlignment="1">
      <alignment horizontal="center" vertical="center" wrapText="1"/>
    </xf>
    <xf numFmtId="0" fontId="14" fillId="0" borderId="41" xfId="1" applyFont="1" applyBorder="1" applyAlignment="1">
      <alignment horizontal="center" vertical="center" wrapText="1"/>
    </xf>
    <xf numFmtId="0" fontId="14" fillId="0" borderId="42" xfId="1" applyFont="1" applyBorder="1" applyAlignment="1">
      <alignment horizontal="center" vertical="center" wrapText="1"/>
    </xf>
    <xf numFmtId="0" fontId="14" fillId="0" borderId="43" xfId="1" applyFont="1" applyBorder="1" applyAlignment="1">
      <alignment horizontal="center" vertical="center" wrapText="1"/>
    </xf>
    <xf numFmtId="0" fontId="3" fillId="0" borderId="41" xfId="1" applyBorder="1" applyAlignment="1">
      <alignment horizontal="center" vertical="center" wrapText="1"/>
    </xf>
    <xf numFmtId="0" fontId="3" fillId="0" borderId="42" xfId="1" applyBorder="1" applyAlignment="1">
      <alignment horizontal="center" vertical="center" wrapText="1"/>
    </xf>
    <xf numFmtId="0" fontId="16" fillId="9" borderId="11" xfId="1" applyFont="1" applyFill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textRotation="90" wrapText="1"/>
    </xf>
    <xf numFmtId="0" fontId="3" fillId="0" borderId="4" xfId="1" applyBorder="1" applyAlignment="1">
      <alignment horizontal="center" vertical="center" wrapText="1"/>
    </xf>
    <xf numFmtId="0" fontId="3" fillId="3" borderId="5" xfId="1" applyFill="1" applyBorder="1" applyAlignment="1">
      <alignment horizontal="center" vertical="center" wrapText="1"/>
    </xf>
    <xf numFmtId="0" fontId="3" fillId="0" borderId="7" xfId="1" applyBorder="1" applyAlignment="1">
      <alignment wrapText="1"/>
    </xf>
    <xf numFmtId="0" fontId="13" fillId="7" borderId="45" xfId="1" applyFont="1" applyFill="1" applyBorder="1" applyAlignment="1">
      <alignment horizontal="center" vertical="center" wrapText="1"/>
    </xf>
    <xf numFmtId="0" fontId="13" fillId="5" borderId="46" xfId="1" applyFont="1" applyFill="1" applyBorder="1" applyAlignment="1">
      <alignment horizontal="center" vertical="center" wrapText="1"/>
    </xf>
    <xf numFmtId="0" fontId="13" fillId="5" borderId="70" xfId="1" applyFont="1" applyFill="1" applyBorder="1" applyAlignment="1">
      <alignment horizontal="center" vertical="center" wrapText="1"/>
    </xf>
    <xf numFmtId="0" fontId="13" fillId="13" borderId="71" xfId="1" applyFont="1" applyFill="1" applyBorder="1" applyAlignment="1">
      <alignment horizontal="center" vertical="center" wrapText="1"/>
    </xf>
    <xf numFmtId="0" fontId="13" fillId="6" borderId="37" xfId="1" applyFont="1" applyFill="1" applyBorder="1" applyAlignment="1">
      <alignment horizontal="center" vertical="center" wrapText="1"/>
    </xf>
    <xf numFmtId="0" fontId="13" fillId="6" borderId="59" xfId="1" applyFont="1" applyFill="1" applyBorder="1" applyAlignment="1">
      <alignment horizontal="center" vertical="center" wrapText="1"/>
    </xf>
    <xf numFmtId="0" fontId="13" fillId="15" borderId="70" xfId="1" applyFont="1" applyFill="1" applyBorder="1" applyAlignment="1">
      <alignment horizontal="center" vertical="center" wrapText="1"/>
    </xf>
    <xf numFmtId="0" fontId="3" fillId="0" borderId="70" xfId="1" applyBorder="1" applyAlignment="1">
      <alignment wrapText="1"/>
    </xf>
    <xf numFmtId="0" fontId="13" fillId="0" borderId="71" xfId="1" applyFont="1" applyBorder="1" applyAlignment="1">
      <alignment horizontal="center" vertical="center" wrapText="1"/>
    </xf>
    <xf numFmtId="0" fontId="3" fillId="0" borderId="71" xfId="1" applyBorder="1" applyAlignment="1">
      <alignment vertical="center" wrapText="1"/>
    </xf>
    <xf numFmtId="0" fontId="13" fillId="18" borderId="41" xfId="1" applyFont="1" applyFill="1" applyBorder="1" applyAlignment="1">
      <alignment horizontal="center" vertical="center" wrapText="1"/>
    </xf>
    <xf numFmtId="0" fontId="13" fillId="18" borderId="42" xfId="1" applyFont="1" applyFill="1" applyBorder="1" applyAlignment="1">
      <alignment horizontal="center" vertical="center" wrapText="1"/>
    </xf>
    <xf numFmtId="0" fontId="13" fillId="18" borderId="43" xfId="1" applyFont="1" applyFill="1" applyBorder="1" applyAlignment="1">
      <alignment horizontal="center" vertical="center" wrapText="1"/>
    </xf>
    <xf numFmtId="0" fontId="3" fillId="0" borderId="47" xfId="1" applyBorder="1" applyAlignment="1">
      <alignment wrapText="1"/>
    </xf>
    <xf numFmtId="0" fontId="13" fillId="0" borderId="41" xfId="1" applyFont="1" applyBorder="1" applyAlignment="1">
      <alignment horizontal="center" vertical="center" wrapText="1"/>
    </xf>
    <xf numFmtId="0" fontId="13" fillId="0" borderId="43" xfId="1" applyFont="1" applyBorder="1" applyAlignment="1">
      <alignment horizontal="center" vertical="center" wrapText="1"/>
    </xf>
    <xf numFmtId="0" fontId="7" fillId="0" borderId="48" xfId="1" applyFont="1" applyBorder="1" applyAlignment="1">
      <alignment horizontal="center" vertical="center" wrapText="1"/>
    </xf>
    <xf numFmtId="0" fontId="7" fillId="0" borderId="42" xfId="1" applyFont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0" fontId="13" fillId="0" borderId="62" xfId="1" applyFont="1" applyBorder="1" applyAlignment="1">
      <alignment horizontal="center" vertical="center" wrapText="1"/>
    </xf>
    <xf numFmtId="0" fontId="13" fillId="0" borderId="72" xfId="1" applyFont="1" applyBorder="1" applyAlignment="1">
      <alignment horizontal="center" vertical="center" wrapText="1"/>
    </xf>
    <xf numFmtId="0" fontId="13" fillId="0" borderId="64" xfId="1" applyFont="1" applyBorder="1" applyAlignment="1">
      <alignment horizontal="center" vertical="center" wrapText="1"/>
    </xf>
    <xf numFmtId="0" fontId="13" fillId="9" borderId="24" xfId="1" applyFont="1" applyFill="1" applyBorder="1" applyAlignment="1">
      <alignment horizontal="center" vertical="center" wrapText="1"/>
    </xf>
    <xf numFmtId="0" fontId="13" fillId="9" borderId="25" xfId="1" applyFont="1" applyFill="1" applyBorder="1" applyAlignment="1">
      <alignment horizontal="center" vertical="center" wrapText="1"/>
    </xf>
    <xf numFmtId="0" fontId="16" fillId="9" borderId="25" xfId="1" applyFont="1" applyFill="1" applyBorder="1" applyAlignment="1">
      <alignment horizontal="center" vertical="center" wrapText="1"/>
    </xf>
    <xf numFmtId="0" fontId="16" fillId="9" borderId="26" xfId="1" applyFont="1" applyFill="1" applyBorder="1" applyAlignment="1">
      <alignment horizontal="center" vertical="center" wrapText="1"/>
    </xf>
    <xf numFmtId="0" fontId="13" fillId="0" borderId="63" xfId="1" applyFont="1" applyBorder="1" applyAlignment="1">
      <alignment horizontal="center" vertical="center" wrapText="1"/>
    </xf>
    <xf numFmtId="0" fontId="13" fillId="6" borderId="45" xfId="1" applyFont="1" applyFill="1" applyBorder="1" applyAlignment="1">
      <alignment horizontal="center" vertical="center" wrapText="1"/>
    </xf>
    <xf numFmtId="0" fontId="13" fillId="8" borderId="70" xfId="1" applyFont="1" applyFill="1" applyBorder="1" applyAlignment="1">
      <alignment horizontal="center" vertical="center" wrapText="1"/>
    </xf>
    <xf numFmtId="0" fontId="13" fillId="12" borderId="70" xfId="1" applyFont="1" applyFill="1" applyBorder="1" applyAlignment="1">
      <alignment horizontal="center" vertical="center" wrapText="1"/>
    </xf>
    <xf numFmtId="0" fontId="13" fillId="9" borderId="70" xfId="1" applyFont="1" applyFill="1" applyBorder="1" applyAlignment="1">
      <alignment horizontal="center" vertical="center" wrapText="1"/>
    </xf>
    <xf numFmtId="0" fontId="13" fillId="16" borderId="70" xfId="1" applyFont="1" applyFill="1" applyBorder="1" applyAlignment="1">
      <alignment horizontal="center" vertical="center" wrapText="1"/>
    </xf>
    <xf numFmtId="0" fontId="7" fillId="0" borderId="58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7" fillId="0" borderId="59" xfId="1" applyFont="1" applyBorder="1" applyAlignment="1">
      <alignment horizontal="center" vertical="center" wrapText="1"/>
    </xf>
    <xf numFmtId="0" fontId="13" fillId="18" borderId="47" xfId="1" applyFont="1" applyFill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textRotation="90" wrapText="1"/>
    </xf>
    <xf numFmtId="0" fontId="15" fillId="0" borderId="0" xfId="1" applyFont="1" applyAlignment="1">
      <alignment vertical="center" textRotation="90" wrapText="1"/>
    </xf>
    <xf numFmtId="0" fontId="13" fillId="8" borderId="46" xfId="1" applyFont="1" applyFill="1" applyBorder="1" applyAlignment="1">
      <alignment horizontal="center" vertical="center" wrapText="1"/>
    </xf>
    <xf numFmtId="0" fontId="13" fillId="8" borderId="73" xfId="1" applyFont="1" applyFill="1" applyBorder="1" applyAlignment="1">
      <alignment horizontal="center" vertical="center" wrapText="1"/>
    </xf>
    <xf numFmtId="0" fontId="13" fillId="13" borderId="74" xfId="1" applyFont="1" applyFill="1" applyBorder="1" applyAlignment="1">
      <alignment horizontal="center" vertical="center" wrapText="1"/>
    </xf>
    <xf numFmtId="0" fontId="13" fillId="11" borderId="70" xfId="1" applyFont="1" applyFill="1" applyBorder="1" applyAlignment="1">
      <alignment horizontal="center" vertical="center" wrapText="1"/>
    </xf>
    <xf numFmtId="0" fontId="13" fillId="11" borderId="71" xfId="1" applyFont="1" applyFill="1" applyBorder="1" applyAlignment="1">
      <alignment horizontal="center" vertical="center" wrapText="1"/>
    </xf>
    <xf numFmtId="0" fontId="13" fillId="11" borderId="74" xfId="1" applyFont="1" applyFill="1" applyBorder="1" applyAlignment="1">
      <alignment horizontal="center" vertical="center" wrapText="1"/>
    </xf>
    <xf numFmtId="0" fontId="13" fillId="14" borderId="70" xfId="1" applyFont="1" applyFill="1" applyBorder="1" applyAlignment="1">
      <alignment horizontal="center" vertical="center" wrapText="1"/>
    </xf>
    <xf numFmtId="0" fontId="13" fillId="14" borderId="71" xfId="1" applyFont="1" applyFill="1" applyBorder="1" applyAlignment="1">
      <alignment horizontal="center" vertical="center" wrapText="1"/>
    </xf>
    <xf numFmtId="0" fontId="13" fillId="14" borderId="74" xfId="1" applyFont="1" applyFill="1" applyBorder="1" applyAlignment="1">
      <alignment horizontal="center" vertical="center" wrapText="1"/>
    </xf>
    <xf numFmtId="0" fontId="13" fillId="17" borderId="70" xfId="1" applyFont="1" applyFill="1" applyBorder="1" applyAlignment="1">
      <alignment horizontal="center" vertical="center" wrapText="1"/>
    </xf>
    <xf numFmtId="0" fontId="13" fillId="17" borderId="71" xfId="1" applyFont="1" applyFill="1" applyBorder="1" applyAlignment="1">
      <alignment horizontal="center" vertical="center" wrapText="1"/>
    </xf>
    <xf numFmtId="0" fontId="13" fillId="17" borderId="74" xfId="1" applyFont="1" applyFill="1" applyBorder="1" applyAlignment="1">
      <alignment horizontal="center" vertical="center" wrapText="1"/>
    </xf>
    <xf numFmtId="0" fontId="13" fillId="0" borderId="70" xfId="1" applyFont="1" applyBorder="1" applyAlignment="1">
      <alignment horizontal="center" vertical="center" wrapText="1"/>
    </xf>
    <xf numFmtId="0" fontId="13" fillId="0" borderId="48" xfId="1" applyFont="1" applyBorder="1" applyAlignment="1">
      <alignment horizontal="center" vertical="center" wrapText="1"/>
    </xf>
    <xf numFmtId="0" fontId="13" fillId="0" borderId="75" xfId="1" applyFont="1" applyBorder="1" applyAlignment="1">
      <alignment horizontal="center" vertical="center" wrapText="1"/>
    </xf>
    <xf numFmtId="0" fontId="3" fillId="3" borderId="30" xfId="1" applyFill="1" applyBorder="1" applyAlignment="1">
      <alignment horizontal="center" vertical="center" wrapText="1"/>
    </xf>
    <xf numFmtId="0" fontId="16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3" fillId="0" borderId="0" xfId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0" xfId="2" applyAlignment="1">
      <alignment wrapText="1"/>
    </xf>
    <xf numFmtId="0" fontId="2" fillId="0" borderId="0" xfId="2" applyAlignment="1">
      <alignment horizontal="center" vertical="center" wrapText="1"/>
    </xf>
    <xf numFmtId="0" fontId="2" fillId="0" borderId="0" xfId="2"/>
    <xf numFmtId="0" fontId="13" fillId="0" borderId="49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15" fillId="0" borderId="35" xfId="2" applyFont="1" applyBorder="1" applyAlignment="1">
      <alignment horizontal="center" vertical="center" textRotation="90" wrapText="1"/>
    </xf>
    <xf numFmtId="0" fontId="13" fillId="0" borderId="10" xfId="2" applyFont="1" applyBorder="1" applyAlignment="1">
      <alignment horizontal="center" vertical="center" wrapText="1"/>
    </xf>
    <xf numFmtId="0" fontId="13" fillId="0" borderId="24" xfId="2" applyFont="1" applyBorder="1" applyAlignment="1">
      <alignment horizontal="center" vertical="center" wrapText="1"/>
    </xf>
    <xf numFmtId="0" fontId="13" fillId="0" borderId="25" xfId="2" applyFont="1" applyBorder="1" applyAlignment="1">
      <alignment horizontal="center" vertical="center" wrapText="1"/>
    </xf>
    <xf numFmtId="0" fontId="13" fillId="0" borderId="26" xfId="2" applyFont="1" applyBorder="1" applyAlignment="1">
      <alignment horizontal="center" vertical="center" wrapText="1"/>
    </xf>
    <xf numFmtId="0" fontId="13" fillId="5" borderId="38" xfId="2" applyFont="1" applyFill="1" applyBorder="1" applyAlignment="1">
      <alignment horizontal="center" vertical="center" wrapText="1"/>
    </xf>
    <xf numFmtId="0" fontId="13" fillId="5" borderId="39" xfId="2" applyFont="1" applyFill="1" applyBorder="1" applyAlignment="1">
      <alignment horizontal="center" vertical="center" wrapText="1"/>
    </xf>
    <xf numFmtId="0" fontId="13" fillId="5" borderId="40" xfId="2" applyFont="1" applyFill="1" applyBorder="1" applyAlignment="1">
      <alignment horizontal="center" vertical="center" wrapText="1"/>
    </xf>
    <xf numFmtId="0" fontId="13" fillId="6" borderId="38" xfId="2" applyFont="1" applyFill="1" applyBorder="1" applyAlignment="1">
      <alignment horizontal="center" vertical="center" wrapText="1"/>
    </xf>
    <xf numFmtId="0" fontId="13" fillId="6" borderId="39" xfId="2" applyFont="1" applyFill="1" applyBorder="1" applyAlignment="1">
      <alignment horizontal="center" vertical="center" wrapText="1"/>
    </xf>
    <xf numFmtId="0" fontId="13" fillId="6" borderId="40" xfId="2" applyFont="1" applyFill="1" applyBorder="1" applyAlignment="1">
      <alignment horizontal="center" vertical="center" wrapText="1"/>
    </xf>
    <xf numFmtId="0" fontId="13" fillId="7" borderId="38" xfId="2" applyFont="1" applyFill="1" applyBorder="1" applyAlignment="1">
      <alignment horizontal="center" vertical="center" wrapText="1"/>
    </xf>
    <xf numFmtId="0" fontId="13" fillId="7" borderId="39" xfId="2" applyFont="1" applyFill="1" applyBorder="1" applyAlignment="1">
      <alignment horizontal="center" vertical="center" wrapText="1"/>
    </xf>
    <xf numFmtId="0" fontId="13" fillId="7" borderId="40" xfId="2" applyFont="1" applyFill="1" applyBorder="1" applyAlignment="1">
      <alignment horizontal="center" vertical="center" wrapText="1"/>
    </xf>
    <xf numFmtId="0" fontId="13" fillId="8" borderId="38" xfId="2" applyFont="1" applyFill="1" applyBorder="1" applyAlignment="1">
      <alignment horizontal="center" vertical="center" wrapText="1"/>
    </xf>
    <xf numFmtId="0" fontId="13" fillId="8" borderId="39" xfId="2" applyFont="1" applyFill="1" applyBorder="1" applyAlignment="1">
      <alignment horizontal="center" vertical="center" wrapText="1"/>
    </xf>
    <xf numFmtId="0" fontId="13" fillId="8" borderId="40" xfId="2" applyFont="1" applyFill="1" applyBorder="1" applyAlignment="1">
      <alignment horizontal="center" vertical="center" wrapText="1"/>
    </xf>
    <xf numFmtId="0" fontId="13" fillId="10" borderId="53" xfId="2" applyFont="1" applyFill="1" applyBorder="1" applyAlignment="1">
      <alignment horizontal="center" vertical="center" wrapText="1"/>
    </xf>
    <xf numFmtId="0" fontId="13" fillId="10" borderId="54" xfId="2" applyFont="1" applyFill="1" applyBorder="1" applyAlignment="1">
      <alignment horizontal="center" vertical="center" wrapText="1"/>
    </xf>
    <xf numFmtId="0" fontId="13" fillId="10" borderId="55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13" fillId="7" borderId="53" xfId="2" applyFont="1" applyFill="1" applyBorder="1" applyAlignment="1">
      <alignment horizontal="center" vertical="center" wrapText="1"/>
    </xf>
    <xf numFmtId="0" fontId="13" fillId="7" borderId="54" xfId="2" applyFont="1" applyFill="1" applyBorder="1" applyAlignment="1">
      <alignment horizontal="center" vertical="center" wrapText="1"/>
    </xf>
    <xf numFmtId="0" fontId="13" fillId="7" borderId="55" xfId="2" applyFont="1" applyFill="1" applyBorder="1" applyAlignment="1">
      <alignment horizontal="center" vertical="center" wrapText="1"/>
    </xf>
    <xf numFmtId="0" fontId="13" fillId="6" borderId="53" xfId="2" applyFont="1" applyFill="1" applyBorder="1" applyAlignment="1">
      <alignment horizontal="center" vertical="center" wrapText="1"/>
    </xf>
    <xf numFmtId="0" fontId="13" fillId="6" borderId="54" xfId="2" applyFont="1" applyFill="1" applyBorder="1" applyAlignment="1">
      <alignment horizontal="center" vertical="center" wrapText="1"/>
    </xf>
    <xf numFmtId="0" fontId="13" fillId="6" borderId="76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2" fillId="0" borderId="55" xfId="2" applyBorder="1" applyAlignment="1">
      <alignment horizontal="center" vertical="center" wrapText="1"/>
    </xf>
    <xf numFmtId="0" fontId="2" fillId="3" borderId="56" xfId="2" applyFill="1" applyBorder="1" applyAlignment="1">
      <alignment horizontal="center" vertical="center" wrapText="1"/>
    </xf>
    <xf numFmtId="0" fontId="13" fillId="12" borderId="58" xfId="2" applyFont="1" applyFill="1" applyBorder="1" applyAlignment="1">
      <alignment horizontal="center" vertical="center" wrapText="1"/>
    </xf>
    <xf numFmtId="0" fontId="13" fillId="12" borderId="37" xfId="2" applyFont="1" applyFill="1" applyBorder="1" applyAlignment="1">
      <alignment horizontal="center" vertical="center" wrapText="1"/>
    </xf>
    <xf numFmtId="0" fontId="13" fillId="12" borderId="59" xfId="2" applyFont="1" applyFill="1" applyBorder="1" applyAlignment="1">
      <alignment horizontal="center" vertical="center" wrapText="1"/>
    </xf>
    <xf numFmtId="0" fontId="13" fillId="13" borderId="58" xfId="2" applyFont="1" applyFill="1" applyBorder="1" applyAlignment="1">
      <alignment horizontal="center" vertical="center" wrapText="1"/>
    </xf>
    <xf numFmtId="0" fontId="13" fillId="13" borderId="37" xfId="2" applyFont="1" applyFill="1" applyBorder="1" applyAlignment="1">
      <alignment horizontal="center" vertical="center" wrapText="1"/>
    </xf>
    <xf numFmtId="0" fontId="13" fillId="13" borderId="59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0" fontId="13" fillId="5" borderId="37" xfId="2" applyFont="1" applyFill="1" applyBorder="1" applyAlignment="1">
      <alignment horizontal="center" vertical="center" wrapText="1"/>
    </xf>
    <xf numFmtId="0" fontId="13" fillId="5" borderId="59" xfId="2" applyFont="1" applyFill="1" applyBorder="1" applyAlignment="1">
      <alignment horizontal="center" vertical="center" wrapText="1"/>
    </xf>
    <xf numFmtId="0" fontId="13" fillId="8" borderId="58" xfId="2" applyFont="1" applyFill="1" applyBorder="1" applyAlignment="1">
      <alignment horizontal="center" vertical="center" wrapText="1"/>
    </xf>
    <xf numFmtId="0" fontId="13" fillId="8" borderId="37" xfId="2" applyFont="1" applyFill="1" applyBorder="1" applyAlignment="1">
      <alignment horizontal="center" vertical="center" wrapText="1"/>
    </xf>
    <xf numFmtId="0" fontId="13" fillId="8" borderId="59" xfId="2" applyFont="1" applyFill="1" applyBorder="1" applyAlignment="1">
      <alignment horizontal="center" vertical="center" wrapText="1"/>
    </xf>
    <xf numFmtId="0" fontId="13" fillId="10" borderId="58" xfId="2" applyFont="1" applyFill="1" applyBorder="1" applyAlignment="1">
      <alignment horizontal="center" vertical="center" wrapText="1"/>
    </xf>
    <xf numFmtId="0" fontId="13" fillId="10" borderId="37" xfId="2" applyFont="1" applyFill="1" applyBorder="1" applyAlignment="1">
      <alignment horizontal="center" vertical="center" wrapText="1"/>
    </xf>
    <xf numFmtId="0" fontId="13" fillId="10" borderId="59" xfId="2" applyFont="1" applyFill="1" applyBorder="1" applyAlignment="1">
      <alignment horizontal="center" vertical="center" wrapText="1"/>
    </xf>
    <xf numFmtId="0" fontId="13" fillId="13" borderId="70" xfId="2" applyFont="1" applyFill="1" applyBorder="1" applyAlignment="1">
      <alignment horizontal="center" vertical="center" wrapText="1"/>
    </xf>
    <xf numFmtId="0" fontId="13" fillId="14" borderId="58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" fillId="0" borderId="59" xfId="2" applyBorder="1" applyAlignment="1">
      <alignment horizontal="center" vertical="center" wrapText="1"/>
    </xf>
    <xf numFmtId="0" fontId="13" fillId="9" borderId="58" xfId="2" applyFont="1" applyFill="1" applyBorder="1" applyAlignment="1">
      <alignment horizontal="center" vertical="center" wrapText="1"/>
    </xf>
    <xf numFmtId="0" fontId="13" fillId="9" borderId="37" xfId="2" applyFont="1" applyFill="1" applyBorder="1" applyAlignment="1">
      <alignment horizontal="center" vertical="center" wrapText="1"/>
    </xf>
    <xf numFmtId="0" fontId="13" fillId="9" borderId="59" xfId="2" applyFont="1" applyFill="1" applyBorder="1" applyAlignment="1">
      <alignment horizontal="center" vertical="center" wrapText="1"/>
    </xf>
    <xf numFmtId="0" fontId="13" fillId="11" borderId="37" xfId="2" applyFont="1" applyFill="1" applyBorder="1" applyAlignment="1">
      <alignment horizontal="center" vertical="center" wrapText="1"/>
    </xf>
    <xf numFmtId="0" fontId="13" fillId="11" borderId="59" xfId="2" applyFont="1" applyFill="1" applyBorder="1" applyAlignment="1">
      <alignment horizontal="center" vertical="center" wrapText="1"/>
    </xf>
    <xf numFmtId="0" fontId="13" fillId="15" borderId="58" xfId="2" applyFont="1" applyFill="1" applyBorder="1" applyAlignment="1">
      <alignment horizontal="center" vertical="center" wrapText="1"/>
    </xf>
    <xf numFmtId="0" fontId="13" fillId="15" borderId="37" xfId="2" applyFont="1" applyFill="1" applyBorder="1" applyAlignment="1">
      <alignment horizontal="center" vertical="center" wrapText="1"/>
    </xf>
    <xf numFmtId="0" fontId="13" fillId="15" borderId="59" xfId="2" applyFont="1" applyFill="1" applyBorder="1" applyAlignment="1">
      <alignment horizontal="center" vertical="center" wrapText="1"/>
    </xf>
    <xf numFmtId="0" fontId="13" fillId="16" borderId="58" xfId="2" applyFont="1" applyFill="1" applyBorder="1" applyAlignment="1">
      <alignment horizontal="center" vertical="center" wrapText="1"/>
    </xf>
    <xf numFmtId="0" fontId="13" fillId="16" borderId="37" xfId="2" applyFont="1" applyFill="1" applyBorder="1" applyAlignment="1">
      <alignment horizontal="center" vertical="center" wrapText="1"/>
    </xf>
    <xf numFmtId="0" fontId="13" fillId="16" borderId="70" xfId="2" applyFont="1" applyFill="1" applyBorder="1" applyAlignment="1">
      <alignment horizontal="center" vertical="center" wrapText="1"/>
    </xf>
    <xf numFmtId="0" fontId="13" fillId="16" borderId="59" xfId="2" applyFont="1" applyFill="1" applyBorder="1" applyAlignment="1">
      <alignment horizontal="center" vertical="center" wrapText="1"/>
    </xf>
    <xf numFmtId="0" fontId="13" fillId="14" borderId="37" xfId="2" applyFont="1" applyFill="1" applyBorder="1" applyAlignment="1">
      <alignment horizontal="center" vertical="center" wrapText="1"/>
    </xf>
    <xf numFmtId="0" fontId="13" fillId="14" borderId="59" xfId="2" applyFont="1" applyFill="1" applyBorder="1" applyAlignment="1">
      <alignment horizontal="center" vertical="center" wrapText="1"/>
    </xf>
    <xf numFmtId="0" fontId="2" fillId="0" borderId="58" xfId="2" applyBorder="1" applyAlignment="1">
      <alignment vertical="center" wrapText="1"/>
    </xf>
    <xf numFmtId="0" fontId="2" fillId="0" borderId="37" xfId="2" applyBorder="1" applyAlignment="1">
      <alignment vertical="center" wrapText="1"/>
    </xf>
    <xf numFmtId="0" fontId="2" fillId="0" borderId="59" xfId="2" applyBorder="1" applyAlignment="1">
      <alignment vertical="center" wrapText="1"/>
    </xf>
    <xf numFmtId="0" fontId="13" fillId="17" borderId="58" xfId="2" applyFont="1" applyFill="1" applyBorder="1" applyAlignment="1">
      <alignment horizontal="center" vertical="center" wrapText="1"/>
    </xf>
    <xf numFmtId="0" fontId="13" fillId="17" borderId="37" xfId="2" applyFont="1" applyFill="1" applyBorder="1" applyAlignment="1">
      <alignment horizontal="center" vertical="center" wrapText="1"/>
    </xf>
    <xf numFmtId="0" fontId="13" fillId="17" borderId="70" xfId="2" applyFont="1" applyFill="1" applyBorder="1" applyAlignment="1">
      <alignment horizontal="center" vertical="center" wrapText="1"/>
    </xf>
    <xf numFmtId="0" fontId="13" fillId="18" borderId="58" xfId="2" applyFont="1" applyFill="1" applyBorder="1" applyAlignment="1">
      <alignment horizontal="center" vertical="center" wrapText="1"/>
    </xf>
    <xf numFmtId="0" fontId="13" fillId="18" borderId="37" xfId="2" applyFont="1" applyFill="1" applyBorder="1" applyAlignment="1">
      <alignment horizontal="center" vertical="center" wrapText="1"/>
    </xf>
    <xf numFmtId="0" fontId="13" fillId="18" borderId="59" xfId="2" applyFont="1" applyFill="1" applyBorder="1" applyAlignment="1">
      <alignment horizontal="center" vertical="center" wrapText="1"/>
    </xf>
    <xf numFmtId="0" fontId="13" fillId="17" borderId="59" xfId="2" applyFont="1" applyFill="1" applyBorder="1" applyAlignment="1">
      <alignment horizontal="center" vertical="center" wrapText="1"/>
    </xf>
    <xf numFmtId="0" fontId="13" fillId="0" borderId="58" xfId="2" applyFont="1" applyBorder="1" applyAlignment="1">
      <alignment horizontal="center" vertical="center" wrapText="1"/>
    </xf>
    <xf numFmtId="0" fontId="13" fillId="0" borderId="59" xfId="2" applyFont="1" applyBorder="1" applyAlignment="1">
      <alignment horizontal="center" vertical="center" wrapText="1"/>
    </xf>
    <xf numFmtId="0" fontId="2" fillId="0" borderId="58" xfId="2" applyBorder="1" applyAlignment="1">
      <alignment wrapText="1"/>
    </xf>
    <xf numFmtId="0" fontId="2" fillId="0" borderId="37" xfId="2" applyBorder="1" applyAlignment="1">
      <alignment wrapText="1"/>
    </xf>
    <xf numFmtId="0" fontId="2" fillId="0" borderId="70" xfId="2" applyBorder="1" applyAlignment="1">
      <alignment wrapText="1"/>
    </xf>
    <xf numFmtId="0" fontId="13" fillId="6" borderId="58" xfId="2" applyFont="1" applyFill="1" applyBorder="1" applyAlignment="1">
      <alignment horizontal="center" vertical="center" wrapText="1"/>
    </xf>
    <xf numFmtId="0" fontId="2" fillId="0" borderId="41" xfId="2" applyBorder="1" applyAlignment="1">
      <alignment wrapText="1"/>
    </xf>
    <xf numFmtId="0" fontId="2" fillId="0" borderId="42" xfId="2" applyBorder="1" applyAlignment="1">
      <alignment wrapText="1"/>
    </xf>
    <xf numFmtId="0" fontId="2" fillId="0" borderId="43" xfId="2" applyBorder="1" applyAlignment="1">
      <alignment wrapText="1"/>
    </xf>
    <xf numFmtId="0" fontId="2" fillId="0" borderId="41" xfId="2" applyBorder="1" applyAlignment="1">
      <alignment vertical="center" wrapText="1"/>
    </xf>
    <xf numFmtId="0" fontId="2" fillId="0" borderId="42" xfId="2" applyBorder="1" applyAlignment="1">
      <alignment vertical="center" wrapText="1"/>
    </xf>
    <xf numFmtId="0" fontId="2" fillId="0" borderId="43" xfId="2" applyBorder="1" applyAlignment="1">
      <alignment vertical="center" wrapText="1"/>
    </xf>
    <xf numFmtId="0" fontId="16" fillId="9" borderId="62" xfId="2" applyFont="1" applyFill="1" applyBorder="1" applyAlignment="1">
      <alignment horizontal="center" vertical="center" wrapText="1"/>
    </xf>
    <xf numFmtId="0" fontId="13" fillId="17" borderId="65" xfId="2" applyFont="1" applyFill="1" applyBorder="1" applyAlignment="1">
      <alignment horizontal="center" vertical="center" wrapText="1"/>
    </xf>
    <xf numFmtId="0" fontId="13" fillId="17" borderId="44" xfId="2" applyFont="1" applyFill="1" applyBorder="1" applyAlignment="1">
      <alignment horizontal="center" vertical="center" wrapText="1"/>
    </xf>
    <xf numFmtId="0" fontId="13" fillId="17" borderId="66" xfId="2" applyFont="1" applyFill="1" applyBorder="1" applyAlignment="1">
      <alignment horizontal="center" vertical="center" wrapText="1"/>
    </xf>
    <xf numFmtId="0" fontId="2" fillId="0" borderId="65" xfId="2" applyBorder="1" applyAlignment="1">
      <alignment wrapText="1"/>
    </xf>
    <xf numFmtId="0" fontId="2" fillId="0" borderId="44" xfId="2" applyBorder="1" applyAlignment="1">
      <alignment wrapText="1"/>
    </xf>
    <xf numFmtId="0" fontId="2" fillId="0" borderId="66" xfId="2" applyBorder="1" applyAlignment="1">
      <alignment wrapText="1"/>
    </xf>
    <xf numFmtId="0" fontId="13" fillId="0" borderId="65" xfId="2" applyFont="1" applyBorder="1" applyAlignment="1">
      <alignment horizontal="center" vertical="center" wrapText="1"/>
    </xf>
    <xf numFmtId="0" fontId="13" fillId="0" borderId="44" xfId="2" applyFont="1" applyBorder="1" applyAlignment="1">
      <alignment horizontal="center" vertical="center" wrapText="1"/>
    </xf>
    <xf numFmtId="0" fontId="13" fillId="0" borderId="66" xfId="2" applyFont="1" applyBorder="1" applyAlignment="1">
      <alignment horizontal="center" vertical="center" wrapText="1"/>
    </xf>
    <xf numFmtId="0" fontId="2" fillId="0" borderId="77" xfId="2" applyBorder="1" applyAlignment="1">
      <alignment wrapText="1"/>
    </xf>
    <xf numFmtId="0" fontId="13" fillId="0" borderId="67" xfId="2" applyFont="1" applyBorder="1" applyAlignment="1">
      <alignment horizontal="center" vertical="center" wrapText="1"/>
    </xf>
    <xf numFmtId="0" fontId="16" fillId="9" borderId="3" xfId="2" applyFont="1" applyFill="1" applyBorder="1" applyAlignment="1">
      <alignment horizontal="center" vertical="center" wrapText="1"/>
    </xf>
    <xf numFmtId="0" fontId="16" fillId="0" borderId="24" xfId="2" applyFont="1" applyBorder="1" applyAlignment="1">
      <alignment horizontal="center" vertical="center" wrapText="1"/>
    </xf>
    <xf numFmtId="0" fontId="13" fillId="0" borderId="68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0" fontId="16" fillId="9" borderId="6" xfId="2" applyFont="1" applyFill="1" applyBorder="1" applyAlignment="1">
      <alignment horizontal="center" vertical="center" wrapText="1"/>
    </xf>
    <xf numFmtId="0" fontId="13" fillId="0" borderId="69" xfId="2" applyFont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60" xfId="2" applyFont="1" applyBorder="1" applyAlignment="1">
      <alignment horizontal="center" vertical="center" wrapText="1"/>
    </xf>
    <xf numFmtId="0" fontId="13" fillId="7" borderId="58" xfId="2" applyFont="1" applyFill="1" applyBorder="1" applyAlignment="1">
      <alignment horizontal="center" vertical="center" wrapText="1"/>
    </xf>
    <xf numFmtId="0" fontId="2" fillId="0" borderId="58" xfId="2" applyBorder="1" applyAlignment="1">
      <alignment horizontal="center" vertical="center" wrapText="1"/>
    </xf>
    <xf numFmtId="0" fontId="2" fillId="0" borderId="37" xfId="2" applyBorder="1" applyAlignment="1">
      <alignment horizontal="center" vertical="center" wrapText="1"/>
    </xf>
    <xf numFmtId="0" fontId="2" fillId="0" borderId="59" xfId="2" applyBorder="1" applyAlignment="1">
      <alignment wrapText="1"/>
    </xf>
    <xf numFmtId="0" fontId="13" fillId="10" borderId="41" xfId="2" applyFont="1" applyFill="1" applyBorder="1" applyAlignment="1">
      <alignment horizontal="center" vertical="center" wrapText="1"/>
    </xf>
    <xf numFmtId="0" fontId="13" fillId="0" borderId="42" xfId="2" applyFont="1" applyBorder="1" applyAlignment="1">
      <alignment horizontal="center" vertical="center" wrapText="1"/>
    </xf>
    <xf numFmtId="0" fontId="2" fillId="0" borderId="43" xfId="2" applyBorder="1" applyAlignment="1">
      <alignment horizontal="center" vertical="center" wrapText="1"/>
    </xf>
    <xf numFmtId="0" fontId="13" fillId="17" borderId="41" xfId="2" applyFont="1" applyFill="1" applyBorder="1" applyAlignment="1">
      <alignment horizontal="center" vertical="center" wrapText="1"/>
    </xf>
    <xf numFmtId="0" fontId="13" fillId="17" borderId="42" xfId="2" applyFont="1" applyFill="1" applyBorder="1" applyAlignment="1">
      <alignment horizontal="center" vertical="center" wrapText="1"/>
    </xf>
    <xf numFmtId="0" fontId="13" fillId="17" borderId="43" xfId="2" applyFont="1" applyFill="1" applyBorder="1" applyAlignment="1">
      <alignment horizontal="center" vertical="center" wrapText="1"/>
    </xf>
    <xf numFmtId="0" fontId="2" fillId="0" borderId="41" xfId="2" applyBorder="1" applyAlignment="1">
      <alignment horizontal="center" vertical="center" wrapText="1"/>
    </xf>
    <xf numFmtId="0" fontId="2" fillId="0" borderId="42" xfId="2" applyBorder="1" applyAlignment="1">
      <alignment horizontal="center" vertical="center" wrapText="1"/>
    </xf>
    <xf numFmtId="0" fontId="16" fillId="9" borderId="64" xfId="2" applyFont="1" applyFill="1" applyBorder="1" applyAlignment="1">
      <alignment horizontal="center" vertical="center" wrapText="1"/>
    </xf>
    <xf numFmtId="0" fontId="16" fillId="9" borderId="11" xfId="2" applyFont="1" applyFill="1" applyBorder="1" applyAlignment="1">
      <alignment horizontal="center" vertical="center" wrapText="1"/>
    </xf>
    <xf numFmtId="0" fontId="15" fillId="0" borderId="7" xfId="2" applyFont="1" applyBorder="1" applyAlignment="1">
      <alignment horizontal="center" vertical="center" textRotation="90" wrapText="1"/>
    </xf>
    <xf numFmtId="0" fontId="2" fillId="0" borderId="4" xfId="2" applyBorder="1" applyAlignment="1">
      <alignment horizontal="center" vertical="center" wrapText="1"/>
    </xf>
    <xf numFmtId="0" fontId="2" fillId="3" borderId="5" xfId="2" applyFill="1" applyBorder="1" applyAlignment="1">
      <alignment horizontal="center" vertical="center" wrapText="1"/>
    </xf>
    <xf numFmtId="0" fontId="2" fillId="0" borderId="7" xfId="2" applyBorder="1" applyAlignment="1">
      <alignment wrapText="1"/>
    </xf>
    <xf numFmtId="0" fontId="13" fillId="7" borderId="45" xfId="2" applyFont="1" applyFill="1" applyBorder="1" applyAlignment="1">
      <alignment horizontal="center" vertical="center" wrapText="1"/>
    </xf>
    <xf numFmtId="0" fontId="13" fillId="5" borderId="46" xfId="2" applyFont="1" applyFill="1" applyBorder="1" applyAlignment="1">
      <alignment horizontal="center" vertical="center" wrapText="1"/>
    </xf>
    <xf numFmtId="0" fontId="13" fillId="5" borderId="70" xfId="2" applyFont="1" applyFill="1" applyBorder="1" applyAlignment="1">
      <alignment horizontal="center" vertical="center" wrapText="1"/>
    </xf>
    <xf numFmtId="0" fontId="13" fillId="13" borderId="71" xfId="2" applyFont="1" applyFill="1" applyBorder="1" applyAlignment="1">
      <alignment horizontal="center" vertical="center" wrapText="1"/>
    </xf>
    <xf numFmtId="0" fontId="13" fillId="6" borderId="37" xfId="2" applyFont="1" applyFill="1" applyBorder="1" applyAlignment="1">
      <alignment horizontal="center" vertical="center" wrapText="1"/>
    </xf>
    <xf numFmtId="0" fontId="13" fillId="6" borderId="59" xfId="2" applyFont="1" applyFill="1" applyBorder="1" applyAlignment="1">
      <alignment horizontal="center" vertical="center" wrapText="1"/>
    </xf>
    <xf numFmtId="0" fontId="13" fillId="15" borderId="70" xfId="2" applyFont="1" applyFill="1" applyBorder="1" applyAlignment="1">
      <alignment horizontal="center" vertical="center" wrapText="1"/>
    </xf>
    <xf numFmtId="0" fontId="13" fillId="0" borderId="71" xfId="2" applyFont="1" applyBorder="1" applyAlignment="1">
      <alignment horizontal="center" vertical="center" wrapText="1"/>
    </xf>
    <xf numFmtId="0" fontId="2" fillId="0" borderId="71" xfId="2" applyBorder="1" applyAlignment="1">
      <alignment vertical="center" wrapText="1"/>
    </xf>
    <xf numFmtId="0" fontId="13" fillId="18" borderId="41" xfId="2" applyFont="1" applyFill="1" applyBorder="1" applyAlignment="1">
      <alignment horizontal="center" vertical="center" wrapText="1"/>
    </xf>
    <xf numFmtId="0" fontId="13" fillId="18" borderId="42" xfId="2" applyFont="1" applyFill="1" applyBorder="1" applyAlignment="1">
      <alignment horizontal="center" vertical="center" wrapText="1"/>
    </xf>
    <xf numFmtId="0" fontId="13" fillId="18" borderId="43" xfId="2" applyFont="1" applyFill="1" applyBorder="1" applyAlignment="1">
      <alignment horizontal="center" vertical="center" wrapText="1"/>
    </xf>
    <xf numFmtId="0" fontId="2" fillId="0" borderId="47" xfId="2" applyBorder="1" applyAlignment="1">
      <alignment wrapText="1"/>
    </xf>
    <xf numFmtId="0" fontId="13" fillId="0" borderId="41" xfId="2" applyFont="1" applyBorder="1" applyAlignment="1">
      <alignment horizontal="center" vertical="center" wrapText="1"/>
    </xf>
    <xf numFmtId="0" fontId="13" fillId="0" borderId="43" xfId="2" applyFont="1" applyBorder="1" applyAlignment="1">
      <alignment horizontal="center" vertical="center" wrapText="1"/>
    </xf>
    <xf numFmtId="0" fontId="7" fillId="0" borderId="48" xfId="2" applyFont="1" applyBorder="1" applyAlignment="1">
      <alignment horizontal="center" vertical="center" wrapText="1"/>
    </xf>
    <xf numFmtId="0" fontId="7" fillId="0" borderId="42" xfId="2" applyFont="1" applyBorder="1" applyAlignment="1">
      <alignment horizontal="center" vertical="center" wrapText="1"/>
    </xf>
    <xf numFmtId="0" fontId="7" fillId="0" borderId="43" xfId="2" applyFont="1" applyBorder="1" applyAlignment="1">
      <alignment horizontal="center" vertical="center" wrapText="1"/>
    </xf>
    <xf numFmtId="0" fontId="13" fillId="0" borderId="62" xfId="2" applyFont="1" applyBorder="1" applyAlignment="1">
      <alignment horizontal="center" vertical="center" wrapText="1"/>
    </xf>
    <xf numFmtId="0" fontId="13" fillId="0" borderId="72" xfId="2" applyFont="1" applyBorder="1" applyAlignment="1">
      <alignment horizontal="center" vertical="center" wrapText="1"/>
    </xf>
    <xf numFmtId="0" fontId="13" fillId="0" borderId="64" xfId="2" applyFont="1" applyBorder="1" applyAlignment="1">
      <alignment horizontal="center" vertical="center" wrapText="1"/>
    </xf>
    <xf numFmtId="0" fontId="13" fillId="9" borderId="24" xfId="2" applyFont="1" applyFill="1" applyBorder="1" applyAlignment="1">
      <alignment horizontal="center" vertical="center" wrapText="1"/>
    </xf>
    <xf numFmtId="0" fontId="13" fillId="9" borderId="25" xfId="2" applyFont="1" applyFill="1" applyBorder="1" applyAlignment="1">
      <alignment horizontal="center" vertical="center" wrapText="1"/>
    </xf>
    <xf numFmtId="0" fontId="16" fillId="9" borderId="72" xfId="2" applyFont="1" applyFill="1" applyBorder="1" applyAlignment="1">
      <alignment horizontal="center" vertical="center" wrapText="1"/>
    </xf>
    <xf numFmtId="0" fontId="13" fillId="0" borderId="63" xfId="2" applyFont="1" applyBorder="1" applyAlignment="1">
      <alignment horizontal="center" vertical="center" wrapText="1"/>
    </xf>
    <xf numFmtId="0" fontId="13" fillId="6" borderId="45" xfId="2" applyFont="1" applyFill="1" applyBorder="1" applyAlignment="1">
      <alignment horizontal="center" vertical="center" wrapText="1"/>
    </xf>
    <xf numFmtId="0" fontId="13" fillId="8" borderId="70" xfId="2" applyFont="1" applyFill="1" applyBorder="1" applyAlignment="1">
      <alignment horizontal="center" vertical="center" wrapText="1"/>
    </xf>
    <xf numFmtId="0" fontId="13" fillId="12" borderId="70" xfId="2" applyFont="1" applyFill="1" applyBorder="1" applyAlignment="1">
      <alignment horizontal="center" vertical="center" wrapText="1"/>
    </xf>
    <xf numFmtId="0" fontId="13" fillId="9" borderId="70" xfId="2" applyFont="1" applyFill="1" applyBorder="1" applyAlignment="1">
      <alignment horizontal="center" vertical="center" wrapText="1"/>
    </xf>
    <xf numFmtId="0" fontId="7" fillId="0" borderId="58" xfId="2" applyFont="1" applyBorder="1" applyAlignment="1">
      <alignment horizontal="center" vertical="center" wrapText="1"/>
    </xf>
    <xf numFmtId="0" fontId="7" fillId="0" borderId="37" xfId="2" applyFont="1" applyBorder="1" applyAlignment="1">
      <alignment horizontal="center" vertical="center" wrapText="1"/>
    </xf>
    <xf numFmtId="0" fontId="7" fillId="0" borderId="59" xfId="2" applyFont="1" applyBorder="1" applyAlignment="1">
      <alignment horizontal="center" vertical="center" wrapText="1"/>
    </xf>
    <xf numFmtId="0" fontId="13" fillId="18" borderId="47" xfId="2" applyFont="1" applyFill="1" applyBorder="1" applyAlignment="1">
      <alignment horizontal="center" vertical="center" wrapText="1"/>
    </xf>
    <xf numFmtId="0" fontId="7" fillId="0" borderId="4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textRotation="90" wrapText="1"/>
    </xf>
    <xf numFmtId="0" fontId="15" fillId="0" borderId="0" xfId="2" applyFont="1" applyAlignment="1">
      <alignment vertical="center" textRotation="90" wrapText="1"/>
    </xf>
    <xf numFmtId="0" fontId="13" fillId="8" borderId="46" xfId="2" applyFont="1" applyFill="1" applyBorder="1" applyAlignment="1">
      <alignment horizontal="center" vertical="center" wrapText="1"/>
    </xf>
    <xf numFmtId="0" fontId="13" fillId="8" borderId="73" xfId="2" applyFont="1" applyFill="1" applyBorder="1" applyAlignment="1">
      <alignment horizontal="center" vertical="center" wrapText="1"/>
    </xf>
    <xf numFmtId="0" fontId="13" fillId="5" borderId="45" xfId="2" applyFont="1" applyFill="1" applyBorder="1" applyAlignment="1">
      <alignment horizontal="center" vertical="center" wrapText="1"/>
    </xf>
    <xf numFmtId="0" fontId="13" fillId="13" borderId="74" xfId="2" applyFont="1" applyFill="1" applyBorder="1" applyAlignment="1">
      <alignment horizontal="center" vertical="center" wrapText="1"/>
    </xf>
    <xf numFmtId="0" fontId="13" fillId="11" borderId="70" xfId="2" applyFont="1" applyFill="1" applyBorder="1" applyAlignment="1">
      <alignment horizontal="center" vertical="center" wrapText="1"/>
    </xf>
    <xf numFmtId="0" fontId="13" fillId="11" borderId="71" xfId="2" applyFont="1" applyFill="1" applyBorder="1" applyAlignment="1">
      <alignment horizontal="center" vertical="center" wrapText="1"/>
    </xf>
    <xf numFmtId="0" fontId="13" fillId="11" borderId="74" xfId="2" applyFont="1" applyFill="1" applyBorder="1" applyAlignment="1">
      <alignment horizontal="center" vertical="center" wrapText="1"/>
    </xf>
    <xf numFmtId="0" fontId="13" fillId="14" borderId="71" xfId="2" applyFont="1" applyFill="1" applyBorder="1" applyAlignment="1">
      <alignment horizontal="center" vertical="center" wrapText="1"/>
    </xf>
    <xf numFmtId="0" fontId="13" fillId="14" borderId="74" xfId="2" applyFont="1" applyFill="1" applyBorder="1" applyAlignment="1">
      <alignment horizontal="center" vertical="center" wrapText="1"/>
    </xf>
    <xf numFmtId="0" fontId="13" fillId="0" borderId="70" xfId="2" applyFont="1" applyBorder="1" applyAlignment="1">
      <alignment horizontal="center" vertical="center" wrapText="1"/>
    </xf>
    <xf numFmtId="0" fontId="13" fillId="17" borderId="71" xfId="2" applyFont="1" applyFill="1" applyBorder="1" applyAlignment="1">
      <alignment horizontal="center" vertical="center" wrapText="1"/>
    </xf>
    <xf numFmtId="0" fontId="13" fillId="17" borderId="74" xfId="2" applyFont="1" applyFill="1" applyBorder="1" applyAlignment="1">
      <alignment horizontal="center" vertical="center" wrapText="1"/>
    </xf>
    <xf numFmtId="0" fontId="2" fillId="0" borderId="70" xfId="2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0" fontId="13" fillId="0" borderId="75" xfId="2" applyFont="1" applyBorder="1" applyAlignment="1">
      <alignment horizontal="center" vertical="center" wrapText="1"/>
    </xf>
    <xf numFmtId="0" fontId="13" fillId="0" borderId="47" xfId="2" applyFont="1" applyBorder="1" applyAlignment="1">
      <alignment horizontal="center" vertical="center" wrapText="1"/>
    </xf>
    <xf numFmtId="0" fontId="2" fillId="3" borderId="30" xfId="2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0" fillId="13" borderId="26" xfId="0" applyFill="1" applyBorder="1" applyAlignment="1">
      <alignment horizontal="center" vertical="center"/>
    </xf>
    <xf numFmtId="0" fontId="8" fillId="13" borderId="24" xfId="0" applyFont="1" applyFill="1" applyBorder="1" applyAlignment="1">
      <alignment horizontal="center" vertical="center"/>
    </xf>
    <xf numFmtId="0" fontId="8" fillId="13" borderId="25" xfId="0" applyFont="1" applyFill="1" applyBorder="1" applyAlignment="1">
      <alignment horizontal="center" vertical="center"/>
    </xf>
    <xf numFmtId="0" fontId="8" fillId="13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8" fillId="9" borderId="24" xfId="0" applyFont="1" applyFill="1" applyBorder="1" applyAlignment="1">
      <alignment horizontal="center" vertical="center"/>
    </xf>
    <xf numFmtId="0" fontId="8" fillId="9" borderId="25" xfId="0" applyFont="1" applyFill="1" applyBorder="1" applyAlignment="1">
      <alignment horizontal="center" vertical="center"/>
    </xf>
    <xf numFmtId="0" fontId="8" fillId="9" borderId="26" xfId="0" applyFont="1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0" fontId="0" fillId="14" borderId="26" xfId="0" applyFill="1" applyBorder="1" applyAlignment="1">
      <alignment horizontal="center" vertical="center"/>
    </xf>
    <xf numFmtId="0" fontId="19" fillId="17" borderId="24" xfId="0" applyFont="1" applyFill="1" applyBorder="1" applyAlignment="1">
      <alignment horizontal="center" vertical="center"/>
    </xf>
    <xf numFmtId="0" fontId="19" fillId="17" borderId="25" xfId="0" applyFont="1" applyFill="1" applyBorder="1" applyAlignment="1">
      <alignment horizontal="center" vertical="center"/>
    </xf>
    <xf numFmtId="0" fontId="19" fillId="17" borderId="26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11" borderId="24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19" fillId="11" borderId="26" xfId="0" applyFont="1" applyFill="1" applyBorder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20" fillId="18" borderId="58" xfId="1" applyFont="1" applyFill="1" applyBorder="1" applyAlignment="1">
      <alignment horizontal="center" vertical="center" wrapText="1"/>
    </xf>
    <xf numFmtId="0" fontId="0" fillId="12" borderId="2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8" fillId="12" borderId="24" xfId="0" applyFont="1" applyFill="1" applyBorder="1" applyAlignment="1">
      <alignment horizontal="center" vertical="center"/>
    </xf>
    <xf numFmtId="0" fontId="8" fillId="12" borderId="25" xfId="0" applyFont="1" applyFill="1" applyBorder="1" applyAlignment="1">
      <alignment horizontal="center" vertical="center"/>
    </xf>
    <xf numFmtId="0" fontId="8" fillId="12" borderId="26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" fontId="0" fillId="0" borderId="37" xfId="0" applyNumberFormat="1" applyBorder="1" applyAlignment="1">
      <alignment horizontal="center" vertical="center"/>
    </xf>
    <xf numFmtId="0" fontId="0" fillId="0" borderId="37" xfId="0" applyBorder="1" applyAlignment="1">
      <alignment vertical="top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6" borderId="24" xfId="0" applyFill="1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18" borderId="24" xfId="0" applyFont="1" applyFill="1" applyBorder="1" applyAlignment="1">
      <alignment horizontal="center" vertical="center"/>
    </xf>
    <xf numFmtId="0" fontId="8" fillId="18" borderId="25" xfId="0" applyFont="1" applyFill="1" applyBorder="1" applyAlignment="1">
      <alignment horizontal="center" vertical="center"/>
    </xf>
    <xf numFmtId="0" fontId="8" fillId="18" borderId="26" xfId="0" applyFont="1" applyFill="1" applyBorder="1" applyAlignment="1">
      <alignment horizontal="center" vertical="center"/>
    </xf>
    <xf numFmtId="0" fontId="20" fillId="0" borderId="0" xfId="1" applyFont="1" applyAlignment="1">
      <alignment horizontal="center" vertical="center" wrapText="1"/>
    </xf>
    <xf numFmtId="0" fontId="7" fillId="0" borderId="42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/>
      <protection locked="0"/>
    </xf>
    <xf numFmtId="1" fontId="4" fillId="2" borderId="10" xfId="0" applyNumberFormat="1" applyFont="1" applyFill="1" applyBorder="1" applyAlignment="1" applyProtection="1">
      <alignment horizontal="center"/>
      <protection locked="0"/>
    </xf>
    <xf numFmtId="1" fontId="4" fillId="2" borderId="11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13" fillId="8" borderId="82" xfId="0" applyFont="1" applyFill="1" applyBorder="1" applyAlignment="1">
      <alignment horizontal="center" vertical="center"/>
    </xf>
    <xf numFmtId="0" fontId="13" fillId="8" borderId="85" xfId="0" applyFont="1" applyFill="1" applyBorder="1" applyAlignment="1">
      <alignment horizontal="center" vertical="center"/>
    </xf>
    <xf numFmtId="0" fontId="13" fillId="8" borderId="74" xfId="0" applyFont="1" applyFill="1" applyBorder="1" applyAlignment="1">
      <alignment horizontal="center" vertical="center"/>
    </xf>
    <xf numFmtId="0" fontId="11" fillId="18" borderId="9" xfId="0" applyFont="1" applyFill="1" applyBorder="1" applyAlignment="1">
      <alignment horizontal="center" vertical="center"/>
    </xf>
    <xf numFmtId="0" fontId="11" fillId="18" borderId="10" xfId="0" applyFont="1" applyFill="1" applyBorder="1" applyAlignment="1">
      <alignment horizontal="center" vertical="center"/>
    </xf>
    <xf numFmtId="0" fontId="11" fillId="18" borderId="11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13" fillId="6" borderId="81" xfId="1" applyFont="1" applyFill="1" applyBorder="1" applyAlignment="1">
      <alignment horizontal="center" vertical="center" wrapText="1"/>
    </xf>
    <xf numFmtId="0" fontId="13" fillId="6" borderId="86" xfId="1" applyFont="1" applyFill="1" applyBorder="1" applyAlignment="1">
      <alignment horizontal="center" vertical="center" wrapText="1"/>
    </xf>
    <xf numFmtId="0" fontId="13" fillId="6" borderId="73" xfId="1" applyFont="1" applyFill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8" fillId="17" borderId="10" xfId="0" applyFont="1" applyFill="1" applyBorder="1" applyAlignment="1">
      <alignment horizontal="center" vertical="center"/>
    </xf>
    <xf numFmtId="0" fontId="18" fillId="17" borderId="11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18" fillId="11" borderId="10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4" fillId="12" borderId="9" xfId="1" applyFont="1" applyFill="1" applyBorder="1" applyAlignment="1">
      <alignment horizontal="center" vertical="center" wrapText="1"/>
    </xf>
    <xf numFmtId="0" fontId="4" fillId="12" borderId="10" xfId="1" applyFont="1" applyFill="1" applyBorder="1" applyAlignment="1">
      <alignment horizontal="center" vertical="center" wrapText="1"/>
    </xf>
    <xf numFmtId="0" fontId="4" fillId="12" borderId="11" xfId="1" applyFont="1" applyFill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8" borderId="58" xfId="0" applyFont="1" applyFill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0" fontId="4" fillId="8" borderId="59" xfId="0" applyFont="1" applyFill="1" applyBorder="1" applyAlignment="1">
      <alignment horizontal="center" vertical="center"/>
    </xf>
    <xf numFmtId="0" fontId="13" fillId="0" borderId="9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 textRotation="90" wrapText="1"/>
    </xf>
    <xf numFmtId="0" fontId="15" fillId="0" borderId="35" xfId="1" applyFont="1" applyBorder="1" applyAlignment="1">
      <alignment horizontal="center" vertical="center" textRotation="90" wrapText="1"/>
    </xf>
    <xf numFmtId="0" fontId="15" fillId="0" borderId="36" xfId="1" applyFont="1" applyBorder="1" applyAlignment="1">
      <alignment horizontal="center" vertical="center" textRotation="90" wrapText="1"/>
    </xf>
    <xf numFmtId="0" fontId="13" fillId="0" borderId="1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  <xf numFmtId="0" fontId="3" fillId="3" borderId="7" xfId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0" fontId="3" fillId="4" borderId="34" xfId="1" applyFill="1" applyBorder="1" applyAlignment="1">
      <alignment horizontal="center" vertical="center" wrapText="1"/>
    </xf>
    <xf numFmtId="0" fontId="3" fillId="4" borderId="35" xfId="1" applyFill="1" applyBorder="1" applyAlignment="1">
      <alignment horizontal="center" vertical="center" wrapText="1"/>
    </xf>
    <xf numFmtId="0" fontId="3" fillId="4" borderId="36" xfId="1" applyFill="1" applyBorder="1" applyAlignment="1">
      <alignment horizontal="center" vertical="center" wrapText="1"/>
    </xf>
    <xf numFmtId="0" fontId="3" fillId="3" borderId="34" xfId="1" applyFill="1" applyBorder="1" applyAlignment="1">
      <alignment horizontal="center" vertical="center" wrapText="1"/>
    </xf>
    <xf numFmtId="0" fontId="3" fillId="3" borderId="35" xfId="1" applyFill="1" applyBorder="1" applyAlignment="1">
      <alignment horizontal="center" vertical="center" wrapText="1"/>
    </xf>
    <xf numFmtId="0" fontId="3" fillId="3" borderId="36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center" vertical="center" wrapText="1"/>
    </xf>
    <xf numFmtId="0" fontId="3" fillId="4" borderId="8" xfId="1" applyFill="1" applyBorder="1" applyAlignment="1">
      <alignment horizontal="center" vertical="center" wrapText="1"/>
    </xf>
    <xf numFmtId="0" fontId="3" fillId="4" borderId="6" xfId="1" applyFill="1" applyBorder="1" applyAlignment="1">
      <alignment horizontal="center" vertical="center" wrapText="1"/>
    </xf>
    <xf numFmtId="0" fontId="16" fillId="9" borderId="1" xfId="1" applyFont="1" applyFill="1" applyBorder="1" applyAlignment="1">
      <alignment horizontal="center" vertical="center" wrapText="1"/>
    </xf>
    <xf numFmtId="0" fontId="16" fillId="9" borderId="7" xfId="1" applyFont="1" applyFill="1" applyBorder="1" applyAlignment="1">
      <alignment horizontal="center" vertical="center" wrapText="1"/>
    </xf>
    <xf numFmtId="0" fontId="16" fillId="9" borderId="4" xfId="1" applyFont="1" applyFill="1" applyBorder="1" applyAlignment="1">
      <alignment horizontal="center" vertical="center" wrapText="1"/>
    </xf>
    <xf numFmtId="0" fontId="17" fillId="0" borderId="35" xfId="1" applyFont="1" applyBorder="1" applyAlignment="1">
      <alignment horizontal="center" vertical="center" textRotation="90" wrapText="1"/>
    </xf>
    <xf numFmtId="0" fontId="3" fillId="3" borderId="3" xfId="1" applyFill="1" applyBorder="1" applyAlignment="1">
      <alignment horizontal="center" vertical="center" wrapText="1"/>
    </xf>
    <xf numFmtId="0" fontId="3" fillId="3" borderId="8" xfId="1" applyFill="1" applyBorder="1" applyAlignment="1">
      <alignment horizontal="center" vertical="center" wrapText="1"/>
    </xf>
    <xf numFmtId="0" fontId="3" fillId="3" borderId="6" xfId="1" applyFill="1" applyBorder="1" applyAlignment="1">
      <alignment horizontal="center" vertical="center" wrapText="1"/>
    </xf>
    <xf numFmtId="0" fontId="16" fillId="9" borderId="34" xfId="1" applyFont="1" applyFill="1" applyBorder="1" applyAlignment="1">
      <alignment horizontal="center" vertical="center" wrapText="1"/>
    </xf>
    <xf numFmtId="0" fontId="16" fillId="9" borderId="35" xfId="1" applyFont="1" applyFill="1" applyBorder="1" applyAlignment="1">
      <alignment horizontal="center" vertical="center" wrapText="1"/>
    </xf>
    <xf numFmtId="0" fontId="16" fillId="9" borderId="36" xfId="1" applyFont="1" applyFill="1" applyBorder="1" applyAlignment="1">
      <alignment horizontal="center" vertical="center" wrapText="1"/>
    </xf>
    <xf numFmtId="0" fontId="16" fillId="9" borderId="3" xfId="1" applyFont="1" applyFill="1" applyBorder="1" applyAlignment="1">
      <alignment horizontal="center" vertical="center" wrapText="1"/>
    </xf>
    <xf numFmtId="0" fontId="16" fillId="9" borderId="8" xfId="1" applyFont="1" applyFill="1" applyBorder="1" applyAlignment="1">
      <alignment horizontal="center" vertical="center" wrapText="1"/>
    </xf>
    <xf numFmtId="0" fontId="16" fillId="9" borderId="6" xfId="1" applyFont="1" applyFill="1" applyBorder="1" applyAlignment="1">
      <alignment horizontal="center" vertical="center" wrapText="1"/>
    </xf>
    <xf numFmtId="0" fontId="7" fillId="4" borderId="34" xfId="1" applyFont="1" applyFill="1" applyBorder="1" applyAlignment="1">
      <alignment horizontal="center" vertical="center" wrapText="1"/>
    </xf>
    <xf numFmtId="0" fontId="7" fillId="4" borderId="35" xfId="1" applyFont="1" applyFill="1" applyBorder="1" applyAlignment="1">
      <alignment horizontal="center" vertical="center" wrapText="1"/>
    </xf>
    <xf numFmtId="0" fontId="7" fillId="4" borderId="36" xfId="1" applyFont="1" applyFill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0" borderId="24" xfId="1" applyFont="1" applyBorder="1" applyAlignment="1">
      <alignment horizontal="center" vertical="center" wrapText="1"/>
    </xf>
    <xf numFmtId="0" fontId="13" fillId="0" borderId="25" xfId="1" applyFont="1" applyBorder="1" applyAlignment="1">
      <alignment horizontal="center" vertical="center" wrapText="1"/>
    </xf>
    <xf numFmtId="0" fontId="13" fillId="0" borderId="26" xfId="1" applyFont="1" applyBorder="1" applyAlignment="1">
      <alignment horizontal="center" vertical="center" wrapText="1"/>
    </xf>
    <xf numFmtId="0" fontId="3" fillId="19" borderId="9" xfId="1" applyFill="1" applyBorder="1" applyAlignment="1">
      <alignment horizontal="center" vertical="center" wrapText="1"/>
    </xf>
    <xf numFmtId="0" fontId="3" fillId="19" borderId="10" xfId="1" applyFill="1" applyBorder="1" applyAlignment="1">
      <alignment horizontal="center" vertical="center" wrapText="1"/>
    </xf>
    <xf numFmtId="0" fontId="3" fillId="19" borderId="11" xfId="1" applyFill="1" applyBorder="1" applyAlignment="1">
      <alignment horizontal="center" vertical="center" wrapText="1"/>
    </xf>
    <xf numFmtId="0" fontId="3" fillId="19" borderId="9" xfId="1" applyFill="1" applyBorder="1" applyAlignment="1">
      <alignment horizontal="center" wrapText="1"/>
    </xf>
    <xf numFmtId="0" fontId="3" fillId="19" borderId="10" xfId="1" applyFill="1" applyBorder="1" applyAlignment="1">
      <alignment horizontal="center" wrapText="1"/>
    </xf>
    <xf numFmtId="0" fontId="3" fillId="19" borderId="5" xfId="1" applyFill="1" applyBorder="1" applyAlignment="1">
      <alignment horizontal="center" wrapText="1"/>
    </xf>
    <xf numFmtId="0" fontId="3" fillId="19" borderId="11" xfId="1" applyFill="1" applyBorder="1" applyAlignment="1">
      <alignment horizontal="center" wrapText="1"/>
    </xf>
    <xf numFmtId="0" fontId="7" fillId="4" borderId="2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horizontal="center"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16" fillId="9" borderId="2" xfId="1" applyFont="1" applyFill="1" applyBorder="1" applyAlignment="1">
      <alignment horizontal="center" vertical="center" wrapText="1"/>
    </xf>
    <xf numFmtId="0" fontId="16" fillId="9" borderId="0" xfId="1" applyFont="1" applyFill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4" borderId="3" xfId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16" fillId="9" borderId="5" xfId="1" applyFont="1" applyFill="1" applyBorder="1" applyAlignment="1">
      <alignment horizontal="center" vertical="center" wrapText="1"/>
    </xf>
    <xf numFmtId="0" fontId="3" fillId="0" borderId="10" xfId="1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 wrapText="1"/>
    </xf>
    <xf numFmtId="0" fontId="13" fillId="0" borderId="11" xfId="2" applyFont="1" applyBorder="1" applyAlignment="1">
      <alignment horizontal="center" vertical="center" wrapText="1"/>
    </xf>
    <xf numFmtId="0" fontId="15" fillId="0" borderId="34" xfId="2" applyFont="1" applyBorder="1" applyAlignment="1">
      <alignment horizontal="center" vertical="center" textRotation="90" wrapText="1"/>
    </xf>
    <xf numFmtId="0" fontId="15" fillId="0" borderId="35" xfId="2" applyFont="1" applyBorder="1" applyAlignment="1">
      <alignment horizontal="center" vertical="center" textRotation="90" wrapText="1"/>
    </xf>
    <xf numFmtId="0" fontId="15" fillId="0" borderId="36" xfId="2" applyFont="1" applyBorder="1" applyAlignment="1">
      <alignment horizontal="center" vertical="center" textRotation="90" wrapText="1"/>
    </xf>
    <xf numFmtId="0" fontId="13" fillId="0" borderId="1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2" fillId="3" borderId="1" xfId="2" applyFill="1" applyBorder="1" applyAlignment="1">
      <alignment horizontal="center" vertical="center" wrapText="1"/>
    </xf>
    <xf numFmtId="0" fontId="2" fillId="3" borderId="7" xfId="2" applyFill="1" applyBorder="1" applyAlignment="1">
      <alignment horizontal="center" vertical="center" wrapText="1"/>
    </xf>
    <xf numFmtId="0" fontId="2" fillId="3" borderId="4" xfId="2" applyFill="1" applyBorder="1" applyAlignment="1">
      <alignment horizontal="center" vertical="center" wrapText="1"/>
    </xf>
    <xf numFmtId="0" fontId="2" fillId="4" borderId="34" xfId="2" applyFill="1" applyBorder="1" applyAlignment="1">
      <alignment horizontal="center" vertical="center" wrapText="1"/>
    </xf>
    <xf numFmtId="0" fontId="2" fillId="4" borderId="35" xfId="2" applyFill="1" applyBorder="1" applyAlignment="1">
      <alignment horizontal="center" vertical="center" wrapText="1"/>
    </xf>
    <xf numFmtId="0" fontId="2" fillId="4" borderId="36" xfId="2" applyFill="1" applyBorder="1" applyAlignment="1">
      <alignment horizontal="center" vertical="center" wrapText="1"/>
    </xf>
    <xf numFmtId="0" fontId="2" fillId="3" borderId="2" xfId="2" applyFill="1" applyBorder="1" applyAlignment="1">
      <alignment horizontal="center" vertical="center" wrapText="1"/>
    </xf>
    <xf numFmtId="0" fontId="2" fillId="3" borderId="0" xfId="2" applyFill="1" applyAlignment="1">
      <alignment horizontal="center" vertical="center" wrapText="1"/>
    </xf>
    <xf numFmtId="0" fontId="2" fillId="3" borderId="5" xfId="2" applyFill="1" applyBorder="1" applyAlignment="1">
      <alignment horizontal="center" vertical="center" wrapText="1"/>
    </xf>
    <xf numFmtId="0" fontId="16" fillId="9" borderId="1" xfId="2" applyFont="1" applyFill="1" applyBorder="1" applyAlignment="1">
      <alignment horizontal="center" vertical="center" wrapText="1"/>
    </xf>
    <xf numFmtId="0" fontId="16" fillId="9" borderId="7" xfId="2" applyFont="1" applyFill="1" applyBorder="1" applyAlignment="1">
      <alignment horizontal="center" vertical="center" wrapText="1"/>
    </xf>
    <xf numFmtId="0" fontId="16" fillId="9" borderId="4" xfId="2" applyFont="1" applyFill="1" applyBorder="1" applyAlignment="1">
      <alignment horizontal="center" vertical="center" wrapText="1"/>
    </xf>
    <xf numFmtId="0" fontId="2" fillId="3" borderId="78" xfId="2" applyFill="1" applyBorder="1" applyAlignment="1">
      <alignment horizontal="center" vertical="center" wrapText="1"/>
    </xf>
    <xf numFmtId="0" fontId="2" fillId="3" borderId="79" xfId="2" applyFill="1" applyBorder="1" applyAlignment="1">
      <alignment horizontal="center" vertical="center" wrapText="1"/>
    </xf>
    <xf numFmtId="0" fontId="2" fillId="3" borderId="80" xfId="2" applyFill="1" applyBorder="1" applyAlignment="1">
      <alignment horizontal="center" vertical="center" wrapText="1"/>
    </xf>
    <xf numFmtId="0" fontId="16" fillId="9" borderId="73" xfId="2" applyFont="1" applyFill="1" applyBorder="1" applyAlignment="1">
      <alignment horizontal="center" vertical="center" wrapText="1"/>
    </xf>
    <xf numFmtId="0" fontId="16" fillId="9" borderId="74" xfId="2" applyFont="1" applyFill="1" applyBorder="1" applyAlignment="1">
      <alignment horizontal="center" vertical="center" wrapText="1"/>
    </xf>
    <xf numFmtId="0" fontId="16" fillId="9" borderId="75" xfId="2" applyFont="1" applyFill="1" applyBorder="1" applyAlignment="1">
      <alignment horizontal="center" vertical="center" wrapText="1"/>
    </xf>
    <xf numFmtId="0" fontId="16" fillId="9" borderId="2" xfId="2" applyFont="1" applyFill="1" applyBorder="1" applyAlignment="1">
      <alignment horizontal="center" vertical="center" wrapText="1"/>
    </xf>
    <xf numFmtId="0" fontId="16" fillId="9" borderId="0" xfId="2" applyFont="1" applyFill="1" applyAlignment="1">
      <alignment horizontal="center" vertical="center" wrapText="1"/>
    </xf>
    <xf numFmtId="0" fontId="16" fillId="9" borderId="5" xfId="2" applyFont="1" applyFill="1" applyBorder="1" applyAlignment="1">
      <alignment horizontal="center" vertical="center" wrapText="1"/>
    </xf>
    <xf numFmtId="0" fontId="16" fillId="9" borderId="34" xfId="2" applyFont="1" applyFill="1" applyBorder="1" applyAlignment="1">
      <alignment horizontal="center" vertical="center" wrapText="1"/>
    </xf>
    <xf numFmtId="0" fontId="16" fillId="9" borderId="35" xfId="2" applyFont="1" applyFill="1" applyBorder="1" applyAlignment="1">
      <alignment horizontal="center" vertical="center" wrapText="1"/>
    </xf>
    <xf numFmtId="0" fontId="16" fillId="9" borderId="36" xfId="2" applyFont="1" applyFill="1" applyBorder="1" applyAlignment="1">
      <alignment horizontal="center" vertical="center" wrapText="1"/>
    </xf>
    <xf numFmtId="0" fontId="7" fillId="4" borderId="34" xfId="2" applyFont="1" applyFill="1" applyBorder="1" applyAlignment="1">
      <alignment horizontal="center" vertical="center" wrapText="1"/>
    </xf>
    <xf numFmtId="0" fontId="7" fillId="4" borderId="35" xfId="2" applyFont="1" applyFill="1" applyBorder="1" applyAlignment="1">
      <alignment horizontal="center" vertical="center" wrapText="1"/>
    </xf>
    <xf numFmtId="0" fontId="7" fillId="4" borderId="36" xfId="2" applyFont="1" applyFill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24" xfId="2" applyFont="1" applyBorder="1" applyAlignment="1">
      <alignment horizontal="center" vertical="center" wrapText="1"/>
    </xf>
    <xf numFmtId="0" fontId="13" fillId="0" borderId="25" xfId="2" applyFont="1" applyBorder="1" applyAlignment="1">
      <alignment horizontal="center" vertical="center" wrapText="1"/>
    </xf>
    <xf numFmtId="0" fontId="13" fillId="0" borderId="26" xfId="2" applyFont="1" applyBorder="1" applyAlignment="1">
      <alignment horizontal="center" vertical="center" wrapText="1"/>
    </xf>
    <xf numFmtId="0" fontId="2" fillId="19" borderId="9" xfId="2" applyFill="1" applyBorder="1" applyAlignment="1">
      <alignment horizontal="center" vertical="center" wrapText="1"/>
    </xf>
    <xf numFmtId="0" fontId="2" fillId="19" borderId="10" xfId="2" applyFill="1" applyBorder="1" applyAlignment="1">
      <alignment horizontal="center" vertical="center" wrapText="1"/>
    </xf>
    <xf numFmtId="0" fontId="2" fillId="19" borderId="11" xfId="2" applyFill="1" applyBorder="1" applyAlignment="1">
      <alignment horizontal="center" vertical="center" wrapText="1"/>
    </xf>
    <xf numFmtId="0" fontId="2" fillId="19" borderId="9" xfId="2" applyFill="1" applyBorder="1" applyAlignment="1">
      <alignment horizontal="center" wrapText="1"/>
    </xf>
    <xf numFmtId="0" fontId="2" fillId="19" borderId="10" xfId="2" applyFill="1" applyBorder="1" applyAlignment="1">
      <alignment horizontal="center" wrapText="1"/>
    </xf>
    <xf numFmtId="0" fontId="2" fillId="19" borderId="5" xfId="2" applyFill="1" applyBorder="1" applyAlignment="1">
      <alignment horizontal="center" wrapText="1"/>
    </xf>
    <xf numFmtId="0" fontId="2" fillId="19" borderId="11" xfId="2" applyFill="1" applyBorder="1" applyAlignment="1">
      <alignment horizontal="center" wrapText="1"/>
    </xf>
    <xf numFmtId="0" fontId="7" fillId="4" borderId="2" xfId="2" applyFont="1" applyFill="1" applyBorder="1" applyAlignment="1">
      <alignment horizontal="center" vertical="center" wrapText="1"/>
    </xf>
    <xf numFmtId="0" fontId="7" fillId="4" borderId="0" xfId="2" applyFont="1" applyFill="1" applyAlignment="1">
      <alignment horizontal="center" vertical="center" wrapText="1"/>
    </xf>
    <xf numFmtId="0" fontId="7" fillId="4" borderId="5" xfId="2" applyFont="1" applyFill="1" applyBorder="1" applyAlignment="1">
      <alignment horizontal="center" vertical="center" wrapText="1"/>
    </xf>
    <xf numFmtId="0" fontId="16" fillId="9" borderId="81" xfId="2" applyFont="1" applyFill="1" applyBorder="1" applyAlignment="1">
      <alignment horizontal="center" vertical="center" wrapText="1"/>
    </xf>
    <xf numFmtId="0" fontId="16" fillId="9" borderId="82" xfId="2" applyFont="1" applyFill="1" applyBorder="1" applyAlignment="1">
      <alignment horizontal="center" vertical="center" wrapText="1"/>
    </xf>
    <xf numFmtId="0" fontId="16" fillId="9" borderId="83" xfId="2" applyFont="1" applyFill="1" applyBorder="1" applyAlignment="1">
      <alignment horizontal="center" vertical="center" wrapText="1"/>
    </xf>
    <xf numFmtId="0" fontId="16" fillId="9" borderId="78" xfId="2" applyFont="1" applyFill="1" applyBorder="1" applyAlignment="1">
      <alignment horizontal="center" vertical="center" wrapText="1"/>
    </xf>
    <xf numFmtId="0" fontId="16" fillId="9" borderId="79" xfId="2" applyFont="1" applyFill="1" applyBorder="1" applyAlignment="1">
      <alignment horizontal="center" vertical="center" wrapText="1"/>
    </xf>
    <xf numFmtId="0" fontId="16" fillId="9" borderId="80" xfId="2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7" fillId="4" borderId="3" xfId="2" applyFont="1" applyFill="1" applyBorder="1" applyAlignment="1">
      <alignment horizontal="center" vertical="center" wrapText="1"/>
    </xf>
    <xf numFmtId="0" fontId="7" fillId="4" borderId="7" xfId="2" applyFont="1" applyFill="1" applyBorder="1" applyAlignment="1">
      <alignment horizontal="center" vertical="center" wrapText="1"/>
    </xf>
    <xf numFmtId="0" fontId="7" fillId="4" borderId="8" xfId="2" applyFont="1" applyFill="1" applyBorder="1" applyAlignment="1">
      <alignment horizontal="center" vertical="center" wrapText="1"/>
    </xf>
    <xf numFmtId="0" fontId="7" fillId="4" borderId="4" xfId="2" applyFont="1" applyFill="1" applyBorder="1" applyAlignment="1">
      <alignment horizontal="center" vertical="center" wrapText="1"/>
    </xf>
    <xf numFmtId="0" fontId="7" fillId="4" borderId="6" xfId="2" applyFont="1" applyFill="1" applyBorder="1" applyAlignment="1">
      <alignment horizontal="center" vertical="center" wrapText="1"/>
    </xf>
    <xf numFmtId="0" fontId="2" fillId="4" borderId="78" xfId="2" applyFill="1" applyBorder="1" applyAlignment="1">
      <alignment horizontal="center" vertical="center" wrapText="1"/>
    </xf>
    <xf numFmtId="0" fontId="2" fillId="4" borderId="79" xfId="2" applyFill="1" applyBorder="1" applyAlignment="1">
      <alignment horizontal="center" vertical="center" wrapText="1"/>
    </xf>
    <xf numFmtId="0" fontId="2" fillId="4" borderId="80" xfId="2" applyFill="1" applyBorder="1" applyAlignment="1">
      <alignment horizontal="center" vertical="center" wrapText="1"/>
    </xf>
    <xf numFmtId="0" fontId="20" fillId="11" borderId="53" xfId="2" applyFont="1" applyFill="1" applyBorder="1" applyAlignment="1">
      <alignment horizontal="center" vertical="center" wrapText="1"/>
    </xf>
    <xf numFmtId="0" fontId="20" fillId="11" borderId="58" xfId="2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/>
    </xf>
    <xf numFmtId="0" fontId="20" fillId="11" borderId="53" xfId="1" applyFont="1" applyFill="1" applyBorder="1" applyAlignment="1">
      <alignment horizontal="center" vertical="center" wrapText="1"/>
    </xf>
    <xf numFmtId="0" fontId="20" fillId="11" borderId="58" xfId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top" wrapText="1"/>
    </xf>
    <xf numFmtId="0" fontId="0" fillId="13" borderId="2" xfId="0" applyFill="1" applyBorder="1" applyAlignment="1">
      <alignment vertical="top" wrapText="1"/>
    </xf>
    <xf numFmtId="0" fontId="0" fillId="13" borderId="3" xfId="0" applyFill="1" applyBorder="1" applyAlignment="1">
      <alignment vertical="top" wrapText="1"/>
    </xf>
    <xf numFmtId="0" fontId="0" fillId="13" borderId="7" xfId="0" applyFill="1" applyBorder="1" applyAlignment="1">
      <alignment horizontal="left" vertical="top" wrapText="1"/>
    </xf>
    <xf numFmtId="0" fontId="0" fillId="13" borderId="0" xfId="0" applyFill="1" applyAlignment="1">
      <alignment vertical="top" wrapText="1"/>
    </xf>
    <xf numFmtId="0" fontId="0" fillId="13" borderId="8" xfId="0" applyFill="1" applyBorder="1" applyAlignment="1">
      <alignment vertical="top" wrapText="1"/>
    </xf>
    <xf numFmtId="0" fontId="0" fillId="13" borderId="7" xfId="0" applyFill="1" applyBorder="1" applyAlignment="1">
      <alignment vertical="top" wrapText="1"/>
    </xf>
    <xf numFmtId="0" fontId="0" fillId="13" borderId="4" xfId="0" applyFill="1" applyBorder="1" applyAlignment="1">
      <alignment horizontal="left" vertical="top" wrapText="1"/>
    </xf>
    <xf numFmtId="0" fontId="0" fillId="13" borderId="5" xfId="0" applyFill="1" applyBorder="1" applyAlignment="1">
      <alignment vertical="top" wrapText="1"/>
    </xf>
    <xf numFmtId="0" fontId="0" fillId="13" borderId="6" xfId="0" applyFill="1" applyBorder="1" applyAlignment="1">
      <alignment vertical="top" wrapText="1"/>
    </xf>
    <xf numFmtId="0" fontId="0" fillId="13" borderId="0" xfId="0" applyFill="1" applyAlignment="1">
      <alignment horizontal="left" vertical="top" wrapText="1"/>
    </xf>
  </cellXfs>
  <cellStyles count="3">
    <cellStyle name="Standard" xfId="0" builtinId="0"/>
    <cellStyle name="Standard 2" xfId="1" xr:uid="{488990CC-ECE0-4451-9DC6-1B067085FA66}"/>
    <cellStyle name="Standard 3" xfId="2" xr:uid="{9FA1DEAC-EFF5-43E0-8657-4AA974B10FEB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435769</xdr:colOff>
      <xdr:row>1</xdr:row>
      <xdr:rowOff>50556</xdr:rowOff>
    </xdr:from>
    <xdr:to>
      <xdr:col>19</xdr:col>
      <xdr:colOff>779897</xdr:colOff>
      <xdr:row>6</xdr:row>
      <xdr:rowOff>122360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3925" y="264869"/>
          <a:ext cx="2844441" cy="10838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432034</xdr:colOff>
      <xdr:row>1</xdr:row>
      <xdr:rowOff>24250</xdr:rowOff>
    </xdr:from>
    <xdr:to>
      <xdr:col>19</xdr:col>
      <xdr:colOff>833983</xdr:colOff>
      <xdr:row>6</xdr:row>
      <xdr:rowOff>122223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7297" y="224776"/>
          <a:ext cx="2968686" cy="11006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411955</xdr:colOff>
      <xdr:row>1</xdr:row>
      <xdr:rowOff>43059</xdr:rowOff>
    </xdr:from>
    <xdr:to>
      <xdr:col>19</xdr:col>
      <xdr:colOff>756083</xdr:colOff>
      <xdr:row>6</xdr:row>
      <xdr:rowOff>114863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0111" y="257372"/>
          <a:ext cx="2844441" cy="10838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432034</xdr:colOff>
      <xdr:row>1</xdr:row>
      <xdr:rowOff>39104</xdr:rowOff>
    </xdr:from>
    <xdr:to>
      <xdr:col>19</xdr:col>
      <xdr:colOff>833983</xdr:colOff>
      <xdr:row>6</xdr:row>
      <xdr:rowOff>137077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5256" y="250771"/>
          <a:ext cx="2941949" cy="1085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495301</xdr:colOff>
      <xdr:row>1</xdr:row>
      <xdr:rowOff>46281</xdr:rowOff>
    </xdr:from>
    <xdr:to>
      <xdr:col>19</xdr:col>
      <xdr:colOff>839429</xdr:colOff>
      <xdr:row>6</xdr:row>
      <xdr:rowOff>118085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9147" y="251435"/>
          <a:ext cx="2893897" cy="10487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432034</xdr:colOff>
      <xdr:row>1</xdr:row>
      <xdr:rowOff>37618</xdr:rowOff>
    </xdr:from>
    <xdr:to>
      <xdr:col>19</xdr:col>
      <xdr:colOff>833983</xdr:colOff>
      <xdr:row>6</xdr:row>
      <xdr:rowOff>135591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7297" y="238144"/>
          <a:ext cx="2968686" cy="11006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495301</xdr:colOff>
      <xdr:row>1</xdr:row>
      <xdr:rowOff>36512</xdr:rowOff>
    </xdr:from>
    <xdr:to>
      <xdr:col>19</xdr:col>
      <xdr:colOff>839429</xdr:colOff>
      <xdr:row>6</xdr:row>
      <xdr:rowOff>108316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9147" y="241666"/>
          <a:ext cx="2893897" cy="104872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432034</xdr:colOff>
      <xdr:row>1</xdr:row>
      <xdr:rowOff>10882</xdr:rowOff>
    </xdr:from>
    <xdr:to>
      <xdr:col>19</xdr:col>
      <xdr:colOff>833983</xdr:colOff>
      <xdr:row>6</xdr:row>
      <xdr:rowOff>108855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3554" y="216622"/>
          <a:ext cx="2962269" cy="10885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495301</xdr:colOff>
      <xdr:row>1</xdr:row>
      <xdr:rowOff>26743</xdr:rowOff>
    </xdr:from>
    <xdr:to>
      <xdr:col>19</xdr:col>
      <xdr:colOff>839429</xdr:colOff>
      <xdr:row>6</xdr:row>
      <xdr:rowOff>98547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6821" y="232483"/>
          <a:ext cx="2904448" cy="106240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432034</xdr:colOff>
      <xdr:row>1</xdr:row>
      <xdr:rowOff>10882</xdr:rowOff>
    </xdr:from>
    <xdr:to>
      <xdr:col>19</xdr:col>
      <xdr:colOff>833983</xdr:colOff>
      <xdr:row>6</xdr:row>
      <xdr:rowOff>108855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3554" y="216622"/>
          <a:ext cx="2962269" cy="108857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495301</xdr:colOff>
      <xdr:row>1</xdr:row>
      <xdr:rowOff>26743</xdr:rowOff>
    </xdr:from>
    <xdr:to>
      <xdr:col>19</xdr:col>
      <xdr:colOff>839429</xdr:colOff>
      <xdr:row>6</xdr:row>
      <xdr:rowOff>98547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6821" y="232483"/>
          <a:ext cx="2904448" cy="106240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432034</xdr:colOff>
      <xdr:row>1</xdr:row>
      <xdr:rowOff>10882</xdr:rowOff>
    </xdr:from>
    <xdr:to>
      <xdr:col>20</xdr:col>
      <xdr:colOff>546</xdr:colOff>
      <xdr:row>6</xdr:row>
      <xdr:rowOff>108855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3554" y="216622"/>
          <a:ext cx="2962269" cy="108857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410635</xdr:colOff>
      <xdr:row>1</xdr:row>
      <xdr:rowOff>26743</xdr:rowOff>
    </xdr:from>
    <xdr:to>
      <xdr:col>19</xdr:col>
      <xdr:colOff>754763</xdr:colOff>
      <xdr:row>6</xdr:row>
      <xdr:rowOff>98547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3085" y="236293"/>
          <a:ext cx="2858728" cy="107192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432034</xdr:colOff>
      <xdr:row>1</xdr:row>
      <xdr:rowOff>10882</xdr:rowOff>
    </xdr:from>
    <xdr:to>
      <xdr:col>19</xdr:col>
      <xdr:colOff>833983</xdr:colOff>
      <xdr:row>6</xdr:row>
      <xdr:rowOff>108855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14484" y="220432"/>
          <a:ext cx="2916549" cy="109809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410635</xdr:colOff>
      <xdr:row>1</xdr:row>
      <xdr:rowOff>26743</xdr:rowOff>
    </xdr:from>
    <xdr:to>
      <xdr:col>19</xdr:col>
      <xdr:colOff>754763</xdr:colOff>
      <xdr:row>6</xdr:row>
      <xdr:rowOff>98547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3085" y="236293"/>
          <a:ext cx="2858728" cy="107192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350971</xdr:colOff>
      <xdr:row>1</xdr:row>
      <xdr:rowOff>91946</xdr:rowOff>
    </xdr:from>
    <xdr:to>
      <xdr:col>19</xdr:col>
      <xdr:colOff>752920</xdr:colOff>
      <xdr:row>6</xdr:row>
      <xdr:rowOff>179786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8551" y="304739"/>
          <a:ext cx="2925060" cy="11112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410635</xdr:colOff>
      <xdr:row>1</xdr:row>
      <xdr:rowOff>26743</xdr:rowOff>
    </xdr:from>
    <xdr:to>
      <xdr:col>19</xdr:col>
      <xdr:colOff>754763</xdr:colOff>
      <xdr:row>6</xdr:row>
      <xdr:rowOff>98547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3085" y="236293"/>
          <a:ext cx="2858728" cy="107192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391502</xdr:colOff>
      <xdr:row>1</xdr:row>
      <xdr:rowOff>71680</xdr:rowOff>
    </xdr:from>
    <xdr:to>
      <xdr:col>19</xdr:col>
      <xdr:colOff>793451</xdr:colOff>
      <xdr:row>6</xdr:row>
      <xdr:rowOff>169653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9082" y="284473"/>
          <a:ext cx="2925060" cy="11112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401110</xdr:colOff>
      <xdr:row>1</xdr:row>
      <xdr:rowOff>64843</xdr:rowOff>
    </xdr:from>
    <xdr:to>
      <xdr:col>19</xdr:col>
      <xdr:colOff>745238</xdr:colOff>
      <xdr:row>6</xdr:row>
      <xdr:rowOff>136647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3560" y="274393"/>
          <a:ext cx="2858728" cy="107192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401635</xdr:colOff>
      <xdr:row>1</xdr:row>
      <xdr:rowOff>41281</xdr:rowOff>
    </xdr:from>
    <xdr:to>
      <xdr:col>19</xdr:col>
      <xdr:colOff>803584</xdr:colOff>
      <xdr:row>6</xdr:row>
      <xdr:rowOff>139254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9215" y="254074"/>
          <a:ext cx="2925060" cy="111127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439210</xdr:colOff>
      <xdr:row>1</xdr:row>
      <xdr:rowOff>83893</xdr:rowOff>
    </xdr:from>
    <xdr:to>
      <xdr:col>19</xdr:col>
      <xdr:colOff>783338</xdr:colOff>
      <xdr:row>6</xdr:row>
      <xdr:rowOff>155697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1660" y="293443"/>
          <a:ext cx="2858728" cy="107192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371236</xdr:colOff>
      <xdr:row>1</xdr:row>
      <xdr:rowOff>81812</xdr:rowOff>
    </xdr:from>
    <xdr:to>
      <xdr:col>19</xdr:col>
      <xdr:colOff>773185</xdr:colOff>
      <xdr:row>6</xdr:row>
      <xdr:rowOff>179785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8816" y="294605"/>
          <a:ext cx="2925060" cy="111127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410635</xdr:colOff>
      <xdr:row>1</xdr:row>
      <xdr:rowOff>26743</xdr:rowOff>
    </xdr:from>
    <xdr:to>
      <xdr:col>19</xdr:col>
      <xdr:colOff>754763</xdr:colOff>
      <xdr:row>6</xdr:row>
      <xdr:rowOff>98547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3085" y="236293"/>
          <a:ext cx="2858728" cy="107192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381369</xdr:colOff>
      <xdr:row>1</xdr:row>
      <xdr:rowOff>51414</xdr:rowOff>
    </xdr:from>
    <xdr:to>
      <xdr:col>19</xdr:col>
      <xdr:colOff>783318</xdr:colOff>
      <xdr:row>6</xdr:row>
      <xdr:rowOff>149387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8949" y="264207"/>
          <a:ext cx="2925060" cy="111127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410635</xdr:colOff>
      <xdr:row>1</xdr:row>
      <xdr:rowOff>26743</xdr:rowOff>
    </xdr:from>
    <xdr:to>
      <xdr:col>19</xdr:col>
      <xdr:colOff>754763</xdr:colOff>
      <xdr:row>6</xdr:row>
      <xdr:rowOff>98547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3085" y="236293"/>
          <a:ext cx="2858728" cy="107192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391502</xdr:colOff>
      <xdr:row>1</xdr:row>
      <xdr:rowOff>61547</xdr:rowOff>
    </xdr:from>
    <xdr:to>
      <xdr:col>19</xdr:col>
      <xdr:colOff>793451</xdr:colOff>
      <xdr:row>6</xdr:row>
      <xdr:rowOff>159520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9082" y="274340"/>
          <a:ext cx="2925060" cy="111127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410635</xdr:colOff>
      <xdr:row>1</xdr:row>
      <xdr:rowOff>26743</xdr:rowOff>
    </xdr:from>
    <xdr:to>
      <xdr:col>19</xdr:col>
      <xdr:colOff>754763</xdr:colOff>
      <xdr:row>6</xdr:row>
      <xdr:rowOff>98547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3085" y="236293"/>
          <a:ext cx="2858728" cy="107192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384409</xdr:colOff>
      <xdr:row>1</xdr:row>
      <xdr:rowOff>48982</xdr:rowOff>
    </xdr:from>
    <xdr:to>
      <xdr:col>19</xdr:col>
      <xdr:colOff>786358</xdr:colOff>
      <xdr:row>6</xdr:row>
      <xdr:rowOff>146955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6859" y="258532"/>
          <a:ext cx="2916549" cy="109809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410635</xdr:colOff>
      <xdr:row>1</xdr:row>
      <xdr:rowOff>26743</xdr:rowOff>
    </xdr:from>
    <xdr:to>
      <xdr:col>19</xdr:col>
      <xdr:colOff>754763</xdr:colOff>
      <xdr:row>6</xdr:row>
      <xdr:rowOff>98547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3085" y="236293"/>
          <a:ext cx="2858728" cy="107192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393934</xdr:colOff>
      <xdr:row>1</xdr:row>
      <xdr:rowOff>29932</xdr:rowOff>
    </xdr:from>
    <xdr:to>
      <xdr:col>19</xdr:col>
      <xdr:colOff>795883</xdr:colOff>
      <xdr:row>6</xdr:row>
      <xdr:rowOff>127905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6384" y="239482"/>
          <a:ext cx="2916549" cy="109809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410635</xdr:colOff>
      <xdr:row>1</xdr:row>
      <xdr:rowOff>74368</xdr:rowOff>
    </xdr:from>
    <xdr:to>
      <xdr:col>19</xdr:col>
      <xdr:colOff>754763</xdr:colOff>
      <xdr:row>6</xdr:row>
      <xdr:rowOff>146172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8791" y="288681"/>
          <a:ext cx="2844441" cy="10838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393934</xdr:colOff>
      <xdr:row>1</xdr:row>
      <xdr:rowOff>20407</xdr:rowOff>
    </xdr:from>
    <xdr:to>
      <xdr:col>19</xdr:col>
      <xdr:colOff>795883</xdr:colOff>
      <xdr:row>6</xdr:row>
      <xdr:rowOff>118380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6384" y="229957"/>
          <a:ext cx="2916549" cy="1098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50"/>
  <sheetViews>
    <sheetView topLeftCell="A7" zoomScale="80" zoomScaleNormal="80" workbookViewId="0">
      <selection activeCell="F20" sqref="F20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4" ht="16.5" thickBot="1" x14ac:dyDescent="0.3"/>
    <row r="2" spans="2:24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4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4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4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4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4" ht="16.5" thickBot="1" x14ac:dyDescent="0.3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4" ht="16.5" thickBot="1" x14ac:dyDescent="0.3">
      <c r="B8" s="586" t="s">
        <v>714</v>
      </c>
      <c r="C8" s="587"/>
      <c r="D8" s="587"/>
      <c r="E8" s="587"/>
      <c r="F8" s="587"/>
      <c r="G8" s="587"/>
      <c r="H8" s="587"/>
      <c r="I8" s="587"/>
      <c r="J8" s="587"/>
      <c r="K8" s="587"/>
      <c r="L8" s="587"/>
      <c r="M8" s="587"/>
      <c r="N8" s="587"/>
      <c r="O8" s="587"/>
      <c r="P8" s="587"/>
      <c r="Q8" s="587"/>
      <c r="R8" s="587"/>
      <c r="S8" s="587"/>
      <c r="T8" s="588"/>
      <c r="U8" s="2"/>
      <c r="V8" s="2"/>
      <c r="W8" s="2"/>
    </row>
    <row r="9" spans="2:24" s="34" customFormat="1" ht="20.100000000000001" customHeight="1" x14ac:dyDescent="0.25">
      <c r="B9" s="584" t="s">
        <v>19</v>
      </c>
      <c r="C9" s="554"/>
      <c r="D9" s="554"/>
      <c r="E9" s="554" t="s">
        <v>198</v>
      </c>
      <c r="F9" s="554"/>
      <c r="G9" s="554" t="s">
        <v>20</v>
      </c>
      <c r="H9" s="554"/>
      <c r="I9" s="554"/>
      <c r="J9" s="554" t="s">
        <v>363</v>
      </c>
      <c r="K9" s="554"/>
      <c r="L9" s="554"/>
      <c r="M9" s="554"/>
      <c r="N9" s="554" t="s">
        <v>384</v>
      </c>
      <c r="O9" s="554"/>
      <c r="P9" s="554"/>
      <c r="Q9" s="554"/>
      <c r="R9" s="554" t="s">
        <v>527</v>
      </c>
      <c r="S9" s="554"/>
      <c r="T9" s="555"/>
    </row>
    <row r="10" spans="2:24" s="34" customFormat="1" ht="20.100000000000001" customHeight="1" x14ac:dyDescent="0.25">
      <c r="B10" s="508"/>
      <c r="C10" s="509"/>
      <c r="D10" s="509"/>
      <c r="E10" s="509"/>
      <c r="F10" s="509"/>
      <c r="G10" s="509"/>
      <c r="H10" s="509"/>
      <c r="I10" s="509"/>
      <c r="J10" s="509"/>
      <c r="K10" s="509"/>
      <c r="L10" s="509"/>
      <c r="M10" s="509"/>
      <c r="N10" s="509"/>
      <c r="O10" s="509"/>
      <c r="P10" s="509"/>
      <c r="Q10" s="509"/>
      <c r="R10" s="509"/>
      <c r="S10" s="509"/>
      <c r="T10" s="510"/>
    </row>
    <row r="11" spans="2:24" s="34" customFormat="1" ht="20.100000000000001" customHeight="1" thickBot="1" x14ac:dyDescent="0.3">
      <c r="B11" s="585" t="s">
        <v>21</v>
      </c>
      <c r="C11" s="553"/>
      <c r="D11" s="553"/>
      <c r="E11" s="553" t="s">
        <v>544</v>
      </c>
      <c r="F11" s="553"/>
      <c r="G11" s="553" t="s">
        <v>118</v>
      </c>
      <c r="H11" s="553"/>
      <c r="I11" s="553"/>
      <c r="J11" s="553" t="s">
        <v>120</v>
      </c>
      <c r="K11" s="553"/>
      <c r="L11" s="553"/>
      <c r="M11" s="553"/>
      <c r="N11" s="553" t="s">
        <v>117</v>
      </c>
      <c r="O11" s="553"/>
      <c r="P11" s="553"/>
      <c r="Q11" s="553"/>
      <c r="R11" s="553" t="s">
        <v>24</v>
      </c>
      <c r="S11" s="553"/>
      <c r="T11" s="556"/>
    </row>
    <row r="12" spans="2:24" ht="16.5" thickBot="1" x14ac:dyDescent="0.3">
      <c r="B12" s="576" t="s">
        <v>556</v>
      </c>
      <c r="C12" s="577"/>
      <c r="D12" s="577"/>
      <c r="E12" s="578"/>
      <c r="F12" s="1"/>
      <c r="G12" s="573" t="s">
        <v>116</v>
      </c>
      <c r="H12" s="574"/>
      <c r="I12" s="574"/>
      <c r="J12" s="574"/>
      <c r="K12" s="574"/>
      <c r="L12" s="574"/>
      <c r="M12" s="574"/>
      <c r="N12" s="574"/>
      <c r="O12" s="574"/>
      <c r="P12" s="574"/>
      <c r="Q12" s="574"/>
      <c r="R12" s="574"/>
      <c r="S12" s="574"/>
      <c r="T12" s="575"/>
      <c r="X12" t="s">
        <v>286</v>
      </c>
    </row>
    <row r="13" spans="2:24" ht="21.6" customHeight="1" thickBot="1" x14ac:dyDescent="0.3">
      <c r="B13" s="579"/>
      <c r="C13" s="580"/>
      <c r="D13" s="580"/>
      <c r="E13" s="581"/>
      <c r="F13" s="1"/>
      <c r="G13" s="70" t="s">
        <v>865</v>
      </c>
      <c r="H13" s="582" t="s">
        <v>877</v>
      </c>
      <c r="I13" s="583"/>
      <c r="J13" s="71" t="s">
        <v>866</v>
      </c>
      <c r="K13" s="64"/>
      <c r="L13" s="70" t="s">
        <v>867</v>
      </c>
      <c r="M13" s="582" t="s">
        <v>878</v>
      </c>
      <c r="N13" s="583"/>
      <c r="O13" s="71" t="s">
        <v>868</v>
      </c>
      <c r="P13" s="64"/>
      <c r="Q13" s="71" t="s">
        <v>869</v>
      </c>
      <c r="R13" s="582" t="s">
        <v>879</v>
      </c>
      <c r="S13" s="583"/>
      <c r="T13" s="71" t="s">
        <v>870</v>
      </c>
      <c r="W13" s="36"/>
      <c r="X13" s="1" t="s">
        <v>556</v>
      </c>
    </row>
    <row r="14" spans="2:24" ht="16.5" thickBot="1" x14ac:dyDescent="0.3">
      <c r="B14" s="562" t="s">
        <v>8</v>
      </c>
      <c r="C14" s="563"/>
      <c r="D14" s="563"/>
      <c r="E14" s="564"/>
      <c r="F14" s="72"/>
      <c r="G14" s="15" t="s">
        <v>9</v>
      </c>
      <c r="H14" s="16" t="s">
        <v>10</v>
      </c>
      <c r="I14" s="16" t="s">
        <v>11</v>
      </c>
      <c r="J14" s="17" t="s">
        <v>880</v>
      </c>
      <c r="K14" s="1"/>
      <c r="L14" s="15" t="s">
        <v>9</v>
      </c>
      <c r="M14" s="16" t="s">
        <v>10</v>
      </c>
      <c r="N14" s="16" t="s">
        <v>11</v>
      </c>
      <c r="O14" s="17" t="s">
        <v>880</v>
      </c>
      <c r="P14" s="1"/>
      <c r="Q14" s="40" t="s">
        <v>9</v>
      </c>
      <c r="R14" s="41" t="s">
        <v>10</v>
      </c>
      <c r="S14" s="41" t="s">
        <v>11</v>
      </c>
      <c r="T14" s="42" t="s">
        <v>880</v>
      </c>
      <c r="W14" s="37"/>
      <c r="X14" s="1" t="s">
        <v>287</v>
      </c>
    </row>
    <row r="15" spans="2:24" s="1" customFormat="1" ht="19.899999999999999" customHeight="1" x14ac:dyDescent="0.25">
      <c r="B15" s="9">
        <v>1</v>
      </c>
      <c r="C15" s="560" t="s">
        <v>354</v>
      </c>
      <c r="D15" s="560"/>
      <c r="E15" s="561"/>
      <c r="G15" s="18" t="s">
        <v>12</v>
      </c>
      <c r="H15" s="19"/>
      <c r="I15" s="19" t="s">
        <v>557</v>
      </c>
      <c r="J15" s="20" t="s">
        <v>16</v>
      </c>
      <c r="L15" s="18" t="s">
        <v>12</v>
      </c>
      <c r="M15" s="19"/>
      <c r="N15" s="19" t="s">
        <v>558</v>
      </c>
      <c r="O15" s="20" t="s">
        <v>16</v>
      </c>
      <c r="Q15" s="43" t="s">
        <v>12</v>
      </c>
      <c r="R15" s="44"/>
      <c r="S15" s="44" t="s">
        <v>559</v>
      </c>
      <c r="T15" s="45" t="s">
        <v>16</v>
      </c>
      <c r="W15" s="36"/>
      <c r="X15" s="1" t="s">
        <v>310</v>
      </c>
    </row>
    <row r="16" spans="2:24" s="1" customFormat="1" ht="19.899999999999999" customHeight="1" x14ac:dyDescent="0.25">
      <c r="B16" s="3">
        <v>2</v>
      </c>
      <c r="C16" s="567" t="s">
        <v>576</v>
      </c>
      <c r="D16" s="567"/>
      <c r="E16" s="568"/>
      <c r="G16" s="67" t="s">
        <v>12</v>
      </c>
      <c r="H16" s="68"/>
      <c r="I16" s="68" t="s">
        <v>14</v>
      </c>
      <c r="J16" s="69"/>
      <c r="L16" s="67" t="s">
        <v>12</v>
      </c>
      <c r="M16" s="68"/>
      <c r="N16" s="68" t="s">
        <v>14</v>
      </c>
      <c r="O16" s="69"/>
      <c r="Q16" s="67" t="s">
        <v>12</v>
      </c>
      <c r="R16" s="68"/>
      <c r="S16" s="68" t="s">
        <v>14</v>
      </c>
      <c r="T16" s="69"/>
      <c r="W16" s="36"/>
    </row>
    <row r="17" spans="2:24" s="1" customFormat="1" ht="19.899999999999999" customHeight="1" thickBot="1" x14ac:dyDescent="0.3">
      <c r="B17" s="4">
        <v>3</v>
      </c>
      <c r="C17" s="565" t="s">
        <v>586</v>
      </c>
      <c r="D17" s="565"/>
      <c r="E17" s="566"/>
      <c r="G17" s="24" t="s">
        <v>12</v>
      </c>
      <c r="H17" s="25"/>
      <c r="I17" s="25" t="s">
        <v>14</v>
      </c>
      <c r="J17" s="26"/>
      <c r="L17" s="24" t="s">
        <v>12</v>
      </c>
      <c r="M17" s="25"/>
      <c r="N17" s="25" t="s">
        <v>14</v>
      </c>
      <c r="O17" s="26"/>
      <c r="Q17" s="46" t="s">
        <v>12</v>
      </c>
      <c r="R17" s="47"/>
      <c r="S17" s="47" t="s">
        <v>14</v>
      </c>
      <c r="T17" s="48"/>
    </row>
    <row r="18" spans="2:24" s="2" customFormat="1" ht="4.9000000000000004" customHeight="1" thickBot="1" x14ac:dyDescent="0.3">
      <c r="B18" s="73"/>
      <c r="Q18" s="49"/>
      <c r="R18" s="49"/>
      <c r="S18" s="49"/>
      <c r="T18" s="74"/>
      <c r="X18" s="1"/>
    </row>
    <row r="19" spans="2:24" s="1" customFormat="1" ht="16.5" thickBot="1" x14ac:dyDescent="0.3">
      <c r="B19" s="562" t="s">
        <v>882</v>
      </c>
      <c r="C19" s="563"/>
      <c r="D19" s="563"/>
      <c r="E19" s="564"/>
      <c r="G19" s="80" t="s">
        <v>880</v>
      </c>
      <c r="H19" s="81" t="s">
        <v>10</v>
      </c>
      <c r="I19" s="81" t="s">
        <v>11</v>
      </c>
      <c r="J19" s="82" t="s">
        <v>880</v>
      </c>
      <c r="K19" s="72"/>
      <c r="L19" s="80" t="str">
        <f>G19</f>
        <v>GEWICHT</v>
      </c>
      <c r="M19" s="81" t="s">
        <v>10</v>
      </c>
      <c r="N19" s="81" t="s">
        <v>11</v>
      </c>
      <c r="O19" s="82" t="s">
        <v>880</v>
      </c>
      <c r="P19" s="72"/>
      <c r="Q19" s="83" t="str">
        <f>L19</f>
        <v>GEWICHT</v>
      </c>
      <c r="R19" s="84" t="s">
        <v>10</v>
      </c>
      <c r="S19" s="84" t="s">
        <v>11</v>
      </c>
      <c r="T19" s="85" t="s">
        <v>880</v>
      </c>
    </row>
    <row r="20" spans="2:24" s="1" customFormat="1" ht="19.899999999999999" customHeight="1" x14ac:dyDescent="0.25">
      <c r="B20" s="9">
        <v>1</v>
      </c>
      <c r="C20" s="560" t="s">
        <v>363</v>
      </c>
      <c r="D20" s="560"/>
      <c r="E20" s="561"/>
      <c r="G20" s="21"/>
      <c r="H20" s="22" t="s">
        <v>13</v>
      </c>
      <c r="I20" s="22" t="s">
        <v>7</v>
      </c>
      <c r="J20" s="23"/>
      <c r="L20" s="21"/>
      <c r="M20" s="22" t="s">
        <v>13</v>
      </c>
      <c r="N20" s="22" t="str">
        <f t="shared" ref="N20:N28" si="0">I20</f>
        <v>1x20</v>
      </c>
      <c r="O20" s="23"/>
      <c r="Q20" s="50"/>
      <c r="R20" s="52" t="s">
        <v>13</v>
      </c>
      <c r="S20" s="52" t="str">
        <f>N20</f>
        <v>1x20</v>
      </c>
      <c r="T20" s="53"/>
    </row>
    <row r="21" spans="2:24" s="1" customFormat="1" ht="19.899999999999999" customHeight="1" x14ac:dyDescent="0.25">
      <c r="B21" s="3">
        <v>2</v>
      </c>
      <c r="C21" s="567" t="s">
        <v>527</v>
      </c>
      <c r="D21" s="567"/>
      <c r="E21" s="568"/>
      <c r="G21" s="27"/>
      <c r="H21" s="28" t="s">
        <v>13</v>
      </c>
      <c r="I21" s="28" t="s">
        <v>625</v>
      </c>
      <c r="J21" s="29"/>
      <c r="L21" s="27"/>
      <c r="M21" s="28" t="s">
        <v>13</v>
      </c>
      <c r="N21" s="28" t="str">
        <f t="shared" si="0"/>
        <v>1x10/ea</v>
      </c>
      <c r="O21" s="29"/>
      <c r="Q21" s="54"/>
      <c r="R21" s="56" t="s">
        <v>13</v>
      </c>
      <c r="S21" s="56" t="str">
        <f>N21</f>
        <v>1x10/ea</v>
      </c>
      <c r="T21" s="57"/>
    </row>
    <row r="22" spans="2:24" s="1" customFormat="1" ht="19.899999999999999" customHeight="1" thickBot="1" x14ac:dyDescent="0.3">
      <c r="B22" s="4">
        <v>3</v>
      </c>
      <c r="C22" s="565" t="s">
        <v>390</v>
      </c>
      <c r="D22" s="565"/>
      <c r="E22" s="566"/>
      <c r="G22" s="24"/>
      <c r="H22" s="25" t="s">
        <v>13</v>
      </c>
      <c r="I22" s="25" t="s">
        <v>561</v>
      </c>
      <c r="J22" s="26"/>
      <c r="L22" s="24"/>
      <c r="M22" s="25" t="s">
        <v>13</v>
      </c>
      <c r="N22" s="25" t="str">
        <f t="shared" si="0"/>
        <v>1x10ea</v>
      </c>
      <c r="O22" s="26"/>
      <c r="Q22" s="46"/>
      <c r="R22" s="47" t="s">
        <v>13</v>
      </c>
      <c r="S22" s="47" t="str">
        <f>N22</f>
        <v>1x10ea</v>
      </c>
      <c r="T22" s="48"/>
    </row>
    <row r="23" spans="2:24" s="1" customFormat="1" ht="19.899999999999999" customHeight="1" x14ac:dyDescent="0.25">
      <c r="B23" s="9">
        <v>4</v>
      </c>
      <c r="C23" s="560" t="s">
        <v>384</v>
      </c>
      <c r="D23" s="560"/>
      <c r="E23" s="561"/>
      <c r="G23" s="21"/>
      <c r="H23" s="22" t="s">
        <v>13</v>
      </c>
      <c r="I23" s="22" t="s">
        <v>7</v>
      </c>
      <c r="J23" s="23"/>
      <c r="L23" s="21"/>
      <c r="M23" s="22" t="s">
        <v>13</v>
      </c>
      <c r="N23" s="22" t="str">
        <f t="shared" si="0"/>
        <v>1x20</v>
      </c>
      <c r="O23" s="23"/>
      <c r="Q23" s="50"/>
      <c r="R23" s="52" t="s">
        <v>13</v>
      </c>
      <c r="S23" s="52" t="s">
        <v>7</v>
      </c>
      <c r="T23" s="53"/>
    </row>
    <row r="24" spans="2:24" s="1" customFormat="1" ht="19.899999999999999" customHeight="1" x14ac:dyDescent="0.25">
      <c r="B24" s="3">
        <v>5</v>
      </c>
      <c r="C24" s="567" t="s">
        <v>391</v>
      </c>
      <c r="D24" s="567"/>
      <c r="E24" s="568"/>
      <c r="G24" s="27"/>
      <c r="H24" s="28" t="s">
        <v>13</v>
      </c>
      <c r="I24" s="28" t="s">
        <v>7</v>
      </c>
      <c r="J24" s="29"/>
      <c r="L24" s="27"/>
      <c r="M24" s="28" t="s">
        <v>13</v>
      </c>
      <c r="N24" s="28" t="str">
        <f t="shared" si="0"/>
        <v>1x20</v>
      </c>
      <c r="O24" s="29"/>
      <c r="Q24" s="54"/>
      <c r="R24" s="56" t="s">
        <v>13</v>
      </c>
      <c r="S24" s="28" t="s">
        <v>7</v>
      </c>
      <c r="T24" s="57"/>
    </row>
    <row r="25" spans="2:24" s="1" customFormat="1" ht="19.899999999999999" customHeight="1" thickBot="1" x14ac:dyDescent="0.3">
      <c r="B25" s="4">
        <v>6</v>
      </c>
      <c r="C25" s="565" t="s">
        <v>30</v>
      </c>
      <c r="D25" s="565"/>
      <c r="E25" s="566"/>
      <c r="G25" s="24"/>
      <c r="H25" s="25" t="s">
        <v>13</v>
      </c>
      <c r="I25" s="25" t="s">
        <v>292</v>
      </c>
      <c r="J25" s="26"/>
      <c r="L25" s="24"/>
      <c r="M25" s="25" t="s">
        <v>13</v>
      </c>
      <c r="N25" s="25" t="str">
        <f t="shared" si="0"/>
        <v>3x10s/ea</v>
      </c>
      <c r="O25" s="26"/>
      <c r="Q25" s="46"/>
      <c r="R25" s="47" t="s">
        <v>13</v>
      </c>
      <c r="S25" s="47" t="str">
        <f>N25</f>
        <v>3x10s/ea</v>
      </c>
      <c r="T25" s="48"/>
    </row>
    <row r="26" spans="2:24" s="1" customFormat="1" ht="19.899999999999999" customHeight="1" x14ac:dyDescent="0.25">
      <c r="B26" s="9">
        <v>7</v>
      </c>
      <c r="C26" s="560" t="s">
        <v>465</v>
      </c>
      <c r="D26" s="560"/>
      <c r="E26" s="561"/>
      <c r="G26" s="21"/>
      <c r="H26" s="22" t="s">
        <v>13</v>
      </c>
      <c r="I26" s="22" t="s">
        <v>592</v>
      </c>
      <c r="J26" s="23"/>
      <c r="L26" s="21"/>
      <c r="M26" s="22" t="s">
        <v>13</v>
      </c>
      <c r="N26" s="22" t="str">
        <f t="shared" si="0"/>
        <v>1x20/ea</v>
      </c>
      <c r="O26" s="23"/>
      <c r="Q26" s="50"/>
      <c r="R26" s="52" t="s">
        <v>13</v>
      </c>
      <c r="S26" s="52" t="str">
        <f>N26</f>
        <v>1x20/ea</v>
      </c>
      <c r="T26" s="53"/>
    </row>
    <row r="27" spans="2:24" s="1" customFormat="1" ht="19.899999999999999" customHeight="1" x14ac:dyDescent="0.25">
      <c r="B27" s="3">
        <v>8</v>
      </c>
      <c r="C27" s="567" t="s">
        <v>411</v>
      </c>
      <c r="D27" s="567"/>
      <c r="E27" s="568"/>
      <c r="G27" s="27"/>
      <c r="H27" s="28" t="s">
        <v>13</v>
      </c>
      <c r="I27" s="28" t="s">
        <v>119</v>
      </c>
      <c r="J27" s="29"/>
      <c r="L27" s="27"/>
      <c r="M27" s="28" t="s">
        <v>13</v>
      </c>
      <c r="N27" s="28" t="str">
        <f t="shared" si="0"/>
        <v>1x30s/ea</v>
      </c>
      <c r="O27" s="29"/>
      <c r="Q27" s="54"/>
      <c r="R27" s="56" t="s">
        <v>13</v>
      </c>
      <c r="S27" s="56" t="str">
        <f>N27</f>
        <v>1x30s/ea</v>
      </c>
      <c r="T27" s="57"/>
    </row>
    <row r="28" spans="2:24" s="1" customFormat="1" ht="19.899999999999999" customHeight="1" thickBot="1" x14ac:dyDescent="0.3">
      <c r="B28" s="4">
        <v>9</v>
      </c>
      <c r="C28" s="565" t="s">
        <v>32</v>
      </c>
      <c r="D28" s="565"/>
      <c r="E28" s="566"/>
      <c r="G28" s="24"/>
      <c r="H28" s="25" t="s">
        <v>13</v>
      </c>
      <c r="I28" s="25" t="s">
        <v>292</v>
      </c>
      <c r="J28" s="26"/>
      <c r="L28" s="24"/>
      <c r="M28" s="25" t="s">
        <v>13</v>
      </c>
      <c r="N28" s="25" t="str">
        <f t="shared" si="0"/>
        <v>3x10s/ea</v>
      </c>
      <c r="O28" s="26"/>
      <c r="Q28" s="46"/>
      <c r="R28" s="47" t="s">
        <v>13</v>
      </c>
      <c r="S28" s="25" t="str">
        <f>N28</f>
        <v>3x10s/ea</v>
      </c>
      <c r="T28" s="48"/>
    </row>
    <row r="29" spans="2:24" s="1" customFormat="1" ht="19.899999999999999" customHeight="1" x14ac:dyDescent="0.25">
      <c r="B29" s="9">
        <v>10</v>
      </c>
      <c r="C29" s="560" t="s">
        <v>472</v>
      </c>
      <c r="D29" s="560"/>
      <c r="E29" s="561"/>
      <c r="G29" s="21"/>
      <c r="H29" s="22" t="s">
        <v>13</v>
      </c>
      <c r="I29" s="22" t="s">
        <v>592</v>
      </c>
      <c r="J29" s="23"/>
      <c r="L29" s="21"/>
      <c r="M29" s="22" t="s">
        <v>13</v>
      </c>
      <c r="N29" s="22" t="str">
        <f t="shared" ref="N29:N35" si="1">I29</f>
        <v>1x20/ea</v>
      </c>
      <c r="O29" s="23"/>
      <c r="Q29" s="21"/>
      <c r="R29" s="22" t="s">
        <v>13</v>
      </c>
      <c r="S29" s="22" t="str">
        <f>I29</f>
        <v>1x20/ea</v>
      </c>
      <c r="T29" s="23"/>
    </row>
    <row r="30" spans="2:24" s="1" customFormat="1" ht="19.899999999999999" customHeight="1" x14ac:dyDescent="0.25">
      <c r="B30" s="3">
        <v>11</v>
      </c>
      <c r="C30" s="567" t="s">
        <v>29</v>
      </c>
      <c r="D30" s="567"/>
      <c r="E30" s="568"/>
      <c r="G30" s="27"/>
      <c r="H30" s="28" t="s">
        <v>13</v>
      </c>
      <c r="I30" s="28" t="s">
        <v>7</v>
      </c>
      <c r="J30" s="29"/>
      <c r="L30" s="27"/>
      <c r="M30" s="28" t="s">
        <v>13</v>
      </c>
      <c r="N30" s="28" t="str">
        <f t="shared" si="1"/>
        <v>1x20</v>
      </c>
      <c r="O30" s="29"/>
      <c r="Q30" s="27"/>
      <c r="R30" s="28" t="s">
        <v>13</v>
      </c>
      <c r="S30" s="28" t="str">
        <f>N30</f>
        <v>1x20</v>
      </c>
      <c r="T30" s="29"/>
    </row>
    <row r="31" spans="2:24" s="1" customFormat="1" ht="19.899999999999999" customHeight="1" thickBot="1" x14ac:dyDescent="0.3">
      <c r="B31" s="3">
        <v>12</v>
      </c>
      <c r="C31" s="567" t="s">
        <v>175</v>
      </c>
      <c r="D31" s="567"/>
      <c r="E31" s="568"/>
      <c r="G31" s="24"/>
      <c r="H31" s="25" t="s">
        <v>13</v>
      </c>
      <c r="I31" s="25" t="s">
        <v>592</v>
      </c>
      <c r="J31" s="26"/>
      <c r="L31" s="24"/>
      <c r="M31" s="25" t="s">
        <v>13</v>
      </c>
      <c r="N31" s="25" t="str">
        <f t="shared" si="1"/>
        <v>1x20/ea</v>
      </c>
      <c r="O31" s="26"/>
      <c r="Q31" s="46"/>
      <c r="R31" s="47" t="s">
        <v>13</v>
      </c>
      <c r="S31" s="47" t="str">
        <f>N31</f>
        <v>1x20/ea</v>
      </c>
      <c r="T31" s="48"/>
    </row>
    <row r="32" spans="2:24" s="1" customFormat="1" ht="19.899999999999999" customHeight="1" x14ac:dyDescent="0.25">
      <c r="B32" s="9">
        <v>13</v>
      </c>
      <c r="C32" s="560" t="s">
        <v>33</v>
      </c>
      <c r="D32" s="560"/>
      <c r="E32" s="561"/>
      <c r="G32" s="99"/>
      <c r="H32" s="22" t="s">
        <v>13</v>
      </c>
      <c r="I32" s="22" t="s">
        <v>592</v>
      </c>
      <c r="J32" s="23"/>
      <c r="L32" s="21"/>
      <c r="M32" s="22" t="s">
        <v>13</v>
      </c>
      <c r="N32" s="22" t="str">
        <f t="shared" si="1"/>
        <v>1x20/ea</v>
      </c>
      <c r="O32" s="23"/>
      <c r="Q32" s="21"/>
      <c r="R32" s="22" t="s">
        <v>13</v>
      </c>
      <c r="S32" s="22" t="str">
        <f>I32</f>
        <v>1x20/ea</v>
      </c>
      <c r="T32" s="23"/>
    </row>
    <row r="33" spans="2:22" s="1" customFormat="1" ht="19.899999999999999" customHeight="1" x14ac:dyDescent="0.25">
      <c r="B33" s="3">
        <v>14</v>
      </c>
      <c r="C33" s="567" t="s">
        <v>34</v>
      </c>
      <c r="D33" s="567"/>
      <c r="E33" s="568"/>
      <c r="G33" s="96"/>
      <c r="H33" s="28" t="s">
        <v>13</v>
      </c>
      <c r="I33" s="28" t="s">
        <v>592</v>
      </c>
      <c r="J33" s="29"/>
      <c r="L33" s="27"/>
      <c r="M33" s="28" t="s">
        <v>13</v>
      </c>
      <c r="N33" s="28" t="str">
        <f t="shared" si="1"/>
        <v>1x20/ea</v>
      </c>
      <c r="O33" s="29"/>
      <c r="Q33" s="27"/>
      <c r="R33" s="28" t="s">
        <v>13</v>
      </c>
      <c r="S33" s="28" t="str">
        <f>N33</f>
        <v>1x20/ea</v>
      </c>
      <c r="T33" s="29"/>
    </row>
    <row r="34" spans="2:22" s="1" customFormat="1" ht="19.899999999999999" customHeight="1" x14ac:dyDescent="0.25">
      <c r="B34" s="3">
        <v>15</v>
      </c>
      <c r="C34" s="567" t="s">
        <v>35</v>
      </c>
      <c r="D34" s="567"/>
      <c r="E34" s="568"/>
      <c r="G34" s="96"/>
      <c r="H34" s="28" t="s">
        <v>13</v>
      </c>
      <c r="I34" s="28" t="s">
        <v>592</v>
      </c>
      <c r="J34" s="29"/>
      <c r="L34" s="27"/>
      <c r="M34" s="28" t="s">
        <v>13</v>
      </c>
      <c r="N34" s="28" t="str">
        <f t="shared" si="1"/>
        <v>1x20/ea</v>
      </c>
      <c r="O34" s="29"/>
      <c r="Q34" s="27"/>
      <c r="R34" s="28" t="s">
        <v>13</v>
      </c>
      <c r="S34" s="28" t="str">
        <f>N34</f>
        <v>1x20/ea</v>
      </c>
      <c r="T34" s="29"/>
    </row>
    <row r="35" spans="2:22" s="1" customFormat="1" ht="19.899999999999999" customHeight="1" thickBot="1" x14ac:dyDescent="0.3">
      <c r="B35" s="4">
        <v>16</v>
      </c>
      <c r="C35" s="565" t="s">
        <v>436</v>
      </c>
      <c r="D35" s="565"/>
      <c r="E35" s="566"/>
      <c r="G35" s="24"/>
      <c r="H35" s="25" t="s">
        <v>13</v>
      </c>
      <c r="I35" s="25" t="s">
        <v>7</v>
      </c>
      <c r="J35" s="26"/>
      <c r="L35" s="24"/>
      <c r="M35" s="25" t="s">
        <v>13</v>
      </c>
      <c r="N35" s="25" t="str">
        <f t="shared" si="1"/>
        <v>1x20</v>
      </c>
      <c r="O35" s="26"/>
      <c r="Q35" s="24"/>
      <c r="R35" s="25" t="s">
        <v>13</v>
      </c>
      <c r="S35" s="25" t="str">
        <f>N35</f>
        <v>1x20</v>
      </c>
      <c r="T35" s="26"/>
    </row>
    <row r="36" spans="2:22" s="2" customFormat="1" ht="16.149999999999999" customHeight="1" thickBot="1" x14ac:dyDescent="0.3">
      <c r="B36" s="573" t="s">
        <v>873</v>
      </c>
      <c r="C36" s="574"/>
      <c r="D36" s="574"/>
      <c r="E36" s="575"/>
      <c r="F36" s="79"/>
      <c r="G36" s="557"/>
      <c r="H36" s="558"/>
      <c r="I36" s="558"/>
      <c r="J36" s="558"/>
      <c r="K36" s="558"/>
      <c r="L36" s="558"/>
      <c r="M36" s="558"/>
      <c r="N36" s="558"/>
      <c r="O36" s="558"/>
      <c r="P36" s="558"/>
      <c r="Q36" s="558"/>
      <c r="R36" s="558"/>
      <c r="S36" s="558"/>
      <c r="T36" s="559"/>
    </row>
    <row r="37" spans="2:22" s="1" customFormat="1" ht="19.899999999999999" customHeight="1" x14ac:dyDescent="0.25">
      <c r="B37" s="9">
        <v>17</v>
      </c>
      <c r="C37" s="560" t="s">
        <v>182</v>
      </c>
      <c r="D37" s="560"/>
      <c r="E37" s="561"/>
      <c r="G37" s="21"/>
      <c r="H37" s="30" t="s">
        <v>13</v>
      </c>
      <c r="I37" s="22" t="s">
        <v>119</v>
      </c>
      <c r="J37" s="23"/>
      <c r="L37" s="21"/>
      <c r="M37" s="30" t="s">
        <v>13</v>
      </c>
      <c r="N37" s="22" t="str">
        <f>I37</f>
        <v>1x30s/ea</v>
      </c>
      <c r="O37" s="23"/>
      <c r="Q37" s="50"/>
      <c r="R37" s="51" t="s">
        <v>13</v>
      </c>
      <c r="S37" s="52" t="str">
        <f>N37</f>
        <v>1x30s/ea</v>
      </c>
      <c r="T37" s="53"/>
    </row>
    <row r="38" spans="2:22" s="1" customFormat="1" ht="19.899999999999999" customHeight="1" x14ac:dyDescent="0.25">
      <c r="B38" s="3">
        <v>18</v>
      </c>
      <c r="C38" s="569" t="s">
        <v>606</v>
      </c>
      <c r="D38" s="569"/>
      <c r="E38" s="570"/>
      <c r="G38" s="27"/>
      <c r="H38" s="31" t="s">
        <v>13</v>
      </c>
      <c r="I38" s="28" t="s">
        <v>119</v>
      </c>
      <c r="J38" s="29"/>
      <c r="L38" s="27"/>
      <c r="M38" s="31" t="s">
        <v>13</v>
      </c>
      <c r="N38" s="28" t="str">
        <f>I38</f>
        <v>1x30s/ea</v>
      </c>
      <c r="O38" s="29"/>
      <c r="Q38" s="54"/>
      <c r="R38" s="55" t="s">
        <v>13</v>
      </c>
      <c r="S38" s="56" t="str">
        <f>N38</f>
        <v>1x30s/ea</v>
      </c>
      <c r="T38" s="57"/>
    </row>
    <row r="39" spans="2:22" s="1" customFormat="1" ht="19.899999999999999" customHeight="1" thickBot="1" x14ac:dyDescent="0.3">
      <c r="B39" s="4">
        <v>19</v>
      </c>
      <c r="C39" s="571" t="s">
        <v>36</v>
      </c>
      <c r="D39" s="571"/>
      <c r="E39" s="572"/>
      <c r="F39" s="66"/>
      <c r="G39" s="24"/>
      <c r="H39" s="32" t="s">
        <v>13</v>
      </c>
      <c r="I39" s="25" t="s">
        <v>119</v>
      </c>
      <c r="J39" s="26"/>
      <c r="K39" s="66"/>
      <c r="L39" s="24"/>
      <c r="M39" s="32" t="s">
        <v>13</v>
      </c>
      <c r="N39" s="25" t="str">
        <f>I39</f>
        <v>1x30s/ea</v>
      </c>
      <c r="O39" s="26"/>
      <c r="P39" s="66"/>
      <c r="Q39" s="46"/>
      <c r="R39" s="58" t="s">
        <v>13</v>
      </c>
      <c r="S39" s="47" t="str">
        <f>N39</f>
        <v>1x30s/ea</v>
      </c>
      <c r="T39" s="48"/>
    </row>
    <row r="40" spans="2:22" s="2" customFormat="1" ht="4.9000000000000004" customHeight="1" x14ac:dyDescent="0.25">
      <c r="Q40" s="49"/>
      <c r="R40" s="49"/>
      <c r="S40" s="49"/>
      <c r="T40" s="49"/>
      <c r="V40" s="2" t="s">
        <v>592</v>
      </c>
    </row>
    <row r="41" spans="2:22" x14ac:dyDescent="0.25">
      <c r="V41" s="1" t="s">
        <v>289</v>
      </c>
    </row>
    <row r="42" spans="2:22" x14ac:dyDescent="0.25">
      <c r="V42" s="1" t="s">
        <v>311</v>
      </c>
    </row>
    <row r="43" spans="2:22" x14ac:dyDescent="0.25">
      <c r="V43" s="1" t="s">
        <v>37</v>
      </c>
    </row>
    <row r="44" spans="2:22" x14ac:dyDescent="0.25">
      <c r="V44" s="1" t="s">
        <v>119</v>
      </c>
    </row>
    <row r="45" spans="2:22" x14ac:dyDescent="0.25">
      <c r="V45" s="1" t="s">
        <v>290</v>
      </c>
    </row>
    <row r="46" spans="2:22" x14ac:dyDescent="0.25">
      <c r="V46" s="1" t="s">
        <v>291</v>
      </c>
    </row>
    <row r="47" spans="2:22" x14ac:dyDescent="0.25">
      <c r="V47" s="1" t="s">
        <v>292</v>
      </c>
    </row>
    <row r="48" spans="2:22" x14ac:dyDescent="0.25">
      <c r="V48" s="1" t="s">
        <v>337</v>
      </c>
    </row>
    <row r="49" spans="22:22" x14ac:dyDescent="0.25">
      <c r="V49" s="1" t="s">
        <v>15</v>
      </c>
    </row>
    <row r="50" spans="22:22" x14ac:dyDescent="0.25">
      <c r="V50" s="1" t="s">
        <v>625</v>
      </c>
    </row>
  </sheetData>
  <mergeCells count="45">
    <mergeCell ref="O2:T7"/>
    <mergeCell ref="B12:E13"/>
    <mergeCell ref="G12:T12"/>
    <mergeCell ref="H13:I13"/>
    <mergeCell ref="M13:N13"/>
    <mergeCell ref="R13:S13"/>
    <mergeCell ref="B9:D9"/>
    <mergeCell ref="B11:D11"/>
    <mergeCell ref="G9:I9"/>
    <mergeCell ref="G11:I11"/>
    <mergeCell ref="J9:M9"/>
    <mergeCell ref="J11:M11"/>
    <mergeCell ref="B8:T8"/>
    <mergeCell ref="E9:F9"/>
    <mergeCell ref="E11:F11"/>
    <mergeCell ref="N9:Q9"/>
    <mergeCell ref="C38:E38"/>
    <mergeCell ref="C26:E26"/>
    <mergeCell ref="C27:E27"/>
    <mergeCell ref="C28:E28"/>
    <mergeCell ref="C39:E39"/>
    <mergeCell ref="C30:E30"/>
    <mergeCell ref="C34:E34"/>
    <mergeCell ref="B36:E36"/>
    <mergeCell ref="C29:E29"/>
    <mergeCell ref="C31:E31"/>
    <mergeCell ref="C32:E32"/>
    <mergeCell ref="C33:E33"/>
    <mergeCell ref="C35:E35"/>
    <mergeCell ref="N11:Q11"/>
    <mergeCell ref="R9:T9"/>
    <mergeCell ref="R11:T11"/>
    <mergeCell ref="G36:T36"/>
    <mergeCell ref="C37:E37"/>
    <mergeCell ref="B14:E14"/>
    <mergeCell ref="B19:E19"/>
    <mergeCell ref="C20:E20"/>
    <mergeCell ref="C23:E23"/>
    <mergeCell ref="C22:E22"/>
    <mergeCell ref="C24:E24"/>
    <mergeCell ref="C15:E15"/>
    <mergeCell ref="C17:E17"/>
    <mergeCell ref="C21:E21"/>
    <mergeCell ref="C25:E25"/>
    <mergeCell ref="C16:E16"/>
  </mergeCells>
  <phoneticPr fontId="5" type="noConversion"/>
  <dataValidations count="12">
    <dataValidation type="list" allowBlank="1" showInputMessage="1" showErrorMessage="1" sqref="B12:E13" xr:uid="{00000000-0002-0000-0000-000000000000}">
      <formula1>$X$13:$X$17</formula1>
    </dataValidation>
    <dataValidation type="list" allowBlank="1" showInputMessage="1" showErrorMessage="1" sqref="M37 H37 R37" xr:uid="{00000000-0002-0000-0000-000001000000}">
      <formula1>$W$13:$W$17</formula1>
    </dataValidation>
    <dataValidation type="list" allowBlank="1" showInputMessage="1" showErrorMessage="1" sqref="M38:M39 H38:H39 R38:R39" xr:uid="{00000000-0002-0000-0000-000002000000}">
      <formula1>$W$13:$W$15</formula1>
    </dataValidation>
    <dataValidation type="list" allowBlank="1" showInputMessage="1" showErrorMessage="1" sqref="N37:N39 I39" xr:uid="{00000000-0002-0000-0000-000003000000}">
      <formula1>$V$41:$V$46</formula1>
    </dataValidation>
    <dataValidation type="list" allowBlank="1" showInputMessage="1" showErrorMessage="1" sqref="S24 N24 I24" xr:uid="{00000000-0002-0000-0000-000004000000}">
      <formula1>$V$37:$V$45</formula1>
    </dataValidation>
    <dataValidation type="list" allowBlank="1" showInputMessage="1" showErrorMessage="1" sqref="S28" xr:uid="{00000000-0002-0000-0000-000005000000}">
      <formula1>$V$37:$V$47</formula1>
    </dataValidation>
    <dataValidation type="list" allowBlank="1" showInputMessage="1" showErrorMessage="1" sqref="N28" xr:uid="{00000000-0002-0000-0000-000006000000}">
      <formula1>$V$37:$V$48</formula1>
    </dataValidation>
    <dataValidation type="list" allowBlank="1" showInputMessage="1" showErrorMessage="1" sqref="I34 I31" xr:uid="{00000000-0002-0000-0000-000007000000}">
      <formula1>$V$37:$V$46</formula1>
    </dataValidation>
    <dataValidation type="list" allowBlank="1" showInputMessage="1" showErrorMessage="1" sqref="M20:M35 R20:R35 H20:H35" xr:uid="{00000000-0002-0000-0000-000008000000}">
      <formula1>$W$19:$W$21</formula1>
    </dataValidation>
    <dataValidation type="list" allowBlank="1" showInputMessage="1" showErrorMessage="1" sqref="I37:I38" xr:uid="{00000000-0002-0000-0000-000009000000}">
      <formula1>$V$41:$V$51</formula1>
    </dataValidation>
    <dataValidation type="list" allowBlank="1" showInputMessage="1" showErrorMessage="1" sqref="I21" xr:uid="{00000000-0002-0000-0000-00000A000000}">
      <formula1>$V$37:$V$52</formula1>
    </dataValidation>
    <dataValidation type="list" allowBlank="1" showInputMessage="1" showErrorMessage="1" sqref="I28" xr:uid="{00000000-0002-0000-0000-00000B000000}">
      <formula1>$V$40:$V$50</formula1>
    </dataValidation>
  </dataValidation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4">
        <x14:dataValidation type="list" allowBlank="1" showInputMessage="1" showErrorMessage="1" xr:uid="{00000000-0002-0000-0000-00000C000000}">
          <x14:formula1>
            <xm:f>'BH1-2 Progressionen'!$L:$L</xm:f>
          </x14:formula1>
          <xm:sqref>N11</xm:sqref>
        </x14:dataValidation>
        <x14:dataValidation type="list" allowBlank="1" showInputMessage="1" showErrorMessage="1" xr:uid="{00000000-0002-0000-0000-00000D000000}">
          <x14:formula1>
            <xm:f>'BH1-2 Progressionen'!$B:$B</xm:f>
          </x14:formula1>
          <xm:sqref>B9:B10</xm:sqref>
        </x14:dataValidation>
        <x14:dataValidation type="list" allowBlank="1" showInputMessage="1" showErrorMessage="1" xr:uid="{00000000-0002-0000-0000-00000E000000}">
          <x14:formula1>
            <xm:f>'BH1-2 Progressionen'!$C:$C</xm:f>
          </x14:formula1>
          <xm:sqref>E9:E10</xm:sqref>
        </x14:dataValidation>
        <x14:dataValidation type="list" allowBlank="1" showInputMessage="1" showErrorMessage="1" xr:uid="{00000000-0002-0000-0000-00000F000000}">
          <x14:formula1>
            <xm:f>'BH1-2 Progressionen'!$D:$D</xm:f>
          </x14:formula1>
          <xm:sqref>G9:G10</xm:sqref>
        </x14:dataValidation>
        <x14:dataValidation type="list" allowBlank="1" showInputMessage="1" showErrorMessage="1" xr:uid="{00000000-0002-0000-0000-000010000000}">
          <x14:formula1>
            <xm:f>'BH1-2 Progressionen'!$E:$E</xm:f>
          </x14:formula1>
          <xm:sqref>J9:J10</xm:sqref>
        </x14:dataValidation>
        <x14:dataValidation type="list" allowBlank="1" showInputMessage="1" showErrorMessage="1" xr:uid="{00000000-0002-0000-0000-000011000000}">
          <x14:formula1>
            <xm:f>'BH1-2 Progressionen'!$F:$F</xm:f>
          </x14:formula1>
          <xm:sqref>N9:N10</xm:sqref>
        </x14:dataValidation>
        <x14:dataValidation type="list" allowBlank="1" showInputMessage="1" showErrorMessage="1" xr:uid="{00000000-0002-0000-0000-000012000000}">
          <x14:formula1>
            <xm:f>'BH1-2 Progressionen'!$G:$G</xm:f>
          </x14:formula1>
          <xm:sqref>R9:R10</xm:sqref>
        </x14:dataValidation>
        <x14:dataValidation type="list" allowBlank="1" showInputMessage="1" showErrorMessage="1" xr:uid="{00000000-0002-0000-0000-000013000000}">
          <x14:formula1>
            <xm:f>'BH1-2 Progressionen'!$H:$H</xm:f>
          </x14:formula1>
          <xm:sqref>B11</xm:sqref>
        </x14:dataValidation>
        <x14:dataValidation type="list" allowBlank="1" showInputMessage="1" showErrorMessage="1" xr:uid="{00000000-0002-0000-0000-000014000000}">
          <x14:formula1>
            <xm:f>'BH1-2 Progressionen'!$I:$I</xm:f>
          </x14:formula1>
          <xm:sqref>E11</xm:sqref>
        </x14:dataValidation>
        <x14:dataValidation type="list" allowBlank="1" showInputMessage="1" showErrorMessage="1" xr:uid="{00000000-0002-0000-0000-000015000000}">
          <x14:formula1>
            <xm:f>'BH1-2 Progressionen'!$J:$J</xm:f>
          </x14:formula1>
          <xm:sqref>G11</xm:sqref>
        </x14:dataValidation>
        <x14:dataValidation type="list" allowBlank="1" showInputMessage="1" showErrorMessage="1" xr:uid="{00000000-0002-0000-0000-000016000000}">
          <x14:formula1>
            <xm:f>'BH1-2 Progressionen'!$K:$K</xm:f>
          </x14:formula1>
          <xm:sqref>J11</xm:sqref>
        </x14:dataValidation>
        <x14:dataValidation type="list" allowBlank="1" showInputMessage="1" showErrorMessage="1" xr:uid="{00000000-0002-0000-0000-000017000000}">
          <x14:formula1>
            <xm:f>'BH1-2 Progressionen'!$M:$M</xm:f>
          </x14:formula1>
          <xm:sqref>R11</xm:sqref>
        </x14:dataValidation>
        <x14:dataValidation type="list" allowBlank="1" showInputMessage="1" showErrorMessage="1" xr:uid="{00000000-0002-0000-0000-000018000000}">
          <x14:formula1>
            <xm:f>' Unterkörper Progressionen '!$C:$C</xm:f>
          </x14:formula1>
          <xm:sqref>C16:E16</xm:sqref>
        </x14:dataValidation>
        <x14:dataValidation type="list" allowBlank="1" showInputMessage="1" showErrorMessage="1" xr:uid="{00000000-0002-0000-0000-000019000000}">
          <x14:formula1>
            <xm:f>' Unterkörper Progressionen '!$B:$B</xm:f>
          </x14:formula1>
          <xm:sqref>C15:E15</xm:sqref>
        </x14:dataValidation>
        <x14:dataValidation type="list" allowBlank="1" showInputMessage="1" showErrorMessage="1" xr:uid="{00000000-0002-0000-0000-00001A000000}">
          <x14:formula1>
            <xm:f>' Unterkörper Progressionen '!$G:$G</xm:f>
          </x14:formula1>
          <xm:sqref>C22:E22</xm:sqref>
        </x14:dataValidation>
        <x14:dataValidation type="list" allowBlank="1" showInputMessage="1" showErrorMessage="1" xr:uid="{00000000-0002-0000-0000-00001B000000}">
          <x14:formula1>
            <xm:f>' Unterkörper Progressionen '!$M:$M</xm:f>
          </x14:formula1>
          <xm:sqref>C28:E28</xm:sqref>
        </x14:dataValidation>
        <x14:dataValidation type="list" allowBlank="1" showInputMessage="1" showErrorMessage="1" xr:uid="{00000000-0002-0000-0000-00001C000000}">
          <x14:formula1>
            <xm:f>' Unterkörper Progressionen '!$N:$N</xm:f>
          </x14:formula1>
          <xm:sqref>C29:E29</xm:sqref>
        </x14:dataValidation>
        <x14:dataValidation type="list" allowBlank="1" showInputMessage="1" showErrorMessage="1" xr:uid="{00000000-0002-0000-0000-00001D000000}">
          <x14:formula1>
            <xm:f>' Unterkörper Progressionen '!$R:$R</xm:f>
          </x14:formula1>
          <xm:sqref>C33:E33</xm:sqref>
        </x14:dataValidation>
        <x14:dataValidation type="list" allowBlank="1" showInputMessage="1" showErrorMessage="1" xr:uid="{00000000-0002-0000-0000-00001E000000}">
          <x14:formula1>
            <xm:f>' Unterkörper Progressionen '!$S:$S</xm:f>
          </x14:formula1>
          <xm:sqref>C34:E34</xm:sqref>
        </x14:dataValidation>
        <x14:dataValidation type="list" allowBlank="1" showInputMessage="1" showErrorMessage="1" xr:uid="{00000000-0002-0000-0000-00001F000000}">
          <x14:formula1>
            <xm:f>' Unterkörper Progressionen '!$E:$E</xm:f>
          </x14:formula1>
          <xm:sqref>C20:E20</xm:sqref>
        </x14:dataValidation>
        <x14:dataValidation type="list" allowBlank="1" showInputMessage="1" showErrorMessage="1" xr:uid="{00000000-0002-0000-0000-000020000000}">
          <x14:formula1>
            <xm:f>' Unterkörper Progressionen '!$D:$D</xm:f>
          </x14:formula1>
          <xm:sqref>C17:E17</xm:sqref>
        </x14:dataValidation>
        <x14:dataValidation type="list" allowBlank="1" showInputMessage="1" showErrorMessage="1" xr:uid="{00000000-0002-0000-0000-000021000000}">
          <x14:formula1>
            <xm:f>' Unterkörper Progressionen '!$U:$U</xm:f>
          </x14:formula1>
          <xm:sqref>C37:E37</xm:sqref>
        </x14:dataValidation>
        <x14:dataValidation type="list" allowBlank="1" showInputMessage="1" showErrorMessage="1" xr:uid="{00000000-0002-0000-0000-000022000000}">
          <x14:formula1>
            <xm:f>' Unterkörper Progressionen '!$T:$T</xm:f>
          </x14:formula1>
          <xm:sqref>C35:E35</xm:sqref>
        </x14:dataValidation>
        <x14:dataValidation type="list" allowBlank="1" showInputMessage="1" showErrorMessage="1" xr:uid="{00000000-0002-0000-0000-000023000000}">
          <x14:formula1>
            <xm:f>' Unterkörper Progressionen '!$W:$W</xm:f>
          </x14:formula1>
          <xm:sqref>C38:E38</xm:sqref>
        </x14:dataValidation>
        <x14:dataValidation type="list" allowBlank="1" showInputMessage="1" showErrorMessage="1" xr:uid="{00000000-0002-0000-0000-000024000000}">
          <x14:formula1>
            <xm:f>' Unterkörper Progressionen '!$V:$V</xm:f>
          </x14:formula1>
          <xm:sqref>C39:E39</xm:sqref>
        </x14:dataValidation>
        <x14:dataValidation type="list" allowBlank="1" showInputMessage="1" showErrorMessage="1" xr:uid="{00000000-0002-0000-0000-000025000000}">
          <x14:formula1>
            <xm:f>' Unterkörper Progressionen '!$I:$I</xm:f>
          </x14:formula1>
          <xm:sqref>C24:E24</xm:sqref>
        </x14:dataValidation>
        <x14:dataValidation type="list" allowBlank="1" showInputMessage="1" showErrorMessage="1" xr:uid="{00000000-0002-0000-0000-000026000000}">
          <x14:formula1>
            <xm:f>' Unterkörper Progressionen '!$H:$H</xm:f>
          </x14:formula1>
          <xm:sqref>C23:E23</xm:sqref>
        </x14:dataValidation>
        <x14:dataValidation type="list" allowBlank="1" showInputMessage="1" showErrorMessage="1" xr:uid="{00000000-0002-0000-0000-000027000000}">
          <x14:formula1>
            <xm:f>' Unterkörper Progressionen '!$J:$J</xm:f>
          </x14:formula1>
          <xm:sqref>C25:E25</xm:sqref>
        </x14:dataValidation>
        <x14:dataValidation type="list" allowBlank="1" showInputMessage="1" showErrorMessage="1" xr:uid="{00000000-0002-0000-0000-000028000000}">
          <x14:formula1>
            <xm:f>' Unterkörper Progressionen '!$L:$L</xm:f>
          </x14:formula1>
          <xm:sqref>C27:E27</xm:sqref>
        </x14:dataValidation>
        <x14:dataValidation type="list" allowBlank="1" showInputMessage="1" showErrorMessage="1" xr:uid="{00000000-0002-0000-0000-000029000000}">
          <x14:formula1>
            <xm:f>' Unterkörper Progressionen '!$K:$K</xm:f>
          </x14:formula1>
          <xm:sqref>C26:E26</xm:sqref>
        </x14:dataValidation>
        <x14:dataValidation type="list" allowBlank="1" showInputMessage="1" showErrorMessage="1" xr:uid="{00000000-0002-0000-0000-00002A000000}">
          <x14:formula1>
            <xm:f>' Unterkörper Progressionen '!$O:$O</xm:f>
          </x14:formula1>
          <xm:sqref>C30:E30</xm:sqref>
        </x14:dataValidation>
        <x14:dataValidation type="list" allowBlank="1" showInputMessage="1" showErrorMessage="1" xr:uid="{00000000-0002-0000-0000-00002B000000}">
          <x14:formula1>
            <xm:f>' Unterkörper Progressionen '!$P:$P</xm:f>
          </x14:formula1>
          <xm:sqref>C31:E31</xm:sqref>
        </x14:dataValidation>
        <x14:dataValidation type="list" allowBlank="1" showInputMessage="1" showErrorMessage="1" xr:uid="{00000000-0002-0000-0000-00002C000000}">
          <x14:formula1>
            <xm:f>' Unterkörper Progressionen '!$Q:$Q</xm:f>
          </x14:formula1>
          <xm:sqref>C32:E32</xm:sqref>
        </x14:dataValidation>
        <x14:dataValidation type="list" allowBlank="1" showInputMessage="1" showErrorMessage="1" xr:uid="{00000000-0002-0000-0000-00002D000000}">
          <x14:formula1>
            <xm:f>' Unterkörper Progressionen '!$F:$F</xm:f>
          </x14:formula1>
          <xm:sqref>C21:E21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W47"/>
  <sheetViews>
    <sheetView zoomScale="77" zoomScaleNormal="70" workbookViewId="0">
      <selection activeCell="A11" sqref="A11:XFD11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67"/>
      <c r="P8" s="567"/>
      <c r="Q8" s="567"/>
      <c r="R8" s="567"/>
      <c r="S8" s="567"/>
      <c r="T8" s="568"/>
      <c r="U8" s="2"/>
      <c r="V8" s="2"/>
      <c r="W8" s="2"/>
    </row>
    <row r="9" spans="2:23" ht="16.5" thickBot="1" x14ac:dyDescent="0.3">
      <c r="B9" s="586" t="s">
        <v>714</v>
      </c>
      <c r="C9" s="587"/>
      <c r="D9" s="587"/>
      <c r="E9" s="587"/>
      <c r="F9" s="587"/>
      <c r="G9" s="587"/>
      <c r="H9" s="587"/>
      <c r="I9" s="587"/>
      <c r="J9" s="587"/>
      <c r="K9" s="587"/>
      <c r="L9" s="587"/>
      <c r="M9" s="587"/>
      <c r="N9" s="587"/>
      <c r="O9" s="587"/>
      <c r="P9" s="587"/>
      <c r="Q9" s="587"/>
      <c r="R9" s="587"/>
      <c r="S9" s="587"/>
      <c r="T9" s="588"/>
      <c r="U9" s="2"/>
      <c r="V9" s="2"/>
      <c r="W9" s="2"/>
    </row>
    <row r="10" spans="2:23" s="34" customFormat="1" ht="20.100000000000001" customHeight="1" x14ac:dyDescent="0.25">
      <c r="B10" s="584" t="str">
        <f>UnterkörperA!B9</f>
        <v>TGU ROLL TO 1-ARM PRESS</v>
      </c>
      <c r="C10" s="554"/>
      <c r="D10" s="554"/>
      <c r="E10" s="554" t="str">
        <f>UnterkörperA!E9</f>
        <v>FOOT HAND CRAWL</v>
      </c>
      <c r="F10" s="554"/>
      <c r="G10" s="554" t="str">
        <f>UnterkörperA!G9</f>
        <v>1KB SUITCASE CARRY</v>
      </c>
      <c r="H10" s="554"/>
      <c r="I10" s="554"/>
      <c r="J10" s="554" t="str">
        <f>UnterkörperA!J9</f>
        <v>PEZZIBALL SUPPORTED SQUAT - WALL</v>
      </c>
      <c r="K10" s="554"/>
      <c r="L10" s="554"/>
      <c r="M10" s="554"/>
      <c r="N10" s="554" t="str">
        <f>UnterkörperA!N9</f>
        <v>HIP HINGE WITH STICK</v>
      </c>
      <c r="O10" s="554"/>
      <c r="P10" s="554"/>
      <c r="Q10" s="554"/>
      <c r="R10" s="554" t="str">
        <f>UnterkörperA!R9</f>
        <v>SUPPORTED 1-LEG ISO HINGE</v>
      </c>
      <c r="S10" s="554"/>
      <c r="T10" s="555"/>
    </row>
    <row r="11" spans="2:23" s="34" customFormat="1" ht="20.100000000000001" customHeight="1" x14ac:dyDescent="0.25">
      <c r="B11" s="508"/>
      <c r="C11" s="509"/>
      <c r="D11" s="509"/>
      <c r="E11" s="509"/>
      <c r="F11" s="509"/>
      <c r="G11" s="509"/>
      <c r="H11" s="509"/>
      <c r="I11" s="509"/>
      <c r="J11" s="509"/>
      <c r="K11" s="509"/>
      <c r="L11" s="509"/>
      <c r="M11" s="509"/>
      <c r="N11" s="509"/>
      <c r="O11" s="509"/>
      <c r="P11" s="509"/>
      <c r="Q11" s="509"/>
      <c r="R11" s="509"/>
      <c r="S11" s="509"/>
      <c r="T11" s="510"/>
    </row>
    <row r="12" spans="2:23" s="34" customFormat="1" ht="20.100000000000001" customHeight="1" thickBot="1" x14ac:dyDescent="0.3">
      <c r="B12" s="585" t="str">
        <f>UnterkörperA!B11</f>
        <v>ANKLE ROCKERS WIPERS</v>
      </c>
      <c r="C12" s="553"/>
      <c r="D12" s="553"/>
      <c r="E12" s="553" t="str">
        <f>UnterkörperA!E11</f>
        <v>2-LEG TOE STANCE WIDE STAND</v>
      </c>
      <c r="F12" s="553"/>
      <c r="G12" s="553" t="str">
        <f>UnterkörperA!G11</f>
        <v>ANKLE MARCH</v>
      </c>
      <c r="H12" s="553"/>
      <c r="I12" s="553"/>
      <c r="J12" s="553" t="str">
        <f>UnterkörperA!J11</f>
        <v>1-LEG A-SKIP</v>
      </c>
      <c r="K12" s="553"/>
      <c r="L12" s="553"/>
      <c r="M12" s="553"/>
      <c r="N12" s="553" t="str">
        <f>UnterkörperA!N11</f>
        <v xml:space="preserve">2-LEG DROP &amp; CATCH </v>
      </c>
      <c r="O12" s="553"/>
      <c r="P12" s="553"/>
      <c r="Q12" s="553"/>
      <c r="R12" s="553" t="str">
        <f>UnterkörperA!R11</f>
        <v>SQUAT JUMP W/PASSIVE ELASTIC</v>
      </c>
      <c r="S12" s="553"/>
      <c r="T12" s="556"/>
    </row>
    <row r="13" spans="2:23" ht="16.5" thickBot="1" x14ac:dyDescent="0.3">
      <c r="B13" s="576" t="str">
        <f>UnterkörperA!B12</f>
        <v>Level A</v>
      </c>
      <c r="C13" s="577"/>
      <c r="D13" s="577"/>
      <c r="E13" s="578"/>
      <c r="F13" s="1"/>
      <c r="G13" s="592" t="s">
        <v>352</v>
      </c>
      <c r="H13" s="593"/>
      <c r="I13" s="593"/>
      <c r="J13" s="593"/>
      <c r="K13" s="593"/>
      <c r="L13" s="593"/>
      <c r="M13" s="593"/>
      <c r="N13" s="593"/>
      <c r="O13" s="593"/>
      <c r="P13" s="593"/>
      <c r="Q13" s="593"/>
      <c r="R13" s="593"/>
      <c r="S13" s="593"/>
      <c r="T13" s="594"/>
    </row>
    <row r="14" spans="2:23" ht="21.6" customHeight="1" thickBot="1" x14ac:dyDescent="0.3">
      <c r="B14" s="579"/>
      <c r="C14" s="580"/>
      <c r="D14" s="580"/>
      <c r="E14" s="581"/>
      <c r="F14" s="1"/>
      <c r="G14" s="70" t="s">
        <v>865</v>
      </c>
      <c r="H14" s="582" t="s">
        <v>877</v>
      </c>
      <c r="I14" s="583"/>
      <c r="J14" s="71" t="s">
        <v>866</v>
      </c>
      <c r="K14" s="64"/>
      <c r="L14" s="70" t="s">
        <v>867</v>
      </c>
      <c r="M14" s="582" t="s">
        <v>878</v>
      </c>
      <c r="N14" s="583"/>
      <c r="O14" s="71" t="s">
        <v>868</v>
      </c>
      <c r="P14" s="64"/>
      <c r="Q14" s="70" t="s">
        <v>869</v>
      </c>
      <c r="R14" s="595" t="s">
        <v>879</v>
      </c>
      <c r="S14" s="596"/>
      <c r="T14" s="71" t="s">
        <v>870</v>
      </c>
    </row>
    <row r="15" spans="2:23" ht="16.5" thickBot="1" x14ac:dyDescent="0.3">
      <c r="B15" s="589" t="s">
        <v>8</v>
      </c>
      <c r="C15" s="590"/>
      <c r="D15" s="590"/>
      <c r="E15" s="591"/>
      <c r="F15" s="72"/>
      <c r="G15" s="15" t="s">
        <v>9</v>
      </c>
      <c r="H15" s="16" t="s">
        <v>10</v>
      </c>
      <c r="I15" s="16" t="s">
        <v>11</v>
      </c>
      <c r="J15" s="17" t="s">
        <v>880</v>
      </c>
      <c r="K15" s="1"/>
      <c r="L15" s="15" t="s">
        <v>9</v>
      </c>
      <c r="M15" s="16" t="s">
        <v>10</v>
      </c>
      <c r="N15" s="16" t="s">
        <v>11</v>
      </c>
      <c r="O15" s="17" t="s">
        <v>880</v>
      </c>
      <c r="P15" s="1"/>
      <c r="Q15" s="40" t="s">
        <v>9</v>
      </c>
      <c r="R15" s="41" t="s">
        <v>10</v>
      </c>
      <c r="S15" s="41" t="s">
        <v>11</v>
      </c>
      <c r="T15" s="42" t="s">
        <v>880</v>
      </c>
    </row>
    <row r="16" spans="2:23" s="1" customFormat="1" ht="19.899999999999999" customHeight="1" x14ac:dyDescent="0.25">
      <c r="B16" s="9">
        <v>1</v>
      </c>
      <c r="C16" s="560" t="s">
        <v>211</v>
      </c>
      <c r="D16" s="560"/>
      <c r="E16" s="561"/>
      <c r="G16" s="18" t="s">
        <v>12</v>
      </c>
      <c r="H16" s="19"/>
      <c r="I16" s="19" t="s">
        <v>14</v>
      </c>
      <c r="J16" s="20" t="s">
        <v>16</v>
      </c>
      <c r="L16" s="18" t="s">
        <v>12</v>
      </c>
      <c r="M16" s="19"/>
      <c r="N16" s="19" t="s">
        <v>14</v>
      </c>
      <c r="O16" s="20" t="s">
        <v>16</v>
      </c>
      <c r="Q16" s="43" t="s">
        <v>12</v>
      </c>
      <c r="R16" s="44"/>
      <c r="S16" s="44" t="s">
        <v>14</v>
      </c>
      <c r="T16" s="45" t="s">
        <v>16</v>
      </c>
    </row>
    <row r="17" spans="2:23" s="1" customFormat="1" ht="19.899999999999999" customHeight="1" x14ac:dyDescent="0.25">
      <c r="B17" s="3">
        <v>2</v>
      </c>
      <c r="C17" s="567" t="s">
        <v>479</v>
      </c>
      <c r="D17" s="567"/>
      <c r="E17" s="568"/>
      <c r="G17" s="67" t="s">
        <v>12</v>
      </c>
      <c r="H17" s="68"/>
      <c r="I17" s="68" t="s">
        <v>14</v>
      </c>
      <c r="J17" s="69" t="s">
        <v>560</v>
      </c>
      <c r="L17" s="67" t="s">
        <v>12</v>
      </c>
      <c r="M17" s="68"/>
      <c r="N17" s="68" t="s">
        <v>14</v>
      </c>
      <c r="O17" s="69" t="s">
        <v>560</v>
      </c>
      <c r="Q17" s="75" t="s">
        <v>12</v>
      </c>
      <c r="R17" s="76"/>
      <c r="S17" s="76" t="s">
        <v>14</v>
      </c>
      <c r="T17" s="77" t="s">
        <v>560</v>
      </c>
    </row>
    <row r="18" spans="2:23" s="1" customFormat="1" ht="19.899999999999999" customHeight="1" thickBot="1" x14ac:dyDescent="0.3">
      <c r="B18" s="4">
        <v>3</v>
      </c>
      <c r="C18" s="565" t="s">
        <v>480</v>
      </c>
      <c r="D18" s="565"/>
      <c r="E18" s="566"/>
      <c r="G18" s="24" t="s">
        <v>12</v>
      </c>
      <c r="H18" s="25"/>
      <c r="I18" s="25" t="s">
        <v>14</v>
      </c>
      <c r="J18" s="26" t="s">
        <v>560</v>
      </c>
      <c r="L18" s="24" t="s">
        <v>12</v>
      </c>
      <c r="M18" s="25"/>
      <c r="N18" s="25" t="s">
        <v>14</v>
      </c>
      <c r="O18" s="26" t="s">
        <v>560</v>
      </c>
      <c r="Q18" s="46" t="s">
        <v>12</v>
      </c>
      <c r="R18" s="47"/>
      <c r="S18" s="47" t="s">
        <v>14</v>
      </c>
      <c r="T18" s="48" t="s">
        <v>560</v>
      </c>
    </row>
    <row r="19" spans="2:23" s="2" customFormat="1" ht="4.9000000000000004" customHeight="1" thickBot="1" x14ac:dyDescent="0.3">
      <c r="B19" s="73"/>
      <c r="Q19" s="49"/>
      <c r="R19" s="49"/>
      <c r="S19" s="49"/>
      <c r="T19" s="74"/>
    </row>
    <row r="20" spans="2:23" s="1" customFormat="1" ht="16.5" thickBot="1" x14ac:dyDescent="0.3">
      <c r="B20" s="793" t="s">
        <v>871</v>
      </c>
      <c r="C20" s="563"/>
      <c r="D20" s="563"/>
      <c r="E20" s="564"/>
      <c r="G20" s="80" t="s">
        <v>880</v>
      </c>
      <c r="H20" s="81" t="s">
        <v>10</v>
      </c>
      <c r="I20" s="81" t="s">
        <v>11</v>
      </c>
      <c r="J20" s="82" t="s">
        <v>880</v>
      </c>
      <c r="K20" s="72"/>
      <c r="L20" s="80" t="str">
        <f>G20</f>
        <v>GEWICHT</v>
      </c>
      <c r="M20" s="81" t="s">
        <v>10</v>
      </c>
      <c r="N20" s="81" t="s">
        <v>11</v>
      </c>
      <c r="O20" s="82" t="s">
        <v>880</v>
      </c>
      <c r="P20" s="72"/>
      <c r="Q20" s="83" t="str">
        <f>L20</f>
        <v>GEWICHT</v>
      </c>
      <c r="R20" s="84" t="s">
        <v>10</v>
      </c>
      <c r="S20" s="84" t="s">
        <v>11</v>
      </c>
      <c r="T20" s="85" t="s">
        <v>880</v>
      </c>
      <c r="W20" s="36"/>
    </row>
    <row r="21" spans="2:23" s="1" customFormat="1" ht="19.899999999999999" customHeight="1" x14ac:dyDescent="0.25">
      <c r="B21" s="9">
        <v>1</v>
      </c>
      <c r="C21" s="560" t="s">
        <v>196</v>
      </c>
      <c r="D21" s="560"/>
      <c r="E21" s="561"/>
      <c r="G21" s="21"/>
      <c r="H21" s="22" t="s">
        <v>13</v>
      </c>
      <c r="I21" s="22" t="s">
        <v>592</v>
      </c>
      <c r="J21" s="23"/>
      <c r="L21" s="21"/>
      <c r="M21" s="22" t="s">
        <v>13</v>
      </c>
      <c r="N21" s="22" t="str">
        <f t="shared" ref="N21:N29" si="0">I21</f>
        <v>1x20/ea</v>
      </c>
      <c r="O21" s="23"/>
      <c r="Q21" s="50"/>
      <c r="R21" s="52" t="s">
        <v>13</v>
      </c>
      <c r="S21" s="52" t="str">
        <f>N21</f>
        <v>1x20/ea</v>
      </c>
      <c r="T21" s="53"/>
      <c r="W21" s="36"/>
    </row>
    <row r="22" spans="2:23" s="1" customFormat="1" ht="19.899999999999999" customHeight="1" x14ac:dyDescent="0.25">
      <c r="B22" s="3">
        <v>2</v>
      </c>
      <c r="C22" s="567" t="s">
        <v>487</v>
      </c>
      <c r="D22" s="567"/>
      <c r="E22" s="568"/>
      <c r="G22" s="27"/>
      <c r="H22" s="28" t="s">
        <v>13</v>
      </c>
      <c r="I22" s="28" t="s">
        <v>592</v>
      </c>
      <c r="J22" s="29"/>
      <c r="L22" s="27"/>
      <c r="M22" s="28" t="s">
        <v>13</v>
      </c>
      <c r="N22" s="28" t="str">
        <f t="shared" si="0"/>
        <v>1x20/ea</v>
      </c>
      <c r="O22" s="29"/>
      <c r="Q22" s="54"/>
      <c r="R22" s="56" t="s">
        <v>13</v>
      </c>
      <c r="S22" s="56" t="str">
        <f>N22</f>
        <v>1x20/ea</v>
      </c>
      <c r="T22" s="57"/>
      <c r="W22" s="36"/>
    </row>
    <row r="23" spans="2:23" s="1" customFormat="1" ht="19.899999999999999" customHeight="1" thickBot="1" x14ac:dyDescent="0.3">
      <c r="B23" s="4">
        <v>3</v>
      </c>
      <c r="C23" s="565" t="s">
        <v>390</v>
      </c>
      <c r="D23" s="565"/>
      <c r="E23" s="566"/>
      <c r="G23" s="24"/>
      <c r="H23" s="25" t="s">
        <v>13</v>
      </c>
      <c r="I23" s="25" t="s">
        <v>625</v>
      </c>
      <c r="J23" s="26"/>
      <c r="L23" s="24"/>
      <c r="M23" s="25" t="s">
        <v>13</v>
      </c>
      <c r="N23" s="25" t="str">
        <f t="shared" si="0"/>
        <v>1x10/ea</v>
      </c>
      <c r="O23" s="26"/>
      <c r="Q23" s="46"/>
      <c r="R23" s="47" t="s">
        <v>13</v>
      </c>
      <c r="S23" s="47" t="str">
        <f>N23</f>
        <v>1x10/ea</v>
      </c>
      <c r="T23" s="48"/>
    </row>
    <row r="24" spans="2:23" s="1" customFormat="1" ht="19.899999999999999" customHeight="1" x14ac:dyDescent="0.25">
      <c r="B24" s="9">
        <v>4</v>
      </c>
      <c r="C24" s="560" t="s">
        <v>493</v>
      </c>
      <c r="D24" s="560"/>
      <c r="E24" s="561"/>
      <c r="G24" s="21"/>
      <c r="H24" s="22" t="s">
        <v>13</v>
      </c>
      <c r="I24" s="22" t="s">
        <v>592</v>
      </c>
      <c r="J24" s="23"/>
      <c r="L24" s="21"/>
      <c r="M24" s="22" t="s">
        <v>13</v>
      </c>
      <c r="N24" s="22" t="str">
        <f t="shared" si="0"/>
        <v>1x20/ea</v>
      </c>
      <c r="O24" s="23"/>
      <c r="Q24" s="50"/>
      <c r="R24" s="52" t="s">
        <v>13</v>
      </c>
      <c r="S24" s="52" t="s">
        <v>7</v>
      </c>
      <c r="T24" s="53"/>
    </row>
    <row r="25" spans="2:23" s="1" customFormat="1" ht="19.899999999999999" customHeight="1" x14ac:dyDescent="0.25">
      <c r="B25" s="3">
        <v>5</v>
      </c>
      <c r="C25" s="567" t="s">
        <v>497</v>
      </c>
      <c r="D25" s="567"/>
      <c r="E25" s="568"/>
      <c r="G25" s="27"/>
      <c r="H25" s="28" t="s">
        <v>13</v>
      </c>
      <c r="I25" s="28" t="s">
        <v>592</v>
      </c>
      <c r="J25" s="29"/>
      <c r="L25" s="27"/>
      <c r="M25" s="28" t="s">
        <v>13</v>
      </c>
      <c r="N25" s="28" t="str">
        <f t="shared" si="0"/>
        <v>1x20/ea</v>
      </c>
      <c r="O25" s="29"/>
      <c r="Q25" s="54"/>
      <c r="R25" s="56" t="s">
        <v>13</v>
      </c>
      <c r="S25" s="28" t="s">
        <v>7</v>
      </c>
      <c r="T25" s="57"/>
    </row>
    <row r="26" spans="2:23" s="1" customFormat="1" ht="19.899999999999999" customHeight="1" thickBot="1" x14ac:dyDescent="0.3">
      <c r="B26" s="4">
        <v>6</v>
      </c>
      <c r="C26" s="565" t="s">
        <v>30</v>
      </c>
      <c r="D26" s="565"/>
      <c r="E26" s="566"/>
      <c r="G26" s="24"/>
      <c r="H26" s="25" t="s">
        <v>13</v>
      </c>
      <c r="I26" s="25" t="s">
        <v>292</v>
      </c>
      <c r="J26" s="26"/>
      <c r="L26" s="24"/>
      <c r="M26" s="25" t="s">
        <v>13</v>
      </c>
      <c r="N26" s="25" t="str">
        <f t="shared" si="0"/>
        <v>3x10s/ea</v>
      </c>
      <c r="O26" s="26"/>
      <c r="Q26" s="46"/>
      <c r="R26" s="47" t="s">
        <v>13</v>
      </c>
      <c r="S26" s="47" t="str">
        <f>N26</f>
        <v>3x10s/ea</v>
      </c>
      <c r="T26" s="48"/>
    </row>
    <row r="27" spans="2:23" s="1" customFormat="1" ht="19.899999999999999" customHeight="1" x14ac:dyDescent="0.25">
      <c r="B27" s="9">
        <v>7</v>
      </c>
      <c r="C27" s="560" t="s">
        <v>201</v>
      </c>
      <c r="D27" s="560"/>
      <c r="E27" s="561"/>
      <c r="G27" s="21"/>
      <c r="H27" s="22" t="s">
        <v>13</v>
      </c>
      <c r="I27" s="22" t="s">
        <v>7</v>
      </c>
      <c r="J27" s="23"/>
      <c r="L27" s="21"/>
      <c r="M27" s="22" t="s">
        <v>13</v>
      </c>
      <c r="N27" s="22" t="str">
        <f t="shared" si="0"/>
        <v>1x20</v>
      </c>
      <c r="O27" s="23"/>
      <c r="Q27" s="50"/>
      <c r="R27" s="52" t="s">
        <v>13</v>
      </c>
      <c r="S27" s="52" t="str">
        <f>N27</f>
        <v>1x20</v>
      </c>
      <c r="T27" s="53"/>
    </row>
    <row r="28" spans="2:23" s="1" customFormat="1" ht="19.899999999999999" customHeight="1" x14ac:dyDescent="0.25">
      <c r="B28" s="3">
        <v>8</v>
      </c>
      <c r="C28" s="567" t="s">
        <v>202</v>
      </c>
      <c r="D28" s="567"/>
      <c r="E28" s="568"/>
      <c r="G28" s="27"/>
      <c r="H28" s="28" t="s">
        <v>13</v>
      </c>
      <c r="I28" s="28" t="s">
        <v>592</v>
      </c>
      <c r="J28" s="29"/>
      <c r="L28" s="27"/>
      <c r="M28" s="28" t="s">
        <v>13</v>
      </c>
      <c r="N28" s="28" t="str">
        <f t="shared" si="0"/>
        <v>1x20/ea</v>
      </c>
      <c r="O28" s="29"/>
      <c r="Q28" s="54"/>
      <c r="R28" s="56" t="s">
        <v>13</v>
      </c>
      <c r="S28" s="56" t="str">
        <f>N28</f>
        <v>1x20/ea</v>
      </c>
      <c r="T28" s="57"/>
    </row>
    <row r="29" spans="2:23" s="1" customFormat="1" ht="19.899999999999999" customHeight="1" thickBot="1" x14ac:dyDescent="0.3">
      <c r="B29" s="4">
        <v>9</v>
      </c>
      <c r="C29" s="565" t="s">
        <v>203</v>
      </c>
      <c r="D29" s="565"/>
      <c r="E29" s="566"/>
      <c r="G29" s="24"/>
      <c r="H29" s="25" t="s">
        <v>13</v>
      </c>
      <c r="I29" s="25" t="s">
        <v>592</v>
      </c>
      <c r="J29" s="26"/>
      <c r="L29" s="24"/>
      <c r="M29" s="25" t="s">
        <v>13</v>
      </c>
      <c r="N29" s="25" t="str">
        <f t="shared" si="0"/>
        <v>1x20/ea</v>
      </c>
      <c r="O29" s="26"/>
      <c r="Q29" s="46"/>
      <c r="R29" s="47" t="s">
        <v>13</v>
      </c>
      <c r="S29" s="25" t="str">
        <f>N29</f>
        <v>1x20/ea</v>
      </c>
      <c r="T29" s="48"/>
    </row>
    <row r="30" spans="2:23" s="1" customFormat="1" ht="19.899999999999999" customHeight="1" x14ac:dyDescent="0.25">
      <c r="B30" s="9">
        <v>10</v>
      </c>
      <c r="C30" s="560" t="s">
        <v>198</v>
      </c>
      <c r="D30" s="560"/>
      <c r="E30" s="561"/>
      <c r="G30" s="21"/>
      <c r="H30" s="22" t="s">
        <v>13</v>
      </c>
      <c r="I30" s="22" t="s">
        <v>562</v>
      </c>
      <c r="J30" s="23"/>
      <c r="L30" s="21"/>
      <c r="M30" s="22" t="s">
        <v>13</v>
      </c>
      <c r="N30" s="22" t="s">
        <v>563</v>
      </c>
      <c r="O30" s="23"/>
      <c r="Q30" s="21"/>
      <c r="R30" s="22" t="s">
        <v>13</v>
      </c>
      <c r="S30" s="22" t="s">
        <v>564</v>
      </c>
      <c r="T30" s="23"/>
    </row>
    <row r="31" spans="2:23" s="1" customFormat="1" ht="19.899999999999999" customHeight="1" x14ac:dyDescent="0.25">
      <c r="B31" s="3">
        <v>11</v>
      </c>
      <c r="C31" s="567" t="s">
        <v>508</v>
      </c>
      <c r="D31" s="567"/>
      <c r="E31" s="568"/>
      <c r="G31" s="27"/>
      <c r="H31" s="28" t="s">
        <v>13</v>
      </c>
      <c r="I31" s="28" t="s">
        <v>592</v>
      </c>
      <c r="J31" s="29"/>
      <c r="L31" s="27"/>
      <c r="M31" s="28" t="s">
        <v>13</v>
      </c>
      <c r="N31" s="28" t="str">
        <f>I31</f>
        <v>1x20/ea</v>
      </c>
      <c r="O31" s="29"/>
      <c r="Q31" s="27"/>
      <c r="R31" s="28" t="s">
        <v>13</v>
      </c>
      <c r="S31" s="28" t="str">
        <f>N31</f>
        <v>1x20/ea</v>
      </c>
      <c r="T31" s="29"/>
    </row>
    <row r="32" spans="2:23" s="1" customFormat="1" ht="19.899999999999999" customHeight="1" thickBot="1" x14ac:dyDescent="0.3">
      <c r="B32" s="4">
        <v>12</v>
      </c>
      <c r="C32" s="565" t="s">
        <v>511</v>
      </c>
      <c r="D32" s="565"/>
      <c r="E32" s="566"/>
      <c r="G32" s="24"/>
      <c r="H32" s="25" t="s">
        <v>13</v>
      </c>
      <c r="I32" s="25" t="s">
        <v>592</v>
      </c>
      <c r="J32" s="26"/>
      <c r="L32" s="24"/>
      <c r="M32" s="25" t="s">
        <v>13</v>
      </c>
      <c r="N32" s="25" t="str">
        <f>I32</f>
        <v>1x20/ea</v>
      </c>
      <c r="O32" s="26"/>
      <c r="Q32" s="46"/>
      <c r="R32" s="47" t="s">
        <v>13</v>
      </c>
      <c r="S32" s="47" t="str">
        <f>N32</f>
        <v>1x20/ea</v>
      </c>
      <c r="T32" s="48"/>
    </row>
    <row r="33" spans="2:22" s="2" customFormat="1" ht="16.149999999999999" customHeight="1" thickBot="1" x14ac:dyDescent="0.3">
      <c r="B33" s="562" t="s">
        <v>874</v>
      </c>
      <c r="C33" s="563"/>
      <c r="D33" s="563"/>
      <c r="E33" s="564"/>
      <c r="F33" s="79"/>
      <c r="G33" s="557"/>
      <c r="H33" s="558"/>
      <c r="I33" s="558"/>
      <c r="J33" s="558"/>
      <c r="K33" s="558"/>
      <c r="L33" s="558"/>
      <c r="M33" s="558"/>
      <c r="N33" s="558"/>
      <c r="O33" s="558"/>
      <c r="P33" s="558"/>
      <c r="Q33" s="558"/>
      <c r="R33" s="558"/>
      <c r="S33" s="558"/>
      <c r="T33" s="559"/>
    </row>
    <row r="34" spans="2:22" s="1" customFormat="1" ht="19.899999999999999" customHeight="1" x14ac:dyDescent="0.25">
      <c r="B34" s="9">
        <v>13</v>
      </c>
      <c r="C34" s="560" t="s">
        <v>522</v>
      </c>
      <c r="D34" s="560"/>
      <c r="E34" s="561"/>
      <c r="G34" s="21"/>
      <c r="H34" s="22" t="s">
        <v>13</v>
      </c>
      <c r="I34" s="22" t="s">
        <v>15</v>
      </c>
      <c r="J34" s="23"/>
      <c r="L34" s="21"/>
      <c r="M34" s="22" t="s">
        <v>13</v>
      </c>
      <c r="N34" s="22" t="s">
        <v>15</v>
      </c>
      <c r="O34" s="23"/>
      <c r="Q34" s="21"/>
      <c r="R34" s="22" t="s">
        <v>13</v>
      </c>
      <c r="S34" s="22" t="s">
        <v>15</v>
      </c>
      <c r="T34" s="23"/>
    </row>
    <row r="35" spans="2:22" s="1" customFormat="1" ht="19.899999999999999" customHeight="1" x14ac:dyDescent="0.25">
      <c r="B35" s="3">
        <v>14</v>
      </c>
      <c r="C35" s="567" t="s">
        <v>523</v>
      </c>
      <c r="D35" s="567"/>
      <c r="E35" s="568"/>
      <c r="G35" s="18"/>
      <c r="H35" s="28" t="s">
        <v>13</v>
      </c>
      <c r="I35" s="19" t="s">
        <v>15</v>
      </c>
      <c r="J35" s="20"/>
      <c r="L35" s="18"/>
      <c r="M35" s="19" t="str">
        <f>H35</f>
        <v>8-9</v>
      </c>
      <c r="N35" s="19" t="str">
        <f>N36</f>
        <v>1x30s</v>
      </c>
      <c r="O35" s="20"/>
      <c r="Q35" s="18"/>
      <c r="R35" s="19" t="str">
        <f>M35</f>
        <v>8-9</v>
      </c>
      <c r="S35" s="19" t="str">
        <f>N35</f>
        <v>1x30s</v>
      </c>
      <c r="T35" s="20"/>
    </row>
    <row r="36" spans="2:22" s="1" customFormat="1" ht="19.899999999999999" customHeight="1" x14ac:dyDescent="0.25">
      <c r="B36" s="3">
        <v>15</v>
      </c>
      <c r="C36" s="567" t="s">
        <v>515</v>
      </c>
      <c r="D36" s="567"/>
      <c r="E36" s="568"/>
      <c r="G36" s="27"/>
      <c r="H36" s="28" t="s">
        <v>13</v>
      </c>
      <c r="I36" s="28" t="s">
        <v>15</v>
      </c>
      <c r="J36" s="29"/>
      <c r="L36" s="27"/>
      <c r="M36" s="28" t="s">
        <v>13</v>
      </c>
      <c r="N36" s="28" t="s">
        <v>15</v>
      </c>
      <c r="O36" s="29"/>
      <c r="Q36" s="27"/>
      <c r="R36" s="28" t="s">
        <v>13</v>
      </c>
      <c r="S36" s="28" t="s">
        <v>15</v>
      </c>
      <c r="T36" s="29"/>
    </row>
    <row r="37" spans="2:22" s="1" customFormat="1" ht="19.899999999999999" customHeight="1" thickBot="1" x14ac:dyDescent="0.3">
      <c r="B37" s="4">
        <v>16</v>
      </c>
      <c r="C37" s="571" t="s">
        <v>609</v>
      </c>
      <c r="D37" s="571"/>
      <c r="E37" s="572"/>
      <c r="F37" s="66"/>
      <c r="G37" s="24"/>
      <c r="H37" s="25" t="s">
        <v>13</v>
      </c>
      <c r="I37" s="25" t="s">
        <v>119</v>
      </c>
      <c r="J37" s="26"/>
      <c r="K37" s="66"/>
      <c r="L37" s="24"/>
      <c r="M37" s="25" t="s">
        <v>13</v>
      </c>
      <c r="N37" s="25" t="str">
        <f>I37</f>
        <v>1x30s/ea</v>
      </c>
      <c r="O37" s="26"/>
      <c r="P37" s="66"/>
      <c r="Q37" s="24"/>
      <c r="R37" s="25" t="s">
        <v>13</v>
      </c>
      <c r="S37" s="25" t="str">
        <f>I37</f>
        <v>1x30s/ea</v>
      </c>
      <c r="T37" s="26"/>
    </row>
    <row r="38" spans="2:22" x14ac:dyDescent="0.25">
      <c r="V38" s="1" t="s">
        <v>288</v>
      </c>
    </row>
    <row r="39" spans="2:22" x14ac:dyDescent="0.25">
      <c r="V39" s="1" t="s">
        <v>17</v>
      </c>
    </row>
    <row r="40" spans="2:22" x14ac:dyDescent="0.25">
      <c r="V40" s="1" t="s">
        <v>18</v>
      </c>
    </row>
    <row r="41" spans="2:22" x14ac:dyDescent="0.25">
      <c r="V41" s="1" t="s">
        <v>15</v>
      </c>
    </row>
    <row r="42" spans="2:22" x14ac:dyDescent="0.25">
      <c r="V42" s="1" t="s">
        <v>209</v>
      </c>
    </row>
    <row r="43" spans="2:22" x14ac:dyDescent="0.25">
      <c r="V43" s="1" t="s">
        <v>210</v>
      </c>
    </row>
    <row r="44" spans="2:22" x14ac:dyDescent="0.25">
      <c r="V44" s="1" t="s">
        <v>273</v>
      </c>
    </row>
    <row r="45" spans="2:22" x14ac:dyDescent="0.25">
      <c r="V45" s="1" t="s">
        <v>7</v>
      </c>
    </row>
    <row r="46" spans="2:22" x14ac:dyDescent="0.25">
      <c r="V46" s="1" t="s">
        <v>592</v>
      </c>
    </row>
    <row r="47" spans="2:22" x14ac:dyDescent="0.25">
      <c r="V47" s="1" t="s">
        <v>119</v>
      </c>
    </row>
  </sheetData>
  <mergeCells count="42">
    <mergeCell ref="J10:M10"/>
    <mergeCell ref="C26:E26"/>
    <mergeCell ref="O2:T8"/>
    <mergeCell ref="B13:E14"/>
    <mergeCell ref="G13:T13"/>
    <mergeCell ref="H14:I14"/>
    <mergeCell ref="M14:N14"/>
    <mergeCell ref="R14:S14"/>
    <mergeCell ref="B10:D10"/>
    <mergeCell ref="B12:D12"/>
    <mergeCell ref="R10:T10"/>
    <mergeCell ref="R12:T12"/>
    <mergeCell ref="E12:F12"/>
    <mergeCell ref="E10:F10"/>
    <mergeCell ref="G10:I10"/>
    <mergeCell ref="B9:T9"/>
    <mergeCell ref="G12:I12"/>
    <mergeCell ref="C37:E37"/>
    <mergeCell ref="C28:E28"/>
    <mergeCell ref="C29:E29"/>
    <mergeCell ref="C30:E30"/>
    <mergeCell ref="C31:E31"/>
    <mergeCell ref="C36:E36"/>
    <mergeCell ref="C34:E34"/>
    <mergeCell ref="C32:E32"/>
    <mergeCell ref="C35:E35"/>
    <mergeCell ref="J12:M12"/>
    <mergeCell ref="N10:Q10"/>
    <mergeCell ref="N12:Q12"/>
    <mergeCell ref="B33:E33"/>
    <mergeCell ref="G33:T33"/>
    <mergeCell ref="C25:E25"/>
    <mergeCell ref="C27:E27"/>
    <mergeCell ref="B15:E15"/>
    <mergeCell ref="C16:E16"/>
    <mergeCell ref="C17:E17"/>
    <mergeCell ref="C18:E18"/>
    <mergeCell ref="B20:E20"/>
    <mergeCell ref="C21:E21"/>
    <mergeCell ref="C22:E22"/>
    <mergeCell ref="C23:E23"/>
    <mergeCell ref="C24:E24"/>
  </mergeCells>
  <dataValidations count="6">
    <dataValidation type="list" allowBlank="1" showInputMessage="1" showErrorMessage="1" sqref="M21:M32 H21:H32 R21:R32 R36:R37 H34:H37 R34 M34 M36:M37" xr:uid="{00000000-0002-0000-0100-000000000000}">
      <formula1>$W$20:$W$22</formula1>
    </dataValidation>
    <dataValidation type="list" allowBlank="1" showInputMessage="1" showErrorMessage="1" sqref="I34:I36 N36 S34 N34 S36" xr:uid="{00000000-0002-0000-0100-000001000000}">
      <formula1>$V$38:$V$43</formula1>
    </dataValidation>
    <dataValidation type="list" allowBlank="1" showInputMessage="1" showErrorMessage="1" sqref="I29 I32" xr:uid="{00000000-0002-0000-0100-000002000000}">
      <formula1>$V$38:$V$47</formula1>
    </dataValidation>
    <dataValidation type="list" allowBlank="1" showInputMessage="1" showErrorMessage="1" sqref="N29 I37" xr:uid="{00000000-0002-0000-0100-000003000000}">
      <formula1>$V$38:$V$49</formula1>
    </dataValidation>
    <dataValidation type="list" allowBlank="1" showInputMessage="1" showErrorMessage="1" sqref="S29" xr:uid="{00000000-0002-0000-0100-000004000000}">
      <formula1>$V$38:$V$48</formula1>
    </dataValidation>
    <dataValidation type="list" allowBlank="1" showInputMessage="1" showErrorMessage="1" sqref="I22 I25 N25 S25" xr:uid="{00000000-0002-0000-0100-000005000000}">
      <formula1>$V$38:$V$46</formula1>
    </dataValidation>
  </dataValidation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00000000-0002-0000-0100-000007000000}">
          <x14:formula1>
            <xm:f>'Oberkörper Progressionen '!$B:$B</xm:f>
          </x14:formula1>
          <xm:sqref>C16:E16</xm:sqref>
        </x14:dataValidation>
        <x14:dataValidation type="list" allowBlank="1" showInputMessage="1" showErrorMessage="1" xr:uid="{00000000-0002-0000-0100-000008000000}">
          <x14:formula1>
            <xm:f>'Oberkörper Progressionen '!$S:$S</xm:f>
          </x14:formula1>
          <xm:sqref>C37:E37</xm:sqref>
        </x14:dataValidation>
        <x14:dataValidation type="list" allowBlank="1" showInputMessage="1" showErrorMessage="1" xr:uid="{00000000-0002-0000-0100-000009000000}">
          <x14:formula1>
            <xm:f>'Oberkörper Progressionen '!$R:$R</xm:f>
          </x14:formula1>
          <xm:sqref>C34:E34</xm:sqref>
        </x14:dataValidation>
        <x14:dataValidation type="list" allowBlank="1" showInputMessage="1" showErrorMessage="1" xr:uid="{00000000-0002-0000-0100-00000A000000}">
          <x14:formula1>
            <xm:f>'Oberkörper Progressionen '!$Q:$Q</xm:f>
          </x14:formula1>
          <xm:sqref>C36:E36</xm:sqref>
        </x14:dataValidation>
        <x14:dataValidation type="list" allowBlank="1" showInputMessage="1" showErrorMessage="1" xr:uid="{00000000-0002-0000-0100-00000B000000}">
          <x14:formula1>
            <xm:f>'Oberkörper Progressionen '!$O:$O</xm:f>
          </x14:formula1>
          <xm:sqref>C31:E31</xm:sqref>
        </x14:dataValidation>
        <x14:dataValidation type="list" allowBlank="1" showInputMessage="1" showErrorMessage="1" xr:uid="{00000000-0002-0000-0100-00000C000000}">
          <x14:formula1>
            <xm:f>'Oberkörper Progressionen '!$N:$N</xm:f>
          </x14:formula1>
          <xm:sqref>C30:E30</xm:sqref>
        </x14:dataValidation>
        <x14:dataValidation type="list" allowBlank="1" showInputMessage="1" showErrorMessage="1" xr:uid="{00000000-0002-0000-0100-00000D000000}">
          <x14:formula1>
            <xm:f>'Oberkörper Progressionen '!$L:$L</xm:f>
          </x14:formula1>
          <xm:sqref>C28:E28</xm:sqref>
        </x14:dataValidation>
        <x14:dataValidation type="list" allowBlank="1" showInputMessage="1" showErrorMessage="1" xr:uid="{00000000-0002-0000-0100-00000E000000}">
          <x14:formula1>
            <xm:f>'Oberkörper Progressionen '!$K:$K</xm:f>
          </x14:formula1>
          <xm:sqref>C27:E27</xm:sqref>
        </x14:dataValidation>
        <x14:dataValidation type="list" allowBlank="1" showInputMessage="1" showErrorMessage="1" xr:uid="{00000000-0002-0000-0100-00000F000000}">
          <x14:formula1>
            <xm:f>'Oberkörper Progressionen '!$F:$F</xm:f>
          </x14:formula1>
          <xm:sqref>C22:E22</xm:sqref>
        </x14:dataValidation>
        <x14:dataValidation type="list" allowBlank="1" showInputMessage="1" showErrorMessage="1" xr:uid="{00000000-0002-0000-0100-000010000000}">
          <x14:formula1>
            <xm:f>'Oberkörper Progressionen '!$E:$E</xm:f>
          </x14:formula1>
          <xm:sqref>C21:E21</xm:sqref>
        </x14:dataValidation>
        <x14:dataValidation type="list" allowBlank="1" showInputMessage="1" showErrorMessage="1" xr:uid="{00000000-0002-0000-0100-000012000000}">
          <x14:formula1>
            <xm:f>'Oberkörper Progressionen '!$T:$T</xm:f>
          </x14:formula1>
          <xm:sqref>C35:E35</xm:sqref>
        </x14:dataValidation>
        <x14:dataValidation type="list" allowBlank="1" showInputMessage="1" showErrorMessage="1" xr:uid="{00000000-0002-0000-0100-000013000000}">
          <x14:formula1>
            <xm:f>'Oberkörper Progressionen '!$H:$H</xm:f>
          </x14:formula1>
          <xm:sqref>C24:E24</xm:sqref>
        </x14:dataValidation>
        <x14:dataValidation type="list" allowBlank="1" showInputMessage="1" showErrorMessage="1" xr:uid="{00000000-0002-0000-0100-000014000000}">
          <x14:formula1>
            <xm:f>'Oberkörper Progressionen '!$J:$J</xm:f>
          </x14:formula1>
          <xm:sqref>C26:E26</xm:sqref>
        </x14:dataValidation>
        <x14:dataValidation type="list" allowBlank="1" showInputMessage="1" showErrorMessage="1" xr:uid="{00000000-0002-0000-0100-000015000000}">
          <x14:formula1>
            <xm:f>'Oberkörper Progressionen '!$M:$M</xm:f>
          </x14:formula1>
          <xm:sqref>C29:E29</xm:sqref>
        </x14:dataValidation>
        <x14:dataValidation type="list" allowBlank="1" showInputMessage="1" showErrorMessage="1" xr:uid="{00000000-0002-0000-0100-000016000000}">
          <x14:formula1>
            <xm:f>'Oberkörper Progressionen '!$G:$G</xm:f>
          </x14:formula1>
          <xm:sqref>C23:E23</xm:sqref>
        </x14:dataValidation>
        <x14:dataValidation type="list" allowBlank="1" showInputMessage="1" showErrorMessage="1" xr:uid="{00000000-0002-0000-0100-000017000000}">
          <x14:formula1>
            <xm:f>'Oberkörper Progressionen '!$I:$I</xm:f>
          </x14:formula1>
          <xm:sqref>C25:E25</xm:sqref>
        </x14:dataValidation>
        <x14:dataValidation type="list" allowBlank="1" showInputMessage="1" showErrorMessage="1" xr:uid="{00000000-0002-0000-0100-000018000000}">
          <x14:formula1>
            <xm:f>'Oberkörper Progressionen '!$P:$P</xm:f>
          </x14:formula1>
          <xm:sqref>C32:E32</xm:sqref>
        </x14:dataValidation>
        <x14:dataValidation type="list" allowBlank="1" showInputMessage="1" showErrorMessage="1" xr:uid="{00000000-0002-0000-0100-000006000000}">
          <x14:formula1>
            <xm:f>'Oberkörper Progressionen '!$C:$C</xm:f>
          </x14:formula1>
          <xm:sqref>C17:E17</xm:sqref>
        </x14:dataValidation>
        <x14:dataValidation type="list" allowBlank="1" showInputMessage="1" showErrorMessage="1" xr:uid="{00000000-0002-0000-0100-000011000000}">
          <x14:formula1>
            <xm:f>'Oberkörper Progressionen '!$D:$D</xm:f>
          </x14:formula1>
          <xm:sqref>C18:E18</xm:sqref>
        </x14:dataValidation>
        <x14:dataValidation type="list" allowBlank="1" showInputMessage="1" showErrorMessage="1" xr:uid="{00000000-0002-0000-0100-000019000000}">
          <x14:formula1>
            <xm:f>'BH1-2 Progressionen'!$D:$D</xm:f>
          </x14:formula1>
          <xm:sqref>G10:G11</xm:sqref>
        </x14:dataValidation>
        <x14:dataValidation type="list" allowBlank="1" showInputMessage="1" showErrorMessage="1" xr:uid="{00000000-0002-0000-0100-00001A000000}">
          <x14:formula1>
            <xm:f>'BH1-2 Progressionen'!$C:$C</xm:f>
          </x14:formula1>
          <xm:sqref>E10:E11</xm:sqref>
        </x14:dataValidation>
        <x14:dataValidation type="list" allowBlank="1" showInputMessage="1" showErrorMessage="1" xr:uid="{00000000-0002-0000-0100-00001B000000}">
          <x14:formula1>
            <xm:f>'BH1-2 Progressionen'!$B:$B</xm:f>
          </x14:formula1>
          <xm:sqref>B10:B11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X50"/>
  <sheetViews>
    <sheetView zoomScale="80" zoomScaleNormal="54" workbookViewId="0">
      <selection activeCell="A10" sqref="A10:XFD10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4" ht="16.5" thickBot="1" x14ac:dyDescent="0.3"/>
    <row r="2" spans="2:24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4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4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4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4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4" ht="16.5" thickBot="1" x14ac:dyDescent="0.3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4" ht="16.5" thickBot="1" x14ac:dyDescent="0.3">
      <c r="B8" s="586" t="s">
        <v>714</v>
      </c>
      <c r="C8" s="587"/>
      <c r="D8" s="587"/>
      <c r="E8" s="587"/>
      <c r="F8" s="587"/>
      <c r="G8" s="587"/>
      <c r="H8" s="587"/>
      <c r="I8" s="587"/>
      <c r="J8" s="587"/>
      <c r="K8" s="587"/>
      <c r="L8" s="587"/>
      <c r="M8" s="587"/>
      <c r="N8" s="587"/>
      <c r="O8" s="587"/>
      <c r="P8" s="587"/>
      <c r="Q8" s="587"/>
      <c r="R8" s="587"/>
      <c r="S8" s="587"/>
      <c r="T8" s="588"/>
      <c r="U8" s="2"/>
      <c r="V8" s="2"/>
      <c r="W8" s="2"/>
    </row>
    <row r="9" spans="2:24" s="34" customFormat="1" ht="15.6" customHeight="1" x14ac:dyDescent="0.25">
      <c r="B9" s="584" t="s">
        <v>141</v>
      </c>
      <c r="C9" s="554"/>
      <c r="D9" s="554"/>
      <c r="E9" s="554" t="s">
        <v>147</v>
      </c>
      <c r="F9" s="554"/>
      <c r="G9" s="554" t="s">
        <v>38</v>
      </c>
      <c r="H9" s="554"/>
      <c r="I9" s="554"/>
      <c r="J9" s="554" t="s">
        <v>382</v>
      </c>
      <c r="K9" s="554"/>
      <c r="L9" s="554"/>
      <c r="M9" s="554"/>
      <c r="N9" s="554" t="s">
        <v>566</v>
      </c>
      <c r="O9" s="554"/>
      <c r="P9" s="554"/>
      <c r="Q9" s="554"/>
      <c r="R9" s="554" t="s">
        <v>570</v>
      </c>
      <c r="S9" s="554"/>
      <c r="T9" s="555"/>
    </row>
    <row r="10" spans="2:24" s="34" customFormat="1" ht="15.6" customHeight="1" x14ac:dyDescent="0.25">
      <c r="B10" s="508"/>
      <c r="C10" s="509"/>
      <c r="D10" s="509"/>
      <c r="E10" s="509"/>
      <c r="F10" s="509"/>
      <c r="G10" s="509"/>
      <c r="H10" s="509"/>
      <c r="I10" s="509"/>
      <c r="J10" s="509"/>
      <c r="K10" s="509"/>
      <c r="L10" s="509"/>
      <c r="M10" s="509"/>
      <c r="N10" s="509"/>
      <c r="O10" s="509"/>
      <c r="P10" s="509"/>
      <c r="Q10" s="509"/>
      <c r="R10" s="509"/>
      <c r="S10" s="509"/>
      <c r="T10" s="510"/>
    </row>
    <row r="11" spans="2:24" s="34" customFormat="1" ht="15.6" customHeight="1" thickBot="1" x14ac:dyDescent="0.3">
      <c r="B11" s="585" t="s">
        <v>565</v>
      </c>
      <c r="C11" s="553"/>
      <c r="D11" s="553"/>
      <c r="E11" s="553" t="s">
        <v>545</v>
      </c>
      <c r="F11" s="553"/>
      <c r="G11" s="553" t="s">
        <v>22</v>
      </c>
      <c r="H11" s="553"/>
      <c r="I11" s="553"/>
      <c r="J11" s="553" t="s">
        <v>124</v>
      </c>
      <c r="K11" s="553"/>
      <c r="L11" s="553"/>
      <c r="M11" s="553"/>
      <c r="N11" s="553" t="s">
        <v>23</v>
      </c>
      <c r="O11" s="553"/>
      <c r="P11" s="553"/>
      <c r="Q11" s="553"/>
      <c r="R11" s="553" t="s">
        <v>125</v>
      </c>
      <c r="S11" s="553"/>
      <c r="T11" s="556"/>
    </row>
    <row r="12" spans="2:24" ht="16.5" thickBot="1" x14ac:dyDescent="0.3">
      <c r="B12" s="576" t="s">
        <v>573</v>
      </c>
      <c r="C12" s="577"/>
      <c r="D12" s="577"/>
      <c r="E12" s="578"/>
      <c r="F12" s="1"/>
      <c r="G12" s="573" t="s">
        <v>116</v>
      </c>
      <c r="H12" s="574"/>
      <c r="I12" s="574"/>
      <c r="J12" s="574"/>
      <c r="K12" s="574"/>
      <c r="L12" s="574"/>
      <c r="M12" s="574"/>
      <c r="N12" s="574"/>
      <c r="O12" s="574"/>
      <c r="P12" s="574"/>
      <c r="Q12" s="574"/>
      <c r="R12" s="574"/>
      <c r="S12" s="574"/>
      <c r="T12" s="575"/>
    </row>
    <row r="13" spans="2:24" ht="21.6" customHeight="1" thickBot="1" x14ac:dyDescent="0.3">
      <c r="B13" s="579"/>
      <c r="C13" s="580"/>
      <c r="D13" s="580"/>
      <c r="E13" s="581"/>
      <c r="F13" s="1"/>
      <c r="G13" s="70" t="s">
        <v>865</v>
      </c>
      <c r="H13" s="582" t="s">
        <v>877</v>
      </c>
      <c r="I13" s="583"/>
      <c r="J13" s="71" t="s">
        <v>866</v>
      </c>
      <c r="K13" s="64"/>
      <c r="L13" s="70" t="s">
        <v>867</v>
      </c>
      <c r="M13" s="582" t="s">
        <v>878</v>
      </c>
      <c r="N13" s="583"/>
      <c r="O13" s="71" t="s">
        <v>868</v>
      </c>
      <c r="P13" s="64"/>
      <c r="Q13" s="71" t="s">
        <v>869</v>
      </c>
      <c r="R13" s="582" t="s">
        <v>879</v>
      </c>
      <c r="S13" s="583"/>
      <c r="T13" s="71" t="s">
        <v>870</v>
      </c>
      <c r="W13" s="36"/>
      <c r="X13" s="1"/>
    </row>
    <row r="14" spans="2:24" ht="16.5" thickBot="1" x14ac:dyDescent="0.3">
      <c r="B14" s="562" t="s">
        <v>8</v>
      </c>
      <c r="C14" s="563"/>
      <c r="D14" s="563"/>
      <c r="E14" s="564"/>
      <c r="F14" s="72"/>
      <c r="G14" s="15" t="s">
        <v>9</v>
      </c>
      <c r="H14" s="16" t="s">
        <v>10</v>
      </c>
      <c r="I14" s="16" t="s">
        <v>11</v>
      </c>
      <c r="J14" s="17" t="s">
        <v>880</v>
      </c>
      <c r="K14" s="1"/>
      <c r="L14" s="15" t="s">
        <v>9</v>
      </c>
      <c r="M14" s="16" t="s">
        <v>10</v>
      </c>
      <c r="N14" s="16" t="s">
        <v>11</v>
      </c>
      <c r="O14" s="17" t="s">
        <v>880</v>
      </c>
      <c r="P14" s="1"/>
      <c r="Q14" s="40" t="s">
        <v>9</v>
      </c>
      <c r="R14" s="41" t="s">
        <v>10</v>
      </c>
      <c r="S14" s="41" t="s">
        <v>11</v>
      </c>
      <c r="T14" s="42" t="s">
        <v>880</v>
      </c>
      <c r="W14" s="37"/>
      <c r="X14" s="1"/>
    </row>
    <row r="15" spans="2:24" s="1" customFormat="1" ht="19.899999999999999" customHeight="1" x14ac:dyDescent="0.25">
      <c r="B15" s="9">
        <v>1</v>
      </c>
      <c r="C15" s="560" t="s">
        <v>355</v>
      </c>
      <c r="D15" s="560"/>
      <c r="E15" s="561"/>
      <c r="G15" s="18" t="s">
        <v>12</v>
      </c>
      <c r="H15" s="19"/>
      <c r="I15" s="19" t="s">
        <v>636</v>
      </c>
      <c r="J15" s="20" t="s">
        <v>16</v>
      </c>
      <c r="L15" s="18" t="s">
        <v>12</v>
      </c>
      <c r="M15" s="19"/>
      <c r="N15" s="19" t="s">
        <v>637</v>
      </c>
      <c r="O15" s="20" t="s">
        <v>16</v>
      </c>
      <c r="Q15" s="43" t="s">
        <v>12</v>
      </c>
      <c r="R15" s="44"/>
      <c r="S15" s="44" t="s">
        <v>638</v>
      </c>
      <c r="T15" s="45" t="s">
        <v>16</v>
      </c>
      <c r="W15" s="36"/>
    </row>
    <row r="16" spans="2:24" s="1" customFormat="1" ht="19.899999999999999" customHeight="1" x14ac:dyDescent="0.25">
      <c r="B16" s="3">
        <v>2</v>
      </c>
      <c r="C16" s="567" t="s">
        <v>576</v>
      </c>
      <c r="D16" s="567"/>
      <c r="E16" s="568"/>
      <c r="G16" s="67" t="s">
        <v>12</v>
      </c>
      <c r="H16" s="68"/>
      <c r="I16" s="68" t="s">
        <v>14</v>
      </c>
      <c r="J16" s="69"/>
      <c r="L16" s="67" t="s">
        <v>12</v>
      </c>
      <c r="M16" s="68"/>
      <c r="N16" s="68" t="s">
        <v>14</v>
      </c>
      <c r="O16" s="69"/>
      <c r="Q16" s="67" t="s">
        <v>12</v>
      </c>
      <c r="R16" s="68"/>
      <c r="S16" s="68" t="s">
        <v>14</v>
      </c>
      <c r="T16" s="69"/>
      <c r="W16" s="36"/>
    </row>
    <row r="17" spans="2:24" s="1" customFormat="1" ht="19.899999999999999" customHeight="1" thickBot="1" x14ac:dyDescent="0.3">
      <c r="B17" s="4">
        <v>3</v>
      </c>
      <c r="C17" s="565" t="s">
        <v>586</v>
      </c>
      <c r="D17" s="565"/>
      <c r="E17" s="566"/>
      <c r="G17" s="24" t="s">
        <v>12</v>
      </c>
      <c r="H17" s="25"/>
      <c r="I17" s="25" t="s">
        <v>14</v>
      </c>
      <c r="J17" s="26"/>
      <c r="L17" s="24" t="s">
        <v>12</v>
      </c>
      <c r="M17" s="25"/>
      <c r="N17" s="25" t="s">
        <v>14</v>
      </c>
      <c r="O17" s="26"/>
      <c r="Q17" s="46" t="s">
        <v>12</v>
      </c>
      <c r="R17" s="47"/>
      <c r="S17" s="47" t="s">
        <v>14</v>
      </c>
      <c r="T17" s="48"/>
    </row>
    <row r="18" spans="2:24" s="2" customFormat="1" ht="4.9000000000000004" customHeight="1" thickBot="1" x14ac:dyDescent="0.3">
      <c r="B18" s="73"/>
      <c r="Q18" s="49"/>
      <c r="R18" s="49"/>
      <c r="S18" s="49"/>
      <c r="T18" s="74"/>
      <c r="X18" s="1"/>
    </row>
    <row r="19" spans="2:24" s="1" customFormat="1" ht="16.5" thickBot="1" x14ac:dyDescent="0.3">
      <c r="B19" s="562" t="s">
        <v>882</v>
      </c>
      <c r="C19" s="563"/>
      <c r="D19" s="563"/>
      <c r="E19" s="564"/>
      <c r="G19" s="80" t="s">
        <v>880</v>
      </c>
      <c r="H19" s="81" t="s">
        <v>10</v>
      </c>
      <c r="I19" s="81" t="s">
        <v>11</v>
      </c>
      <c r="J19" s="82" t="s">
        <v>880</v>
      </c>
      <c r="K19" s="72"/>
      <c r="L19" s="80" t="str">
        <f>G19</f>
        <v>GEWICHT</v>
      </c>
      <c r="M19" s="81" t="s">
        <v>10</v>
      </c>
      <c r="N19" s="81" t="s">
        <v>11</v>
      </c>
      <c r="O19" s="82" t="s">
        <v>880</v>
      </c>
      <c r="P19" s="72"/>
      <c r="Q19" s="83" t="str">
        <f>L19</f>
        <v>GEWICHT</v>
      </c>
      <c r="R19" s="84" t="s">
        <v>10</v>
      </c>
      <c r="S19" s="84" t="s">
        <v>11</v>
      </c>
      <c r="T19" s="85" t="s">
        <v>880</v>
      </c>
    </row>
    <row r="20" spans="2:24" s="1" customFormat="1" ht="19.899999999999999" customHeight="1" x14ac:dyDescent="0.25">
      <c r="B20" s="9">
        <v>1</v>
      </c>
      <c r="C20" s="560" t="s">
        <v>293</v>
      </c>
      <c r="D20" s="560"/>
      <c r="E20" s="561"/>
      <c r="G20" s="21"/>
      <c r="H20" s="22" t="s">
        <v>13</v>
      </c>
      <c r="I20" s="22" t="s">
        <v>7</v>
      </c>
      <c r="J20" s="23"/>
      <c r="L20" s="21"/>
      <c r="M20" s="22" t="s">
        <v>13</v>
      </c>
      <c r="N20" s="22" t="str">
        <f t="shared" ref="N20:N28" si="0">I20</f>
        <v>1x20</v>
      </c>
      <c r="O20" s="23"/>
      <c r="Q20" s="50"/>
      <c r="R20" s="52" t="s">
        <v>13</v>
      </c>
      <c r="S20" s="52" t="str">
        <f>N20</f>
        <v>1x20</v>
      </c>
      <c r="T20" s="53"/>
    </row>
    <row r="21" spans="2:24" s="1" customFormat="1" ht="19.899999999999999" customHeight="1" x14ac:dyDescent="0.25">
      <c r="B21" s="3">
        <v>2</v>
      </c>
      <c r="C21" s="567" t="s">
        <v>528</v>
      </c>
      <c r="D21" s="567"/>
      <c r="E21" s="568"/>
      <c r="G21" s="27"/>
      <c r="H21" s="28" t="s">
        <v>13</v>
      </c>
      <c r="I21" s="28" t="s">
        <v>625</v>
      </c>
      <c r="J21" s="29"/>
      <c r="L21" s="27"/>
      <c r="M21" s="28" t="s">
        <v>13</v>
      </c>
      <c r="N21" s="28" t="str">
        <f t="shared" si="0"/>
        <v>1x10/ea</v>
      </c>
      <c r="O21" s="29"/>
      <c r="Q21" s="54"/>
      <c r="R21" s="56" t="s">
        <v>13</v>
      </c>
      <c r="S21" s="56" t="str">
        <f>N21</f>
        <v>1x10/ea</v>
      </c>
      <c r="T21" s="57"/>
    </row>
    <row r="22" spans="2:24" s="1" customFormat="1" ht="19.899999999999999" customHeight="1" thickBot="1" x14ac:dyDescent="0.3">
      <c r="B22" s="4">
        <v>3</v>
      </c>
      <c r="C22" s="565" t="s">
        <v>27</v>
      </c>
      <c r="D22" s="565"/>
      <c r="E22" s="566"/>
      <c r="G22" s="24"/>
      <c r="H22" s="25" t="s">
        <v>13</v>
      </c>
      <c r="I22" s="25" t="s">
        <v>273</v>
      </c>
      <c r="J22" s="26"/>
      <c r="L22" s="24"/>
      <c r="M22" s="25" t="s">
        <v>13</v>
      </c>
      <c r="N22" s="25" t="str">
        <f t="shared" si="0"/>
        <v>3x10s</v>
      </c>
      <c r="O22" s="26"/>
      <c r="Q22" s="46"/>
      <c r="R22" s="47" t="s">
        <v>13</v>
      </c>
      <c r="S22" s="47" t="str">
        <f>N22</f>
        <v>3x10s</v>
      </c>
      <c r="T22" s="48"/>
    </row>
    <row r="23" spans="2:24" s="1" customFormat="1" ht="19.899999999999999" customHeight="1" x14ac:dyDescent="0.25">
      <c r="B23" s="9">
        <v>4</v>
      </c>
      <c r="C23" s="560" t="s">
        <v>385</v>
      </c>
      <c r="D23" s="560"/>
      <c r="E23" s="561"/>
      <c r="G23" s="21"/>
      <c r="H23" s="22" t="s">
        <v>13</v>
      </c>
      <c r="I23" s="22" t="s">
        <v>7</v>
      </c>
      <c r="J23" s="23"/>
      <c r="L23" s="21"/>
      <c r="M23" s="22" t="s">
        <v>13</v>
      </c>
      <c r="N23" s="22" t="str">
        <f t="shared" si="0"/>
        <v>1x20</v>
      </c>
      <c r="O23" s="23"/>
      <c r="Q23" s="50"/>
      <c r="R23" s="52" t="s">
        <v>13</v>
      </c>
      <c r="S23" s="52" t="s">
        <v>7</v>
      </c>
      <c r="T23" s="53"/>
    </row>
    <row r="24" spans="2:24" s="1" customFormat="1" ht="19.899999999999999" customHeight="1" x14ac:dyDescent="0.25">
      <c r="B24" s="3">
        <v>5</v>
      </c>
      <c r="C24" s="567" t="s">
        <v>572</v>
      </c>
      <c r="D24" s="567"/>
      <c r="E24" s="568"/>
      <c r="G24" s="27"/>
      <c r="H24" s="28" t="s">
        <v>13</v>
      </c>
      <c r="I24" s="28" t="s">
        <v>592</v>
      </c>
      <c r="J24" s="29"/>
      <c r="L24" s="27"/>
      <c r="M24" s="28" t="s">
        <v>13</v>
      </c>
      <c r="N24" s="28" t="str">
        <f t="shared" si="0"/>
        <v>1x20/ea</v>
      </c>
      <c r="O24" s="29"/>
      <c r="Q24" s="54"/>
      <c r="R24" s="56" t="s">
        <v>13</v>
      </c>
      <c r="S24" s="28" t="str">
        <f>I24</f>
        <v>1x20/ea</v>
      </c>
      <c r="T24" s="57"/>
    </row>
    <row r="25" spans="2:24" s="1" customFormat="1" ht="19.899999999999999" customHeight="1" thickBot="1" x14ac:dyDescent="0.3">
      <c r="B25" s="4">
        <v>6</v>
      </c>
      <c r="C25" s="565" t="s">
        <v>75</v>
      </c>
      <c r="D25" s="565"/>
      <c r="E25" s="566"/>
      <c r="G25" s="24"/>
      <c r="H25" s="25" t="s">
        <v>13</v>
      </c>
      <c r="I25" s="25" t="s">
        <v>273</v>
      </c>
      <c r="J25" s="26"/>
      <c r="L25" s="24"/>
      <c r="M25" s="25" t="s">
        <v>13</v>
      </c>
      <c r="N25" s="25" t="str">
        <f t="shared" si="0"/>
        <v>3x10s</v>
      </c>
      <c r="O25" s="26"/>
      <c r="Q25" s="46"/>
      <c r="R25" s="47" t="s">
        <v>13</v>
      </c>
      <c r="S25" s="47" t="str">
        <f>N25</f>
        <v>3x10s</v>
      </c>
      <c r="T25" s="48"/>
    </row>
    <row r="26" spans="2:24" s="1" customFormat="1" ht="19.899999999999999" customHeight="1" x14ac:dyDescent="0.25">
      <c r="B26" s="9">
        <v>7</v>
      </c>
      <c r="C26" s="560" t="s">
        <v>466</v>
      </c>
      <c r="D26" s="560"/>
      <c r="E26" s="561"/>
      <c r="G26" s="21"/>
      <c r="H26" s="22" t="s">
        <v>13</v>
      </c>
      <c r="I26" s="22" t="s">
        <v>592</v>
      </c>
      <c r="J26" s="23"/>
      <c r="L26" s="21"/>
      <c r="M26" s="22" t="s">
        <v>13</v>
      </c>
      <c r="N26" s="22" t="str">
        <f t="shared" si="0"/>
        <v>1x20/ea</v>
      </c>
      <c r="O26" s="23"/>
      <c r="Q26" s="50"/>
      <c r="R26" s="52" t="s">
        <v>13</v>
      </c>
      <c r="S26" s="52" t="str">
        <f>N26</f>
        <v>1x20/ea</v>
      </c>
      <c r="T26" s="53"/>
    </row>
    <row r="27" spans="2:24" s="1" customFormat="1" ht="19.899999999999999" customHeight="1" x14ac:dyDescent="0.25">
      <c r="B27" s="3">
        <v>8</v>
      </c>
      <c r="C27" s="567" t="s">
        <v>412</v>
      </c>
      <c r="D27" s="567"/>
      <c r="E27" s="568"/>
      <c r="G27" s="27"/>
      <c r="H27" s="28" t="s">
        <v>13</v>
      </c>
      <c r="I27" s="28" t="s">
        <v>119</v>
      </c>
      <c r="J27" s="29"/>
      <c r="L27" s="27"/>
      <c r="M27" s="28" t="s">
        <v>13</v>
      </c>
      <c r="N27" s="28" t="str">
        <f t="shared" si="0"/>
        <v>1x30s/ea</v>
      </c>
      <c r="O27" s="29"/>
      <c r="Q27" s="54"/>
      <c r="R27" s="56" t="s">
        <v>13</v>
      </c>
      <c r="S27" s="56" t="str">
        <f>N27</f>
        <v>1x30s/ea</v>
      </c>
      <c r="T27" s="57"/>
    </row>
    <row r="28" spans="2:24" s="1" customFormat="1" ht="19.899999999999999" customHeight="1" thickBot="1" x14ac:dyDescent="0.3">
      <c r="B28" s="4">
        <v>9</v>
      </c>
      <c r="C28" s="565" t="s">
        <v>89</v>
      </c>
      <c r="D28" s="565"/>
      <c r="E28" s="566"/>
      <c r="G28" s="24"/>
      <c r="H28" s="25" t="s">
        <v>13</v>
      </c>
      <c r="I28" s="25" t="s">
        <v>634</v>
      </c>
      <c r="J28" s="26"/>
      <c r="L28" s="24"/>
      <c r="M28" s="25" t="s">
        <v>13</v>
      </c>
      <c r="N28" s="25" t="str">
        <f t="shared" si="0"/>
        <v>3x10/ea</v>
      </c>
      <c r="O28" s="26"/>
      <c r="Q28" s="46"/>
      <c r="R28" s="47" t="s">
        <v>13</v>
      </c>
      <c r="S28" s="25" t="str">
        <f>N28</f>
        <v>3x10/ea</v>
      </c>
      <c r="T28" s="48"/>
    </row>
    <row r="29" spans="2:24" s="1" customFormat="1" ht="19.899999999999999" customHeight="1" x14ac:dyDescent="0.25">
      <c r="B29" s="9">
        <v>10</v>
      </c>
      <c r="C29" s="560" t="s">
        <v>473</v>
      </c>
      <c r="D29" s="560"/>
      <c r="E29" s="561"/>
      <c r="G29" s="21"/>
      <c r="H29" s="22" t="s">
        <v>13</v>
      </c>
      <c r="I29" s="22" t="s">
        <v>592</v>
      </c>
      <c r="J29" s="23"/>
      <c r="L29" s="21"/>
      <c r="M29" s="22" t="s">
        <v>13</v>
      </c>
      <c r="N29" s="22" t="str">
        <f>I29</f>
        <v>1x20/ea</v>
      </c>
      <c r="O29" s="23"/>
      <c r="Q29" s="21"/>
      <c r="R29" s="22" t="s">
        <v>13</v>
      </c>
      <c r="S29" s="22" t="str">
        <f>I29</f>
        <v>1x20/ea</v>
      </c>
      <c r="T29" s="23"/>
    </row>
    <row r="30" spans="2:24" s="1" customFormat="1" ht="19.899999999999999" customHeight="1" x14ac:dyDescent="0.25">
      <c r="B30" s="3">
        <v>11</v>
      </c>
      <c r="C30" s="567" t="s">
        <v>398</v>
      </c>
      <c r="D30" s="567"/>
      <c r="E30" s="568"/>
      <c r="G30" s="27"/>
      <c r="H30" s="28" t="s">
        <v>13</v>
      </c>
      <c r="I30" s="28" t="s">
        <v>7</v>
      </c>
      <c r="J30" s="29"/>
      <c r="L30" s="27"/>
      <c r="M30" s="28" t="s">
        <v>13</v>
      </c>
      <c r="N30" s="28" t="str">
        <f>I30</f>
        <v>1x20</v>
      </c>
      <c r="O30" s="29"/>
      <c r="Q30" s="27"/>
      <c r="R30" s="28" t="s">
        <v>13</v>
      </c>
      <c r="S30" s="28" t="str">
        <f>N30</f>
        <v>1x20</v>
      </c>
      <c r="T30" s="29"/>
    </row>
    <row r="31" spans="2:24" s="1" customFormat="1" ht="19.899999999999999" customHeight="1" thickBot="1" x14ac:dyDescent="0.3">
      <c r="B31" s="3">
        <v>12</v>
      </c>
      <c r="C31" s="567" t="s">
        <v>409</v>
      </c>
      <c r="D31" s="567"/>
      <c r="E31" s="568"/>
      <c r="G31" s="24"/>
      <c r="H31" s="25" t="s">
        <v>13</v>
      </c>
      <c r="I31" s="25" t="s">
        <v>592</v>
      </c>
      <c r="J31" s="26"/>
      <c r="L31" s="24"/>
      <c r="M31" s="25" t="s">
        <v>13</v>
      </c>
      <c r="N31" s="25" t="str">
        <f>I31</f>
        <v>1x20/ea</v>
      </c>
      <c r="O31" s="26"/>
      <c r="Q31" s="46"/>
      <c r="R31" s="47" t="s">
        <v>13</v>
      </c>
      <c r="S31" s="47" t="str">
        <f>N31</f>
        <v>1x20/ea</v>
      </c>
      <c r="T31" s="48"/>
    </row>
    <row r="32" spans="2:24" s="1" customFormat="1" ht="19.899999999999999" customHeight="1" x14ac:dyDescent="0.25">
      <c r="B32" s="9">
        <v>13</v>
      </c>
      <c r="C32" s="560" t="s">
        <v>177</v>
      </c>
      <c r="D32" s="560"/>
      <c r="E32" s="561"/>
      <c r="G32" s="99"/>
      <c r="H32" s="22" t="s">
        <v>13</v>
      </c>
      <c r="I32" s="22" t="s">
        <v>592</v>
      </c>
      <c r="J32" s="23"/>
      <c r="L32" s="21"/>
      <c r="M32" s="22" t="s">
        <v>13</v>
      </c>
      <c r="N32" s="22" t="s">
        <v>563</v>
      </c>
      <c r="O32" s="23"/>
      <c r="Q32" s="21"/>
      <c r="R32" s="22" t="s">
        <v>13</v>
      </c>
      <c r="S32" s="22" t="s">
        <v>564</v>
      </c>
      <c r="T32" s="23"/>
    </row>
    <row r="33" spans="2:22" s="1" customFormat="1" ht="19.899999999999999" customHeight="1" x14ac:dyDescent="0.25">
      <c r="B33" s="3">
        <v>14</v>
      </c>
      <c r="C33" s="567" t="s">
        <v>100</v>
      </c>
      <c r="D33" s="567"/>
      <c r="E33" s="568"/>
      <c r="G33" s="96"/>
      <c r="H33" s="28" t="s">
        <v>13</v>
      </c>
      <c r="I33" s="28" t="s">
        <v>592</v>
      </c>
      <c r="J33" s="29"/>
      <c r="L33" s="27"/>
      <c r="M33" s="28" t="s">
        <v>13</v>
      </c>
      <c r="N33" s="28" t="str">
        <f>I33</f>
        <v>1x20/ea</v>
      </c>
      <c r="O33" s="29"/>
      <c r="Q33" s="27"/>
      <c r="R33" s="28" t="s">
        <v>13</v>
      </c>
      <c r="S33" s="28" t="str">
        <f>N33</f>
        <v>1x20/ea</v>
      </c>
      <c r="T33" s="29"/>
    </row>
    <row r="34" spans="2:22" s="1" customFormat="1" ht="19.899999999999999" customHeight="1" x14ac:dyDescent="0.25">
      <c r="B34" s="3">
        <v>15</v>
      </c>
      <c r="C34" s="567" t="s">
        <v>35</v>
      </c>
      <c r="D34" s="567"/>
      <c r="E34" s="568"/>
      <c r="G34" s="96"/>
      <c r="H34" s="28" t="s">
        <v>13</v>
      </c>
      <c r="I34" s="28" t="s">
        <v>592</v>
      </c>
      <c r="J34" s="29"/>
      <c r="L34" s="27"/>
      <c r="M34" s="28" t="s">
        <v>13</v>
      </c>
      <c r="N34" s="28" t="str">
        <f>I34</f>
        <v>1x20/ea</v>
      </c>
      <c r="O34" s="29"/>
      <c r="Q34" s="27"/>
      <c r="R34" s="28" t="s">
        <v>13</v>
      </c>
      <c r="S34" s="28" t="str">
        <f>N34</f>
        <v>1x20/ea</v>
      </c>
      <c r="T34" s="29"/>
    </row>
    <row r="35" spans="2:22" s="1" customFormat="1" ht="19.899999999999999" customHeight="1" thickBot="1" x14ac:dyDescent="0.3">
      <c r="B35" s="4">
        <v>16</v>
      </c>
      <c r="C35" s="565" t="s">
        <v>437</v>
      </c>
      <c r="D35" s="565"/>
      <c r="E35" s="566"/>
      <c r="G35" s="24"/>
      <c r="H35" s="25" t="s">
        <v>13</v>
      </c>
      <c r="I35" s="25" t="s">
        <v>592</v>
      </c>
      <c r="J35" s="26"/>
      <c r="L35" s="24"/>
      <c r="M35" s="25" t="s">
        <v>13</v>
      </c>
      <c r="N35" s="25" t="str">
        <f>I35</f>
        <v>1x20/ea</v>
      </c>
      <c r="O35" s="26"/>
      <c r="Q35" s="24"/>
      <c r="R35" s="25" t="s">
        <v>13</v>
      </c>
      <c r="S35" s="25" t="str">
        <f>N35</f>
        <v>1x20/ea</v>
      </c>
      <c r="T35" s="26"/>
    </row>
    <row r="36" spans="2:22" s="2" customFormat="1" ht="16.149999999999999" customHeight="1" thickBot="1" x14ac:dyDescent="0.3">
      <c r="B36" s="573" t="s">
        <v>873</v>
      </c>
      <c r="C36" s="574"/>
      <c r="D36" s="574"/>
      <c r="E36" s="575"/>
      <c r="F36" s="79"/>
      <c r="G36" s="557"/>
      <c r="H36" s="558"/>
      <c r="I36" s="558"/>
      <c r="J36" s="558"/>
      <c r="K36" s="558"/>
      <c r="L36" s="558"/>
      <c r="M36" s="558"/>
      <c r="N36" s="558"/>
      <c r="O36" s="558"/>
      <c r="P36" s="558"/>
      <c r="Q36" s="558"/>
      <c r="R36" s="558"/>
      <c r="S36" s="558"/>
      <c r="T36" s="559"/>
    </row>
    <row r="37" spans="2:22" s="1" customFormat="1" ht="19.899999999999999" customHeight="1" x14ac:dyDescent="0.25">
      <c r="B37" s="9">
        <v>17</v>
      </c>
      <c r="C37" s="560" t="s">
        <v>182</v>
      </c>
      <c r="D37" s="560"/>
      <c r="E37" s="561"/>
      <c r="G37" s="21"/>
      <c r="H37" s="30" t="s">
        <v>13</v>
      </c>
      <c r="I37" s="22" t="s">
        <v>290</v>
      </c>
      <c r="J37" s="23"/>
      <c r="L37" s="21"/>
      <c r="M37" s="30" t="s">
        <v>13</v>
      </c>
      <c r="N37" s="22" t="str">
        <f>I37</f>
        <v>1x45s/ea</v>
      </c>
      <c r="O37" s="23"/>
      <c r="Q37" s="50"/>
      <c r="R37" s="51" t="s">
        <v>13</v>
      </c>
      <c r="S37" s="52" t="str">
        <f>I37</f>
        <v>1x45s/ea</v>
      </c>
      <c r="T37" s="53"/>
    </row>
    <row r="38" spans="2:22" s="1" customFormat="1" ht="19.899999999999999" customHeight="1" x14ac:dyDescent="0.25">
      <c r="B38" s="3">
        <v>18</v>
      </c>
      <c r="C38" s="569" t="s">
        <v>606</v>
      </c>
      <c r="D38" s="569"/>
      <c r="E38" s="570"/>
      <c r="G38" s="27"/>
      <c r="H38" s="31" t="s">
        <v>13</v>
      </c>
      <c r="I38" s="28" t="s">
        <v>290</v>
      </c>
      <c r="J38" s="29"/>
      <c r="L38" s="27"/>
      <c r="M38" s="31" t="s">
        <v>13</v>
      </c>
      <c r="N38" s="28" t="str">
        <f>I38</f>
        <v>1x45s/ea</v>
      </c>
      <c r="O38" s="29"/>
      <c r="Q38" s="54"/>
      <c r="R38" s="55" t="s">
        <v>13</v>
      </c>
      <c r="S38" s="56" t="str">
        <f>I38</f>
        <v>1x45s/ea</v>
      </c>
      <c r="T38" s="57"/>
    </row>
    <row r="39" spans="2:22" s="1" customFormat="1" ht="19.899999999999999" customHeight="1" thickBot="1" x14ac:dyDescent="0.3">
      <c r="B39" s="4">
        <v>19</v>
      </c>
      <c r="C39" s="571" t="s">
        <v>36</v>
      </c>
      <c r="D39" s="571"/>
      <c r="E39" s="572"/>
      <c r="F39" s="66"/>
      <c r="G39" s="24"/>
      <c r="H39" s="32" t="s">
        <v>13</v>
      </c>
      <c r="I39" s="25" t="s">
        <v>290</v>
      </c>
      <c r="J39" s="26"/>
      <c r="K39" s="66"/>
      <c r="L39" s="24"/>
      <c r="M39" s="32" t="s">
        <v>13</v>
      </c>
      <c r="N39" s="25" t="str">
        <f>I39</f>
        <v>1x45s/ea</v>
      </c>
      <c r="O39" s="26"/>
      <c r="P39" s="66"/>
      <c r="Q39" s="46"/>
      <c r="R39" s="58" t="s">
        <v>13</v>
      </c>
      <c r="S39" s="47" t="str">
        <f>N39</f>
        <v>1x45s/ea</v>
      </c>
      <c r="T39" s="48"/>
    </row>
    <row r="40" spans="2:22" s="2" customFormat="1" ht="4.9000000000000004" customHeight="1" x14ac:dyDescent="0.25">
      <c r="Q40" s="49"/>
      <c r="R40" s="49"/>
      <c r="S40" s="49"/>
      <c r="T40" s="49"/>
    </row>
    <row r="41" spans="2:22" x14ac:dyDescent="0.25">
      <c r="V41" s="1" t="s">
        <v>289</v>
      </c>
    </row>
    <row r="42" spans="2:22" x14ac:dyDescent="0.25">
      <c r="V42" s="1" t="s">
        <v>311</v>
      </c>
    </row>
    <row r="43" spans="2:22" x14ac:dyDescent="0.25">
      <c r="V43" s="1" t="s">
        <v>37</v>
      </c>
    </row>
    <row r="44" spans="2:22" x14ac:dyDescent="0.25">
      <c r="V44" s="1" t="s">
        <v>119</v>
      </c>
    </row>
    <row r="45" spans="2:22" x14ac:dyDescent="0.25">
      <c r="V45" s="1" t="s">
        <v>290</v>
      </c>
    </row>
    <row r="46" spans="2:22" x14ac:dyDescent="0.25">
      <c r="V46" s="1" t="s">
        <v>291</v>
      </c>
    </row>
    <row r="47" spans="2:22" x14ac:dyDescent="0.25">
      <c r="V47" s="1" t="s">
        <v>292</v>
      </c>
    </row>
    <row r="48" spans="2:22" x14ac:dyDescent="0.25">
      <c r="V48" s="1" t="s">
        <v>337</v>
      </c>
    </row>
    <row r="49" spans="22:22" x14ac:dyDescent="0.25">
      <c r="V49" s="1" t="s">
        <v>15</v>
      </c>
    </row>
    <row r="50" spans="22:22" x14ac:dyDescent="0.25">
      <c r="V50" s="1" t="s">
        <v>209</v>
      </c>
    </row>
  </sheetData>
  <mergeCells count="45">
    <mergeCell ref="C15:E15"/>
    <mergeCell ref="C16:E16"/>
    <mergeCell ref="C17:E17"/>
    <mergeCell ref="B19:E19"/>
    <mergeCell ref="O2:T7"/>
    <mergeCell ref="B12:E13"/>
    <mergeCell ref="G12:T12"/>
    <mergeCell ref="H13:I13"/>
    <mergeCell ref="M13:N13"/>
    <mergeCell ref="R13:S13"/>
    <mergeCell ref="B8:T8"/>
    <mergeCell ref="E9:F9"/>
    <mergeCell ref="E11:F11"/>
    <mergeCell ref="G11:I11"/>
    <mergeCell ref="G9:I9"/>
    <mergeCell ref="J9:M9"/>
    <mergeCell ref="G36:T36"/>
    <mergeCell ref="C37:E37"/>
    <mergeCell ref="C27:E27"/>
    <mergeCell ref="C28:E28"/>
    <mergeCell ref="C29:E29"/>
    <mergeCell ref="C30:E30"/>
    <mergeCell ref="C31:E31"/>
    <mergeCell ref="C32:E32"/>
    <mergeCell ref="C38:E38"/>
    <mergeCell ref="C39:E39"/>
    <mergeCell ref="B11:D11"/>
    <mergeCell ref="B9:D9"/>
    <mergeCell ref="C33:E33"/>
    <mergeCell ref="C34:E34"/>
    <mergeCell ref="C35:E35"/>
    <mergeCell ref="B36:E36"/>
    <mergeCell ref="C21:E21"/>
    <mergeCell ref="C22:E22"/>
    <mergeCell ref="C23:E23"/>
    <mergeCell ref="C24:E24"/>
    <mergeCell ref="C25:E25"/>
    <mergeCell ref="C26:E26"/>
    <mergeCell ref="C20:E20"/>
    <mergeCell ref="B14:E14"/>
    <mergeCell ref="J11:M11"/>
    <mergeCell ref="N9:Q9"/>
    <mergeCell ref="N11:Q11"/>
    <mergeCell ref="R9:T9"/>
    <mergeCell ref="R11:T11"/>
  </mergeCells>
  <dataValidations count="9">
    <dataValidation type="list" allowBlank="1" showInputMessage="1" showErrorMessage="1" sqref="S39 I39 N37:N39" xr:uid="{00000000-0002-0000-0200-000000000000}">
      <formula1>$V$41:$V$46</formula1>
    </dataValidation>
    <dataValidation type="list" allowBlank="1" showInputMessage="1" showErrorMessage="1" sqref="H38:H39 M38:M39 R38:R39" xr:uid="{00000000-0002-0000-0200-000001000000}">
      <formula1>$W$13:$W$15</formula1>
    </dataValidation>
    <dataValidation type="list" allowBlank="1" showInputMessage="1" showErrorMessage="1" sqref="M37 H37 R37" xr:uid="{00000000-0002-0000-0200-000002000000}">
      <formula1>$W$13:$W$17</formula1>
    </dataValidation>
    <dataValidation type="list" allowBlank="1" showInputMessage="1" showErrorMessage="1" sqref="B12:E13" xr:uid="{00000000-0002-0000-0200-000003000000}">
      <formula1>$X$13:$X$17</formula1>
    </dataValidation>
    <dataValidation type="list" allowBlank="1" showInputMessage="1" showErrorMessage="1" sqref="M20:M35 R20:R35 H20:H35" xr:uid="{00000000-0002-0000-0200-000004000000}">
      <formula1>$W$19:$W$21</formula1>
    </dataValidation>
    <dataValidation type="list" allowBlank="1" showInputMessage="1" showErrorMessage="1" sqref="N28" xr:uid="{00000000-0002-0000-0200-000005000000}">
      <formula1>$V$37:$V$48</formula1>
    </dataValidation>
    <dataValidation type="list" allowBlank="1" showInputMessage="1" showErrorMessage="1" sqref="S28" xr:uid="{00000000-0002-0000-0200-000006000000}">
      <formula1>$V$37:$V$47</formula1>
    </dataValidation>
    <dataValidation type="list" allowBlank="1" showInputMessage="1" showErrorMessage="1" sqref="N24" xr:uid="{00000000-0002-0000-0200-000007000000}">
      <formula1>$V$37:$V$45</formula1>
    </dataValidation>
    <dataValidation type="list" allowBlank="1" showInputMessage="1" showErrorMessage="1" sqref="I37:I38" xr:uid="{00000000-0002-0000-0200-000008000000}">
      <formula1>$V$41:$V$52</formula1>
    </dataValidation>
  </dataValidation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4">
        <x14:dataValidation type="list" allowBlank="1" showInputMessage="1" showErrorMessage="1" xr:uid="{00000000-0002-0000-0200-000009000000}">
          <x14:formula1>
            <xm:f>'BH1-2 Progressionen'!$M:$M</xm:f>
          </x14:formula1>
          <xm:sqref>R11</xm:sqref>
        </x14:dataValidation>
        <x14:dataValidation type="list" allowBlank="1" showInputMessage="1" showErrorMessage="1" xr:uid="{00000000-0002-0000-0200-00000A000000}">
          <x14:formula1>
            <xm:f>'BH1-2 Progressionen'!$K:$K</xm:f>
          </x14:formula1>
          <xm:sqref>J11</xm:sqref>
        </x14:dataValidation>
        <x14:dataValidation type="list" allowBlank="1" showInputMessage="1" showErrorMessage="1" xr:uid="{00000000-0002-0000-0200-00000B000000}">
          <x14:formula1>
            <xm:f>'BH1-2 Progressionen'!$J:$J</xm:f>
          </x14:formula1>
          <xm:sqref>G11</xm:sqref>
        </x14:dataValidation>
        <x14:dataValidation type="list" allowBlank="1" showInputMessage="1" showErrorMessage="1" xr:uid="{00000000-0002-0000-0200-00000C000000}">
          <x14:formula1>
            <xm:f>'BH1-2 Progressionen'!$I:$I</xm:f>
          </x14:formula1>
          <xm:sqref>E11</xm:sqref>
        </x14:dataValidation>
        <x14:dataValidation type="list" allowBlank="1" showInputMessage="1" showErrorMessage="1" xr:uid="{00000000-0002-0000-0200-00000D000000}">
          <x14:formula1>
            <xm:f>'BH1-2 Progressionen'!$H:$H</xm:f>
          </x14:formula1>
          <xm:sqref>B11</xm:sqref>
        </x14:dataValidation>
        <x14:dataValidation type="list" allowBlank="1" showInputMessage="1" showErrorMessage="1" xr:uid="{00000000-0002-0000-0200-00000E000000}">
          <x14:formula1>
            <xm:f>'BH1-2 Progressionen'!$G:$G</xm:f>
          </x14:formula1>
          <xm:sqref>R9:R10</xm:sqref>
        </x14:dataValidation>
        <x14:dataValidation type="list" allowBlank="1" showInputMessage="1" showErrorMessage="1" xr:uid="{00000000-0002-0000-0200-00000F000000}">
          <x14:formula1>
            <xm:f>'BH1-2 Progressionen'!$F:$F</xm:f>
          </x14:formula1>
          <xm:sqref>N9:N10</xm:sqref>
        </x14:dataValidation>
        <x14:dataValidation type="list" allowBlank="1" showInputMessage="1" showErrorMessage="1" xr:uid="{00000000-0002-0000-0200-000010000000}">
          <x14:formula1>
            <xm:f>'BH1-2 Progressionen'!$E:$E</xm:f>
          </x14:formula1>
          <xm:sqref>J9:J10</xm:sqref>
        </x14:dataValidation>
        <x14:dataValidation type="list" allowBlank="1" showInputMessage="1" showErrorMessage="1" xr:uid="{00000000-0002-0000-0200-000011000000}">
          <x14:formula1>
            <xm:f>'BH1-2 Progressionen'!$D:$D</xm:f>
          </x14:formula1>
          <xm:sqref>G9:G10</xm:sqref>
        </x14:dataValidation>
        <x14:dataValidation type="list" allowBlank="1" showInputMessage="1" showErrorMessage="1" xr:uid="{00000000-0002-0000-0200-000012000000}">
          <x14:formula1>
            <xm:f>'BH1-2 Progressionen'!$C:$C</xm:f>
          </x14:formula1>
          <xm:sqref>E9:E10</xm:sqref>
        </x14:dataValidation>
        <x14:dataValidation type="list" allowBlank="1" showInputMessage="1" showErrorMessage="1" xr:uid="{00000000-0002-0000-0200-000013000000}">
          <x14:formula1>
            <xm:f>'BH1-2 Progressionen'!$B:$B</xm:f>
          </x14:formula1>
          <xm:sqref>B9:B10</xm:sqref>
        </x14:dataValidation>
        <x14:dataValidation type="list" allowBlank="1" showInputMessage="1" showErrorMessage="1" xr:uid="{00000000-0002-0000-0200-000014000000}">
          <x14:formula1>
            <xm:f>'BH1-2 Progressionen'!$L:$L</xm:f>
          </x14:formula1>
          <xm:sqref>N11</xm:sqref>
        </x14:dataValidation>
        <x14:dataValidation type="list" allowBlank="1" showInputMessage="1" showErrorMessage="1" xr:uid="{00000000-0002-0000-0200-000015000000}">
          <x14:formula1>
            <xm:f>' Unterkörper Progressionen '!$C:$C</xm:f>
          </x14:formula1>
          <xm:sqref>C16:E16</xm:sqref>
        </x14:dataValidation>
        <x14:dataValidation type="list" allowBlank="1" showInputMessage="1" showErrorMessage="1" xr:uid="{00000000-0002-0000-0200-000016000000}">
          <x14:formula1>
            <xm:f>' Unterkörper Progressionen '!$F:$F</xm:f>
          </x14:formula1>
          <xm:sqref>C21:E21</xm:sqref>
        </x14:dataValidation>
        <x14:dataValidation type="list" allowBlank="1" showInputMessage="1" showErrorMessage="1" xr:uid="{00000000-0002-0000-0200-000017000000}">
          <x14:formula1>
            <xm:f>' Unterkörper Progressionen '!$Q:$Q</xm:f>
          </x14:formula1>
          <xm:sqref>C32:E32</xm:sqref>
        </x14:dataValidation>
        <x14:dataValidation type="list" allowBlank="1" showInputMessage="1" showErrorMessage="1" xr:uid="{00000000-0002-0000-0200-000018000000}">
          <x14:formula1>
            <xm:f>' Unterkörper Progressionen '!$P:$P</xm:f>
          </x14:formula1>
          <xm:sqref>C31:E31</xm:sqref>
        </x14:dataValidation>
        <x14:dataValidation type="list" allowBlank="1" showInputMessage="1" showErrorMessage="1" xr:uid="{00000000-0002-0000-0200-000019000000}">
          <x14:formula1>
            <xm:f>' Unterkörper Progressionen '!$O:$O</xm:f>
          </x14:formula1>
          <xm:sqref>C30:E30</xm:sqref>
        </x14:dataValidation>
        <x14:dataValidation type="list" allowBlank="1" showInputMessage="1" showErrorMessage="1" xr:uid="{00000000-0002-0000-0200-00001A000000}">
          <x14:formula1>
            <xm:f>' Unterkörper Progressionen '!$K:$K</xm:f>
          </x14:formula1>
          <xm:sqref>C26:E26</xm:sqref>
        </x14:dataValidation>
        <x14:dataValidation type="list" allowBlank="1" showInputMessage="1" showErrorMessage="1" xr:uid="{00000000-0002-0000-0200-00001B000000}">
          <x14:formula1>
            <xm:f>' Unterkörper Progressionen '!$L:$L</xm:f>
          </x14:formula1>
          <xm:sqref>C27:E27</xm:sqref>
        </x14:dataValidation>
        <x14:dataValidation type="list" allowBlank="1" showInputMessage="1" showErrorMessage="1" xr:uid="{00000000-0002-0000-0200-00001C000000}">
          <x14:formula1>
            <xm:f>' Unterkörper Progressionen '!$J:$J</xm:f>
          </x14:formula1>
          <xm:sqref>C25:E25</xm:sqref>
        </x14:dataValidation>
        <x14:dataValidation type="list" allowBlank="1" showInputMessage="1" showErrorMessage="1" xr:uid="{00000000-0002-0000-0200-00001D000000}">
          <x14:formula1>
            <xm:f>' Unterkörper Progressionen '!$H:$H</xm:f>
          </x14:formula1>
          <xm:sqref>C23:E23</xm:sqref>
        </x14:dataValidation>
        <x14:dataValidation type="list" allowBlank="1" showInputMessage="1" showErrorMessage="1" xr:uid="{00000000-0002-0000-0200-00001E000000}">
          <x14:formula1>
            <xm:f>' Unterkörper Progressionen '!$I:$I</xm:f>
          </x14:formula1>
          <xm:sqref>C24:E24</xm:sqref>
        </x14:dataValidation>
        <x14:dataValidation type="list" allowBlank="1" showInputMessage="1" showErrorMessage="1" xr:uid="{00000000-0002-0000-0200-00001F000000}">
          <x14:formula1>
            <xm:f>' Unterkörper Progressionen '!$V:$V</xm:f>
          </x14:formula1>
          <xm:sqref>C39:E39</xm:sqref>
        </x14:dataValidation>
        <x14:dataValidation type="list" allowBlank="1" showInputMessage="1" showErrorMessage="1" xr:uid="{00000000-0002-0000-0200-000020000000}">
          <x14:formula1>
            <xm:f>' Unterkörper Progressionen '!$W:$W</xm:f>
          </x14:formula1>
          <xm:sqref>C38:E38</xm:sqref>
        </x14:dataValidation>
        <x14:dataValidation type="list" allowBlank="1" showInputMessage="1" showErrorMessage="1" xr:uid="{00000000-0002-0000-0200-000021000000}">
          <x14:formula1>
            <xm:f>' Unterkörper Progressionen '!$U:$U</xm:f>
          </x14:formula1>
          <xm:sqref>C37:E37</xm:sqref>
        </x14:dataValidation>
        <x14:dataValidation type="list" allowBlank="1" showInputMessage="1" showErrorMessage="1" xr:uid="{00000000-0002-0000-0200-000022000000}">
          <x14:formula1>
            <xm:f>' Unterkörper Progressionen '!$T:$T</xm:f>
          </x14:formula1>
          <xm:sqref>C35:E35</xm:sqref>
        </x14:dataValidation>
        <x14:dataValidation type="list" allowBlank="1" showInputMessage="1" showErrorMessage="1" xr:uid="{00000000-0002-0000-0200-000023000000}">
          <x14:formula1>
            <xm:f>' Unterkörper Progressionen '!$D:$D</xm:f>
          </x14:formula1>
          <xm:sqref>C17:E17</xm:sqref>
        </x14:dataValidation>
        <x14:dataValidation type="list" allowBlank="1" showInputMessage="1" showErrorMessage="1" xr:uid="{00000000-0002-0000-0200-000024000000}">
          <x14:formula1>
            <xm:f>' Unterkörper Progressionen '!$E:$E</xm:f>
          </x14:formula1>
          <xm:sqref>C20:E20</xm:sqref>
        </x14:dataValidation>
        <x14:dataValidation type="list" allowBlank="1" showInputMessage="1" showErrorMessage="1" xr:uid="{00000000-0002-0000-0200-000025000000}">
          <x14:formula1>
            <xm:f>' Unterkörper Progressionen '!$S:$S</xm:f>
          </x14:formula1>
          <xm:sqref>C34:E34</xm:sqref>
        </x14:dataValidation>
        <x14:dataValidation type="list" allowBlank="1" showInputMessage="1" showErrorMessage="1" xr:uid="{00000000-0002-0000-0200-000026000000}">
          <x14:formula1>
            <xm:f>' Unterkörper Progressionen '!$R:$R</xm:f>
          </x14:formula1>
          <xm:sqref>C33:E33</xm:sqref>
        </x14:dataValidation>
        <x14:dataValidation type="list" allowBlank="1" showInputMessage="1" showErrorMessage="1" xr:uid="{00000000-0002-0000-0200-000027000000}">
          <x14:formula1>
            <xm:f>' Unterkörper Progressionen '!$N:$N</xm:f>
          </x14:formula1>
          <xm:sqref>C29:E29</xm:sqref>
        </x14:dataValidation>
        <x14:dataValidation type="list" allowBlank="1" showInputMessage="1" showErrorMessage="1" xr:uid="{00000000-0002-0000-0200-000028000000}">
          <x14:formula1>
            <xm:f>' Unterkörper Progressionen '!$M:$M</xm:f>
          </x14:formula1>
          <xm:sqref>C28:E28</xm:sqref>
        </x14:dataValidation>
        <x14:dataValidation type="list" allowBlank="1" showInputMessage="1" showErrorMessage="1" xr:uid="{00000000-0002-0000-0200-000029000000}">
          <x14:formula1>
            <xm:f>' Unterkörper Progressionen '!$G:$G</xm:f>
          </x14:formula1>
          <xm:sqref>C22:E22</xm:sqref>
        </x14:dataValidation>
        <x14:dataValidation type="list" allowBlank="1" showInputMessage="1" showErrorMessage="1" xr:uid="{00000000-0002-0000-0200-00002A000000}">
          <x14:formula1>
            <xm:f>' Unterkörper Progressionen '!$B:$B</xm:f>
          </x14:formula1>
          <xm:sqref>C15:E15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W48"/>
  <sheetViews>
    <sheetView zoomScale="54" zoomScaleNormal="70" workbookViewId="0">
      <selection activeCell="X23" sqref="X23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x14ac:dyDescent="0.25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x14ac:dyDescent="0.25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e">
        <f>UnterkörperA!#REF!</f>
        <v>#REF!</v>
      </c>
      <c r="T10" s="63"/>
    </row>
    <row r="11" spans="2:23" ht="16.5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34" customFormat="1" ht="15.6" customHeight="1" x14ac:dyDescent="0.25">
      <c r="B12" s="598" t="s">
        <v>141</v>
      </c>
      <c r="C12" s="597"/>
      <c r="D12" s="597"/>
      <c r="E12" s="597" t="s">
        <v>147</v>
      </c>
      <c r="F12" s="597"/>
      <c r="G12" s="597"/>
      <c r="H12" s="597" t="s">
        <v>38</v>
      </c>
      <c r="I12" s="597"/>
      <c r="J12" s="597"/>
      <c r="K12" s="65"/>
      <c r="L12" s="597" t="str">
        <f>UnterkörperB!J9</f>
        <v>BW SQUAT TO TOUCH SIT ON BOX</v>
      </c>
      <c r="M12" s="597"/>
      <c r="N12" s="597"/>
      <c r="O12" s="597" t="str">
        <f>UnterkörperB!N9</f>
        <v>HINGE TO KB TOUCH</v>
      </c>
      <c r="P12" s="597"/>
      <c r="Q12" s="597"/>
      <c r="R12" s="597" t="str">
        <f>UnterkörperB!R9</f>
        <v>SUP 1-LEG ISO HINGE WITH HIP ROTATION</v>
      </c>
      <c r="S12" s="597"/>
      <c r="T12" s="601"/>
    </row>
    <row r="13" spans="2:23" s="34" customFormat="1" ht="15.6" customHeight="1" x14ac:dyDescent="0.25">
      <c r="B13" s="507"/>
      <c r="T13" s="35"/>
    </row>
    <row r="14" spans="2:23" s="34" customFormat="1" ht="15.6" customHeight="1" x14ac:dyDescent="0.25">
      <c r="B14" s="600" t="str">
        <f>UnterkörperB!B11</f>
        <v>ANKEL ROCKERS ROTATIONS</v>
      </c>
      <c r="C14" s="599"/>
      <c r="D14" s="599"/>
      <c r="E14" s="599" t="str">
        <f>UnterkörperB!E11</f>
        <v>2-LEG TOE STANCE CLOSE STAND</v>
      </c>
      <c r="F14" s="599"/>
      <c r="G14" s="599"/>
      <c r="H14" s="599" t="str">
        <f>UnterkörperB!G11</f>
        <v>ANKLE SKIPS</v>
      </c>
      <c r="I14" s="599"/>
      <c r="J14" s="599"/>
      <c r="L14" s="599" t="str">
        <f>UnterkörperB!J11</f>
        <v>A-SKIP</v>
      </c>
      <c r="M14" s="599"/>
      <c r="N14" s="599"/>
      <c r="O14" s="599" t="str">
        <f>UnterkörperB!N11</f>
        <v xml:space="preserve">1-LEG DROP &amp; CATCH </v>
      </c>
      <c r="P14" s="599"/>
      <c r="Q14" s="599"/>
      <c r="S14" s="34" t="str">
        <f>UnterkörperB!R11</f>
        <v>CMJ W/PASSIVE ELASTIC</v>
      </c>
      <c r="T14" s="35"/>
    </row>
    <row r="15" spans="2:23" ht="16.5" thickBot="1" x14ac:dyDescent="0.3">
      <c r="B15" s="576" t="str">
        <f>UnterkörperB!B12</f>
        <v>Level B</v>
      </c>
      <c r="C15" s="577"/>
      <c r="D15" s="577"/>
      <c r="E15" s="578"/>
      <c r="F15" s="1"/>
      <c r="G15" s="592" t="s">
        <v>352</v>
      </c>
      <c r="H15" s="593"/>
      <c r="I15" s="593"/>
      <c r="J15" s="593"/>
      <c r="K15" s="593"/>
      <c r="L15" s="593"/>
      <c r="M15" s="593"/>
      <c r="N15" s="593"/>
      <c r="O15" s="593"/>
      <c r="P15" s="593"/>
      <c r="Q15" s="593"/>
      <c r="R15" s="593"/>
      <c r="S15" s="593"/>
      <c r="T15" s="594"/>
    </row>
    <row r="16" spans="2:23" ht="21.6" customHeight="1" thickBot="1" x14ac:dyDescent="0.3">
      <c r="B16" s="579"/>
      <c r="C16" s="580"/>
      <c r="D16" s="580"/>
      <c r="E16" s="581"/>
      <c r="F16" s="1"/>
      <c r="G16" s="70" t="s">
        <v>865</v>
      </c>
      <c r="H16" s="582" t="s">
        <v>877</v>
      </c>
      <c r="I16" s="583"/>
      <c r="J16" s="71" t="s">
        <v>866</v>
      </c>
      <c r="K16" s="64"/>
      <c r="L16" s="70" t="s">
        <v>867</v>
      </c>
      <c r="M16" s="582" t="s">
        <v>878</v>
      </c>
      <c r="N16" s="583"/>
      <c r="O16" s="71" t="s">
        <v>868</v>
      </c>
      <c r="P16" s="64"/>
      <c r="Q16" s="70" t="s">
        <v>869</v>
      </c>
      <c r="R16" s="595" t="s">
        <v>879</v>
      </c>
      <c r="S16" s="596"/>
      <c r="T16" s="71" t="s">
        <v>870</v>
      </c>
    </row>
    <row r="17" spans="2:23" ht="16.5" thickBot="1" x14ac:dyDescent="0.3">
      <c r="B17" s="589" t="s">
        <v>8</v>
      </c>
      <c r="C17" s="590"/>
      <c r="D17" s="590"/>
      <c r="E17" s="591"/>
      <c r="F17" s="72"/>
      <c r="G17" s="15" t="s">
        <v>9</v>
      </c>
      <c r="H17" s="16" t="s">
        <v>10</v>
      </c>
      <c r="I17" s="16" t="s">
        <v>11</v>
      </c>
      <c r="J17" s="17" t="s">
        <v>880</v>
      </c>
      <c r="K17" s="1"/>
      <c r="L17" s="15" t="s">
        <v>9</v>
      </c>
      <c r="M17" s="16" t="s">
        <v>10</v>
      </c>
      <c r="N17" s="16" t="s">
        <v>11</v>
      </c>
      <c r="O17" s="17" t="s">
        <v>880</v>
      </c>
      <c r="P17" s="1"/>
      <c r="Q17" s="40" t="s">
        <v>9</v>
      </c>
      <c r="R17" s="41" t="s">
        <v>10</v>
      </c>
      <c r="S17" s="41" t="s">
        <v>11</v>
      </c>
      <c r="T17" s="42" t="s">
        <v>880</v>
      </c>
    </row>
    <row r="18" spans="2:23" s="1" customFormat="1" ht="19.899999999999999" customHeight="1" x14ac:dyDescent="0.25">
      <c r="B18" s="9">
        <v>1</v>
      </c>
      <c r="C18" s="560" t="s">
        <v>218</v>
      </c>
      <c r="D18" s="560"/>
      <c r="E18" s="561"/>
      <c r="G18" s="18" t="s">
        <v>12</v>
      </c>
      <c r="H18" s="19"/>
      <c r="I18" s="19" t="s">
        <v>14</v>
      </c>
      <c r="J18" s="20" t="s">
        <v>16</v>
      </c>
      <c r="L18" s="18" t="s">
        <v>12</v>
      </c>
      <c r="M18" s="19"/>
      <c r="N18" s="19" t="s">
        <v>14</v>
      </c>
      <c r="O18" s="20" t="s">
        <v>16</v>
      </c>
      <c r="Q18" s="43" t="s">
        <v>12</v>
      </c>
      <c r="R18" s="44"/>
      <c r="S18" s="44" t="s">
        <v>14</v>
      </c>
      <c r="T18" s="45" t="s">
        <v>16</v>
      </c>
    </row>
    <row r="19" spans="2:23" s="1" customFormat="1" ht="19.899999999999999" customHeight="1" x14ac:dyDescent="0.25">
      <c r="B19" s="3">
        <v>2</v>
      </c>
      <c r="C19" s="567" t="s">
        <v>481</v>
      </c>
      <c r="D19" s="567"/>
      <c r="E19" s="568"/>
      <c r="G19" s="67" t="s">
        <v>12</v>
      </c>
      <c r="H19" s="68"/>
      <c r="I19" s="68" t="s">
        <v>14</v>
      </c>
      <c r="J19" s="69" t="s">
        <v>560</v>
      </c>
      <c r="L19" s="67" t="s">
        <v>12</v>
      </c>
      <c r="M19" s="68"/>
      <c r="N19" s="68" t="s">
        <v>14</v>
      </c>
      <c r="O19" s="69" t="s">
        <v>560</v>
      </c>
      <c r="Q19" s="75" t="s">
        <v>12</v>
      </c>
      <c r="R19" s="76"/>
      <c r="S19" s="76" t="s">
        <v>14</v>
      </c>
      <c r="T19" s="77" t="s">
        <v>560</v>
      </c>
    </row>
    <row r="20" spans="2:23" s="1" customFormat="1" ht="19.899999999999999" customHeight="1" thickBot="1" x14ac:dyDescent="0.3">
      <c r="B20" s="4">
        <v>3</v>
      </c>
      <c r="C20" s="565" t="s">
        <v>482</v>
      </c>
      <c r="D20" s="565"/>
      <c r="E20" s="566"/>
      <c r="G20" s="24" t="s">
        <v>12</v>
      </c>
      <c r="H20" s="25"/>
      <c r="I20" s="25" t="s">
        <v>14</v>
      </c>
      <c r="J20" s="26" t="s">
        <v>560</v>
      </c>
      <c r="L20" s="24" t="s">
        <v>12</v>
      </c>
      <c r="M20" s="25"/>
      <c r="N20" s="25" t="s">
        <v>14</v>
      </c>
      <c r="O20" s="26" t="s">
        <v>560</v>
      </c>
      <c r="Q20" s="46" t="s">
        <v>12</v>
      </c>
      <c r="R20" s="47"/>
      <c r="S20" s="47" t="s">
        <v>14</v>
      </c>
      <c r="T20" s="48" t="s">
        <v>560</v>
      </c>
    </row>
    <row r="21" spans="2:23" s="2" customFormat="1" ht="4.9000000000000004" customHeight="1" thickBot="1" x14ac:dyDescent="0.3">
      <c r="B21" s="73"/>
      <c r="Q21" s="49"/>
      <c r="R21" s="49"/>
      <c r="S21" s="49"/>
      <c r="T21" s="74"/>
    </row>
    <row r="22" spans="2:23" s="1" customFormat="1" ht="16.5" thickBot="1" x14ac:dyDescent="0.3">
      <c r="B22" s="793" t="s">
        <v>871</v>
      </c>
      <c r="C22" s="563"/>
      <c r="D22" s="563"/>
      <c r="E22" s="564"/>
      <c r="G22" s="80" t="s">
        <v>880</v>
      </c>
      <c r="H22" s="81" t="s">
        <v>10</v>
      </c>
      <c r="I22" s="81" t="s">
        <v>11</v>
      </c>
      <c r="J22" s="82" t="s">
        <v>880</v>
      </c>
      <c r="K22" s="72"/>
      <c r="L22" s="80" t="str">
        <f>G22</f>
        <v>GEWICHT</v>
      </c>
      <c r="M22" s="81" t="s">
        <v>10</v>
      </c>
      <c r="N22" s="81" t="s">
        <v>11</v>
      </c>
      <c r="O22" s="82" t="s">
        <v>880</v>
      </c>
      <c r="P22" s="72"/>
      <c r="Q22" s="83" t="str">
        <f>L22</f>
        <v>GEWICHT</v>
      </c>
      <c r="R22" s="84" t="s">
        <v>10</v>
      </c>
      <c r="S22" s="84" t="s">
        <v>11</v>
      </c>
      <c r="T22" s="85" t="s">
        <v>880</v>
      </c>
      <c r="W22" s="36"/>
    </row>
    <row r="23" spans="2:23" s="1" customFormat="1" ht="19.899999999999999" customHeight="1" x14ac:dyDescent="0.25">
      <c r="B23" s="9">
        <v>1</v>
      </c>
      <c r="C23" s="560" t="s">
        <v>483</v>
      </c>
      <c r="D23" s="560"/>
      <c r="E23" s="561"/>
      <c r="G23" s="21"/>
      <c r="H23" s="22" t="s">
        <v>13</v>
      </c>
      <c r="I23" s="22" t="s">
        <v>7</v>
      </c>
      <c r="J23" s="23"/>
      <c r="L23" s="21"/>
      <c r="M23" s="22" t="s">
        <v>13</v>
      </c>
      <c r="N23" s="22" t="str">
        <f t="shared" ref="N23:N31" si="0">I23</f>
        <v>1x20</v>
      </c>
      <c r="O23" s="23"/>
      <c r="Q23" s="50"/>
      <c r="R23" s="52" t="s">
        <v>13</v>
      </c>
      <c r="S23" s="52" t="str">
        <f>N23</f>
        <v>1x20</v>
      </c>
      <c r="T23" s="53"/>
      <c r="W23" s="36"/>
    </row>
    <row r="24" spans="2:23" s="1" customFormat="1" ht="19.899999999999999" customHeight="1" x14ac:dyDescent="0.25">
      <c r="B24" s="3">
        <v>2</v>
      </c>
      <c r="C24" s="567" t="s">
        <v>487</v>
      </c>
      <c r="D24" s="567"/>
      <c r="E24" s="568"/>
      <c r="G24" s="27"/>
      <c r="H24" s="28" t="s">
        <v>13</v>
      </c>
      <c r="I24" s="28" t="s">
        <v>7</v>
      </c>
      <c r="J24" s="29"/>
      <c r="L24" s="27"/>
      <c r="M24" s="28" t="s">
        <v>13</v>
      </c>
      <c r="N24" s="28" t="str">
        <f t="shared" si="0"/>
        <v>1x20</v>
      </c>
      <c r="O24" s="29"/>
      <c r="Q24" s="54"/>
      <c r="R24" s="56" t="s">
        <v>13</v>
      </c>
      <c r="S24" s="56" t="str">
        <f>N24</f>
        <v>1x20</v>
      </c>
      <c r="T24" s="57"/>
      <c r="W24" s="36"/>
    </row>
    <row r="25" spans="2:23" s="1" customFormat="1" ht="19.899999999999999" customHeight="1" thickBot="1" x14ac:dyDescent="0.3">
      <c r="B25" s="4">
        <v>3</v>
      </c>
      <c r="C25" s="565" t="s">
        <v>27</v>
      </c>
      <c r="D25" s="565"/>
      <c r="E25" s="566"/>
      <c r="G25" s="24"/>
      <c r="H25" s="25" t="s">
        <v>13</v>
      </c>
      <c r="I25" s="25" t="s">
        <v>561</v>
      </c>
      <c r="J25" s="26"/>
      <c r="L25" s="24"/>
      <c r="M25" s="25" t="s">
        <v>13</v>
      </c>
      <c r="N25" s="25" t="str">
        <f t="shared" si="0"/>
        <v>1x10ea</v>
      </c>
      <c r="O25" s="26"/>
      <c r="Q25" s="46"/>
      <c r="R25" s="47" t="s">
        <v>13</v>
      </c>
      <c r="S25" s="47" t="str">
        <f>N25</f>
        <v>1x10ea</v>
      </c>
      <c r="T25" s="48"/>
    </row>
    <row r="26" spans="2:23" s="1" customFormat="1" ht="19.899999999999999" customHeight="1" x14ac:dyDescent="0.25">
      <c r="B26" s="9">
        <v>4</v>
      </c>
      <c r="C26" s="560" t="s">
        <v>490</v>
      </c>
      <c r="D26" s="560"/>
      <c r="E26" s="561"/>
      <c r="G26" s="21"/>
      <c r="H26" s="22" t="s">
        <v>13</v>
      </c>
      <c r="I26" s="22" t="s">
        <v>7</v>
      </c>
      <c r="J26" s="23"/>
      <c r="L26" s="21"/>
      <c r="M26" s="22" t="s">
        <v>13</v>
      </c>
      <c r="N26" s="22" t="str">
        <f t="shared" si="0"/>
        <v>1x20</v>
      </c>
      <c r="O26" s="23"/>
      <c r="Q26" s="50"/>
      <c r="R26" s="52" t="s">
        <v>13</v>
      </c>
      <c r="S26" s="52" t="s">
        <v>7</v>
      </c>
      <c r="T26" s="53"/>
    </row>
    <row r="27" spans="2:23" s="1" customFormat="1" ht="19.899999999999999" customHeight="1" x14ac:dyDescent="0.25">
      <c r="B27" s="3">
        <v>5</v>
      </c>
      <c r="C27" s="567" t="s">
        <v>498</v>
      </c>
      <c r="D27" s="567"/>
      <c r="E27" s="568"/>
      <c r="G27" s="27"/>
      <c r="H27" s="28" t="s">
        <v>13</v>
      </c>
      <c r="I27" s="28" t="s">
        <v>7</v>
      </c>
      <c r="J27" s="29"/>
      <c r="L27" s="27"/>
      <c r="M27" s="28" t="s">
        <v>13</v>
      </c>
      <c r="N27" s="28" t="str">
        <f t="shared" si="0"/>
        <v>1x20</v>
      </c>
      <c r="O27" s="29"/>
      <c r="Q27" s="54"/>
      <c r="R27" s="56" t="s">
        <v>13</v>
      </c>
      <c r="S27" s="28" t="s">
        <v>7</v>
      </c>
      <c r="T27" s="57"/>
    </row>
    <row r="28" spans="2:23" s="1" customFormat="1" ht="19.899999999999999" customHeight="1" thickBot="1" x14ac:dyDescent="0.3">
      <c r="B28" s="4">
        <v>6</v>
      </c>
      <c r="C28" s="565" t="s">
        <v>75</v>
      </c>
      <c r="D28" s="565"/>
      <c r="E28" s="566"/>
      <c r="G28" s="24"/>
      <c r="H28" s="25" t="s">
        <v>13</v>
      </c>
      <c r="I28" s="25" t="s">
        <v>273</v>
      </c>
      <c r="J28" s="26"/>
      <c r="L28" s="24"/>
      <c r="M28" s="25" t="s">
        <v>13</v>
      </c>
      <c r="N28" s="25" t="str">
        <f t="shared" si="0"/>
        <v>3x10s</v>
      </c>
      <c r="O28" s="26"/>
      <c r="Q28" s="46"/>
      <c r="R28" s="47" t="s">
        <v>13</v>
      </c>
      <c r="S28" s="47" t="str">
        <f>N28</f>
        <v>3x10s</v>
      </c>
      <c r="T28" s="48"/>
    </row>
    <row r="29" spans="2:23" s="1" customFormat="1" ht="19.899999999999999" customHeight="1" x14ac:dyDescent="0.25">
      <c r="B29" s="9">
        <v>7</v>
      </c>
      <c r="C29" s="560" t="s">
        <v>264</v>
      </c>
      <c r="D29" s="560"/>
      <c r="E29" s="561"/>
      <c r="G29" s="21"/>
      <c r="H29" s="22" t="s">
        <v>13</v>
      </c>
      <c r="I29" s="22" t="s">
        <v>7</v>
      </c>
      <c r="J29" s="23"/>
      <c r="L29" s="21"/>
      <c r="M29" s="22" t="s">
        <v>13</v>
      </c>
      <c r="N29" s="22" t="str">
        <f t="shared" si="0"/>
        <v>1x20</v>
      </c>
      <c r="O29" s="23"/>
      <c r="Q29" s="50"/>
      <c r="R29" s="52" t="s">
        <v>13</v>
      </c>
      <c r="S29" s="52" t="str">
        <f>N29</f>
        <v>1x20</v>
      </c>
      <c r="T29" s="53"/>
    </row>
    <row r="30" spans="2:23" s="1" customFormat="1" ht="19.899999999999999" customHeight="1" x14ac:dyDescent="0.25">
      <c r="B30" s="3">
        <v>8</v>
      </c>
      <c r="C30" s="567" t="s">
        <v>506</v>
      </c>
      <c r="D30" s="567"/>
      <c r="E30" s="568"/>
      <c r="G30" s="27"/>
      <c r="H30" s="28" t="s">
        <v>13</v>
      </c>
      <c r="I30" s="28" t="s">
        <v>7</v>
      </c>
      <c r="J30" s="29"/>
      <c r="L30" s="27"/>
      <c r="M30" s="28" t="s">
        <v>13</v>
      </c>
      <c r="N30" s="28" t="str">
        <f t="shared" si="0"/>
        <v>1x20</v>
      </c>
      <c r="O30" s="29"/>
      <c r="Q30" s="54"/>
      <c r="R30" s="56" t="s">
        <v>13</v>
      </c>
      <c r="S30" s="56" t="str">
        <f>N30</f>
        <v>1x20</v>
      </c>
      <c r="T30" s="57"/>
    </row>
    <row r="31" spans="2:23" s="1" customFormat="1" ht="19.899999999999999" customHeight="1" thickBot="1" x14ac:dyDescent="0.3">
      <c r="B31" s="4">
        <v>9</v>
      </c>
      <c r="C31" s="565" t="s">
        <v>203</v>
      </c>
      <c r="D31" s="565"/>
      <c r="E31" s="566"/>
      <c r="G31" s="24"/>
      <c r="H31" s="25" t="s">
        <v>13</v>
      </c>
      <c r="I31" s="25" t="s">
        <v>7</v>
      </c>
      <c r="J31" s="26"/>
      <c r="L31" s="24"/>
      <c r="M31" s="25" t="s">
        <v>13</v>
      </c>
      <c r="N31" s="25" t="str">
        <f t="shared" si="0"/>
        <v>1x20</v>
      </c>
      <c r="O31" s="26"/>
      <c r="Q31" s="46"/>
      <c r="R31" s="47" t="s">
        <v>13</v>
      </c>
      <c r="S31" s="25" t="str">
        <f>N31</f>
        <v>1x20</v>
      </c>
      <c r="T31" s="48"/>
    </row>
    <row r="32" spans="2:23" s="1" customFormat="1" ht="19.899999999999999" customHeight="1" x14ac:dyDescent="0.25">
      <c r="B32" s="9">
        <v>10</v>
      </c>
      <c r="C32" s="560" t="s">
        <v>147</v>
      </c>
      <c r="D32" s="560"/>
      <c r="E32" s="561"/>
      <c r="G32" s="21"/>
      <c r="H32" s="22" t="s">
        <v>13</v>
      </c>
      <c r="I32" s="22" t="s">
        <v>562</v>
      </c>
      <c r="J32" s="23"/>
      <c r="L32" s="21"/>
      <c r="M32" s="22" t="s">
        <v>13</v>
      </c>
      <c r="N32" s="22" t="s">
        <v>563</v>
      </c>
      <c r="O32" s="23"/>
      <c r="Q32" s="21"/>
      <c r="R32" s="22" t="s">
        <v>13</v>
      </c>
      <c r="S32" s="22" t="s">
        <v>564</v>
      </c>
      <c r="T32" s="23"/>
    </row>
    <row r="33" spans="2:22" s="1" customFormat="1" ht="19.899999999999999" customHeight="1" x14ac:dyDescent="0.25">
      <c r="B33" s="3">
        <v>11</v>
      </c>
      <c r="C33" s="567" t="s">
        <v>205</v>
      </c>
      <c r="D33" s="567"/>
      <c r="E33" s="568"/>
      <c r="G33" s="27"/>
      <c r="H33" s="28" t="s">
        <v>13</v>
      </c>
      <c r="I33" s="28" t="s">
        <v>7</v>
      </c>
      <c r="J33" s="29"/>
      <c r="L33" s="27"/>
      <c r="M33" s="28" t="s">
        <v>13</v>
      </c>
      <c r="N33" s="28" t="str">
        <f>I33</f>
        <v>1x20</v>
      </c>
      <c r="O33" s="29"/>
      <c r="Q33" s="27"/>
      <c r="R33" s="28" t="s">
        <v>13</v>
      </c>
      <c r="S33" s="28" t="str">
        <f>N33</f>
        <v>1x20</v>
      </c>
      <c r="T33" s="29"/>
    </row>
    <row r="34" spans="2:22" s="1" customFormat="1" ht="19.899999999999999" customHeight="1" thickBot="1" x14ac:dyDescent="0.3">
      <c r="B34" s="4">
        <v>12</v>
      </c>
      <c r="C34" s="565" t="s">
        <v>512</v>
      </c>
      <c r="D34" s="565"/>
      <c r="E34" s="566"/>
      <c r="G34" s="24"/>
      <c r="H34" s="25" t="s">
        <v>13</v>
      </c>
      <c r="I34" s="25" t="s">
        <v>7</v>
      </c>
      <c r="J34" s="26"/>
      <c r="L34" s="24"/>
      <c r="M34" s="25" t="s">
        <v>13</v>
      </c>
      <c r="N34" s="25" t="str">
        <f>I34</f>
        <v>1x20</v>
      </c>
      <c r="O34" s="26"/>
      <c r="Q34" s="46"/>
      <c r="R34" s="47" t="s">
        <v>13</v>
      </c>
      <c r="S34" s="47" t="str">
        <f>N34</f>
        <v>1x20</v>
      </c>
      <c r="T34" s="48"/>
    </row>
    <row r="35" spans="2:22" s="2" customFormat="1" ht="16.149999999999999" customHeight="1" thickBot="1" x14ac:dyDescent="0.3">
      <c r="B35" s="562" t="s">
        <v>874</v>
      </c>
      <c r="C35" s="563"/>
      <c r="D35" s="563"/>
      <c r="E35" s="564"/>
      <c r="F35" s="79"/>
      <c r="G35" s="557"/>
      <c r="H35" s="55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9"/>
    </row>
    <row r="36" spans="2:22" s="1" customFormat="1" ht="19.899999999999999" customHeight="1" x14ac:dyDescent="0.25">
      <c r="B36" s="9">
        <v>13</v>
      </c>
      <c r="C36" s="560" t="s">
        <v>522</v>
      </c>
      <c r="D36" s="560"/>
      <c r="E36" s="561"/>
      <c r="G36" s="21"/>
      <c r="H36" s="22" t="s">
        <v>13</v>
      </c>
      <c r="I36" s="22" t="s">
        <v>209</v>
      </c>
      <c r="J36" s="23"/>
      <c r="L36" s="21"/>
      <c r="M36" s="22" t="s">
        <v>13</v>
      </c>
      <c r="N36" s="22" t="s">
        <v>209</v>
      </c>
      <c r="O36" s="23"/>
      <c r="Q36" s="21"/>
      <c r="R36" s="22" t="s">
        <v>13</v>
      </c>
      <c r="S36" s="22" t="str">
        <f>N36</f>
        <v>1x45s</v>
      </c>
      <c r="T36" s="23"/>
    </row>
    <row r="37" spans="2:22" s="1" customFormat="1" ht="19.899999999999999" customHeight="1" x14ac:dyDescent="0.25">
      <c r="B37" s="3">
        <v>14</v>
      </c>
      <c r="C37" s="567" t="s">
        <v>523</v>
      </c>
      <c r="D37" s="567"/>
      <c r="E37" s="568"/>
      <c r="G37" s="18"/>
      <c r="H37" s="28" t="s">
        <v>13</v>
      </c>
      <c r="I37" s="19" t="s">
        <v>209</v>
      </c>
      <c r="J37" s="20"/>
      <c r="L37" s="18"/>
      <c r="M37" s="19" t="str">
        <f>H37</f>
        <v>8-9</v>
      </c>
      <c r="N37" s="19" t="str">
        <f>I37</f>
        <v>1x45s</v>
      </c>
      <c r="O37" s="20"/>
      <c r="Q37" s="18"/>
      <c r="R37" s="19" t="str">
        <f>M37</f>
        <v>8-9</v>
      </c>
      <c r="S37" s="19" t="str">
        <f>N37</f>
        <v>1x45s</v>
      </c>
      <c r="T37" s="20"/>
    </row>
    <row r="38" spans="2:22" s="1" customFormat="1" ht="19.899999999999999" customHeight="1" x14ac:dyDescent="0.25">
      <c r="B38" s="3">
        <v>15</v>
      </c>
      <c r="C38" s="567" t="s">
        <v>515</v>
      </c>
      <c r="D38" s="567"/>
      <c r="E38" s="568"/>
      <c r="G38" s="27"/>
      <c r="H38" s="28" t="s">
        <v>13</v>
      </c>
      <c r="I38" s="28" t="s">
        <v>209</v>
      </c>
      <c r="J38" s="29"/>
      <c r="L38" s="27"/>
      <c r="M38" s="28" t="s">
        <v>13</v>
      </c>
      <c r="N38" s="28" t="str">
        <f>I38</f>
        <v>1x45s</v>
      </c>
      <c r="O38" s="29"/>
      <c r="Q38" s="27"/>
      <c r="R38" s="28" t="s">
        <v>13</v>
      </c>
      <c r="S38" s="28" t="str">
        <f>N36</f>
        <v>1x45s</v>
      </c>
      <c r="T38" s="29"/>
    </row>
    <row r="39" spans="2:22" s="1" customFormat="1" ht="19.899999999999999" customHeight="1" thickBot="1" x14ac:dyDescent="0.3">
      <c r="B39" s="4">
        <v>16</v>
      </c>
      <c r="C39" s="571" t="s">
        <v>609</v>
      </c>
      <c r="D39" s="571"/>
      <c r="E39" s="572"/>
      <c r="F39" s="66"/>
      <c r="G39" s="24"/>
      <c r="H39" s="25" t="s">
        <v>13</v>
      </c>
      <c r="I39" s="25" t="s">
        <v>574</v>
      </c>
      <c r="J39" s="26"/>
      <c r="K39" s="66"/>
      <c r="L39" s="24"/>
      <c r="M39" s="25" t="s">
        <v>13</v>
      </c>
      <c r="N39" s="25" t="str">
        <f>I39</f>
        <v>1x45ea</v>
      </c>
      <c r="O39" s="26"/>
      <c r="P39" s="66"/>
      <c r="Q39" s="24"/>
      <c r="R39" s="25" t="s">
        <v>13</v>
      </c>
      <c r="S39" s="25" t="str">
        <f>I39</f>
        <v>1x45ea</v>
      </c>
      <c r="T39" s="26"/>
    </row>
    <row r="40" spans="2:22" x14ac:dyDescent="0.25">
      <c r="V40" s="1" t="s">
        <v>288</v>
      </c>
    </row>
    <row r="41" spans="2:22" x14ac:dyDescent="0.25">
      <c r="V41" s="1" t="s">
        <v>17</v>
      </c>
    </row>
    <row r="42" spans="2:22" x14ac:dyDescent="0.25">
      <c r="V42" s="1" t="s">
        <v>18</v>
      </c>
    </row>
    <row r="43" spans="2:22" x14ac:dyDescent="0.25">
      <c r="V43" s="1" t="s">
        <v>15</v>
      </c>
    </row>
    <row r="44" spans="2:22" x14ac:dyDescent="0.25">
      <c r="V44" s="1" t="s">
        <v>209</v>
      </c>
    </row>
    <row r="45" spans="2:22" x14ac:dyDescent="0.25">
      <c r="V45" s="1" t="s">
        <v>210</v>
      </c>
    </row>
    <row r="46" spans="2:22" x14ac:dyDescent="0.25">
      <c r="V46" s="1" t="s">
        <v>273</v>
      </c>
    </row>
    <row r="47" spans="2:22" x14ac:dyDescent="0.25">
      <c r="V47" s="1" t="s">
        <v>7</v>
      </c>
    </row>
    <row r="48" spans="2:22" x14ac:dyDescent="0.25">
      <c r="V48" s="1" t="s">
        <v>574</v>
      </c>
    </row>
  </sheetData>
  <mergeCells count="41">
    <mergeCell ref="O2:T7"/>
    <mergeCell ref="M10:N10"/>
    <mergeCell ref="O12:Q12"/>
    <mergeCell ref="O14:Q14"/>
    <mergeCell ref="B15:E16"/>
    <mergeCell ref="G15:T15"/>
    <mergeCell ref="H16:I16"/>
    <mergeCell ref="M16:N16"/>
    <mergeCell ref="R16:S16"/>
    <mergeCell ref="H14:J14"/>
    <mergeCell ref="L12:N12"/>
    <mergeCell ref="L14:N14"/>
    <mergeCell ref="R12:T12"/>
    <mergeCell ref="C37:E37"/>
    <mergeCell ref="C38:E38"/>
    <mergeCell ref="C39:E39"/>
    <mergeCell ref="B12:D12"/>
    <mergeCell ref="E12:G12"/>
    <mergeCell ref="E14:G14"/>
    <mergeCell ref="B14:D14"/>
    <mergeCell ref="C30:E30"/>
    <mergeCell ref="C31:E31"/>
    <mergeCell ref="C32:E32"/>
    <mergeCell ref="C33:E33"/>
    <mergeCell ref="C34:E34"/>
    <mergeCell ref="B35:E35"/>
    <mergeCell ref="C24:E24"/>
    <mergeCell ref="C25:E25"/>
    <mergeCell ref="C26:E26"/>
    <mergeCell ref="G35:T35"/>
    <mergeCell ref="C36:E36"/>
    <mergeCell ref="H12:J12"/>
    <mergeCell ref="C27:E27"/>
    <mergeCell ref="C28:E28"/>
    <mergeCell ref="C29:E29"/>
    <mergeCell ref="B17:E17"/>
    <mergeCell ref="C18:E18"/>
    <mergeCell ref="C19:E19"/>
    <mergeCell ref="C20:E20"/>
    <mergeCell ref="B22:E22"/>
    <mergeCell ref="C23:E23"/>
  </mergeCells>
  <dataValidations count="6">
    <dataValidation type="list" allowBlank="1" showInputMessage="1" showErrorMessage="1" sqref="I24 I27 N27 S27" xr:uid="{00000000-0002-0000-0300-000000000000}">
      <formula1>$V$40:$V$48</formula1>
    </dataValidation>
    <dataValidation type="list" allowBlank="1" showInputMessage="1" showErrorMessage="1" sqref="S31 I39" xr:uid="{00000000-0002-0000-0300-000001000000}">
      <formula1>$V$40:$V$50</formula1>
    </dataValidation>
    <dataValidation type="list" allowBlank="1" showInputMessage="1" showErrorMessage="1" sqref="N31" xr:uid="{00000000-0002-0000-0300-000002000000}">
      <formula1>$V$40:$V$51</formula1>
    </dataValidation>
    <dataValidation type="list" allowBlank="1" showInputMessage="1" showErrorMessage="1" sqref="I31 I34" xr:uid="{00000000-0002-0000-0300-000003000000}">
      <formula1>$V$40:$V$49</formula1>
    </dataValidation>
    <dataValidation type="list" allowBlank="1" showInputMessage="1" showErrorMessage="1" sqref="N38:N39 I36:I38 S36 N36 S38" xr:uid="{00000000-0002-0000-0300-000004000000}">
      <formula1>$V$40:$V$45</formula1>
    </dataValidation>
    <dataValidation type="list" allowBlank="1" showInputMessage="1" showErrorMessage="1" sqref="M23:M34 H23:H34 R23:R34 R38:R39 H36:H39 R36 M36 M38:M39" xr:uid="{00000000-0002-0000-0300-000005000000}">
      <formula1>$W$22:$W$24</formula1>
    </dataValidation>
  </dataValidation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00000000-0002-0000-0300-000006000000}">
          <x14:formula1>
            <xm:f>'Oberkörper Progressionen '!$I:$I</xm:f>
          </x14:formula1>
          <xm:sqref>C27:E27</xm:sqref>
        </x14:dataValidation>
        <x14:dataValidation type="list" allowBlank="1" showInputMessage="1" showErrorMessage="1" xr:uid="{00000000-0002-0000-0300-000007000000}">
          <x14:formula1>
            <xm:f>'Oberkörper Progressionen '!$G:$G</xm:f>
          </x14:formula1>
          <xm:sqref>C25:E25</xm:sqref>
        </x14:dataValidation>
        <x14:dataValidation type="list" allowBlank="1" showInputMessage="1" showErrorMessage="1" xr:uid="{00000000-0002-0000-0300-000008000000}">
          <x14:formula1>
            <xm:f>'Oberkörper Progressionen '!$M:$M</xm:f>
          </x14:formula1>
          <xm:sqref>C31:E31</xm:sqref>
        </x14:dataValidation>
        <x14:dataValidation type="list" allowBlank="1" showInputMessage="1" showErrorMessage="1" xr:uid="{00000000-0002-0000-0300-000009000000}">
          <x14:formula1>
            <xm:f>'Oberkörper Progressionen '!$J:$J</xm:f>
          </x14:formula1>
          <xm:sqref>C28:E28</xm:sqref>
        </x14:dataValidation>
        <x14:dataValidation type="list" allowBlank="1" showInputMessage="1" showErrorMessage="1" xr:uid="{00000000-0002-0000-0300-00000A000000}">
          <x14:formula1>
            <xm:f>'Oberkörper Progressionen '!$H:$H</xm:f>
          </x14:formula1>
          <xm:sqref>C26:E26</xm:sqref>
        </x14:dataValidation>
        <x14:dataValidation type="list" allowBlank="1" showInputMessage="1" showErrorMessage="1" xr:uid="{00000000-0002-0000-0300-00000B000000}">
          <x14:formula1>
            <xm:f>'Oberkörper Progressionen '!$T:$T</xm:f>
          </x14:formula1>
          <xm:sqref>C37:E37</xm:sqref>
        </x14:dataValidation>
        <x14:dataValidation type="list" allowBlank="1" showInputMessage="1" showErrorMessage="1" xr:uid="{00000000-0002-0000-0300-00000D000000}">
          <x14:formula1>
            <xm:f>'Oberkörper Progressionen '!$E:$E</xm:f>
          </x14:formula1>
          <xm:sqref>C23:E23</xm:sqref>
        </x14:dataValidation>
        <x14:dataValidation type="list" allowBlank="1" showInputMessage="1" showErrorMessage="1" xr:uid="{00000000-0002-0000-0300-00000E000000}">
          <x14:formula1>
            <xm:f>'Oberkörper Progressionen '!$F:$F</xm:f>
          </x14:formula1>
          <xm:sqref>C24:E24</xm:sqref>
        </x14:dataValidation>
        <x14:dataValidation type="list" allowBlank="1" showInputMessage="1" showErrorMessage="1" xr:uid="{00000000-0002-0000-0300-00000F000000}">
          <x14:formula1>
            <xm:f>'Oberkörper Progressionen '!$K:$K</xm:f>
          </x14:formula1>
          <xm:sqref>C29:E29</xm:sqref>
        </x14:dataValidation>
        <x14:dataValidation type="list" allowBlank="1" showInputMessage="1" showErrorMessage="1" xr:uid="{00000000-0002-0000-0300-000010000000}">
          <x14:formula1>
            <xm:f>'Oberkörper Progressionen '!$L:$L</xm:f>
          </x14:formula1>
          <xm:sqref>C30:E30</xm:sqref>
        </x14:dataValidation>
        <x14:dataValidation type="list" allowBlank="1" showInputMessage="1" showErrorMessage="1" xr:uid="{00000000-0002-0000-0300-000011000000}">
          <x14:formula1>
            <xm:f>'Oberkörper Progressionen '!$N:$N</xm:f>
          </x14:formula1>
          <xm:sqref>C32:E32</xm:sqref>
        </x14:dataValidation>
        <x14:dataValidation type="list" allowBlank="1" showInputMessage="1" showErrorMessage="1" xr:uid="{00000000-0002-0000-0300-000012000000}">
          <x14:formula1>
            <xm:f>'Oberkörper Progressionen '!$O:$O</xm:f>
          </x14:formula1>
          <xm:sqref>C33:E33</xm:sqref>
        </x14:dataValidation>
        <x14:dataValidation type="list" allowBlank="1" showInputMessage="1" showErrorMessage="1" xr:uid="{00000000-0002-0000-0300-000013000000}">
          <x14:formula1>
            <xm:f>'Oberkörper Progressionen '!$Q:$Q</xm:f>
          </x14:formula1>
          <xm:sqref>C38:E38</xm:sqref>
        </x14:dataValidation>
        <x14:dataValidation type="list" allowBlank="1" showInputMessage="1" showErrorMessage="1" xr:uid="{00000000-0002-0000-0300-000014000000}">
          <x14:formula1>
            <xm:f>'Oberkörper Progressionen '!$R:$R</xm:f>
          </x14:formula1>
          <xm:sqref>C36:E36</xm:sqref>
        </x14:dataValidation>
        <x14:dataValidation type="list" allowBlank="1" showInputMessage="1" showErrorMessage="1" xr:uid="{00000000-0002-0000-0300-000015000000}">
          <x14:formula1>
            <xm:f>'Oberkörper Progressionen '!$S:$S</xm:f>
          </x14:formula1>
          <xm:sqref>C39:E39</xm:sqref>
        </x14:dataValidation>
        <x14:dataValidation type="list" allowBlank="1" showInputMessage="1" showErrorMessage="1" xr:uid="{00000000-0002-0000-0300-000016000000}">
          <x14:formula1>
            <xm:f>'Oberkörper Progressionen '!$B:$B</xm:f>
          </x14:formula1>
          <xm:sqref>C18:E18</xm:sqref>
        </x14:dataValidation>
        <x14:dataValidation type="list" allowBlank="1" showInputMessage="1" showErrorMessage="1" xr:uid="{00000000-0002-0000-0300-000018000000}">
          <x14:formula1>
            <xm:f>'Oberkörper Progressionen '!$P:$P</xm:f>
          </x14:formula1>
          <xm:sqref>C34:E34</xm:sqref>
        </x14:dataValidation>
        <x14:dataValidation type="list" allowBlank="1" showInputMessage="1" showErrorMessage="1" xr:uid="{00000000-0002-0000-0300-00000C000000}">
          <x14:formula1>
            <xm:f>'Oberkörper Progressionen '!$D:$D</xm:f>
          </x14:formula1>
          <xm:sqref>C20:E20</xm:sqref>
        </x14:dataValidation>
        <x14:dataValidation type="list" allowBlank="1" showInputMessage="1" showErrorMessage="1" xr:uid="{00000000-0002-0000-0300-000017000000}">
          <x14:formula1>
            <xm:f>'Oberkörper Progressionen '!$C:$C</xm:f>
          </x14:formula1>
          <xm:sqref>C19:E19</xm:sqref>
        </x14:dataValidation>
        <x14:dataValidation type="list" allowBlank="1" showInputMessage="1" showErrorMessage="1" xr:uid="{00000000-0002-0000-0300-000019000000}">
          <x14:formula1>
            <xm:f>'BH1-2 Progressionen'!$B:$B</xm:f>
          </x14:formula1>
          <xm:sqref>B12:B13</xm:sqref>
        </x14:dataValidation>
        <x14:dataValidation type="list" allowBlank="1" showInputMessage="1" showErrorMessage="1" xr:uid="{00000000-0002-0000-0300-00001A000000}">
          <x14:formula1>
            <xm:f>'BH1-2 Progressionen'!$C:$C</xm:f>
          </x14:formula1>
          <xm:sqref>E12:E13</xm:sqref>
        </x14:dataValidation>
        <x14:dataValidation type="list" allowBlank="1" showInputMessage="1" showErrorMessage="1" xr:uid="{00000000-0002-0000-0300-00001B000000}">
          <x14:formula1>
            <xm:f>'BH1-2 Progressionen'!$D:$D</xm:f>
          </x14:formula1>
          <xm:sqref>H12:H13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X54"/>
  <sheetViews>
    <sheetView zoomScale="78" zoomScaleNormal="110" workbookViewId="0">
      <selection activeCell="A15" sqref="A15:XFD15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4" ht="16.5" thickBot="1" x14ac:dyDescent="0.3"/>
    <row r="2" spans="2:24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 t="s">
        <v>0</v>
      </c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4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4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4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4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4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4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4" x14ac:dyDescent="0.25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4" x14ac:dyDescent="0.25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</v>
      </c>
      <c r="T10" s="63"/>
    </row>
    <row r="11" spans="2:24" ht="16.5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4" s="34" customFormat="1" ht="15.6" customHeight="1" x14ac:dyDescent="0.25">
      <c r="B12" s="598" t="s">
        <v>121</v>
      </c>
      <c r="C12" s="597"/>
      <c r="D12" s="597"/>
      <c r="E12" s="597" t="s">
        <v>146</v>
      </c>
      <c r="F12" s="597"/>
      <c r="G12" s="597"/>
      <c r="H12" s="65"/>
      <c r="I12" s="65" t="s">
        <v>39</v>
      </c>
      <c r="J12" s="65"/>
      <c r="K12" s="65"/>
      <c r="L12" s="65"/>
      <c r="M12" s="65" t="s">
        <v>294</v>
      </c>
      <c r="N12" s="65"/>
      <c r="O12" s="597" t="s">
        <v>567</v>
      </c>
      <c r="P12" s="597"/>
      <c r="Q12" s="597"/>
      <c r="R12" s="65"/>
      <c r="S12" s="65" t="s">
        <v>529</v>
      </c>
      <c r="T12" s="33"/>
    </row>
    <row r="13" spans="2:24" s="34" customFormat="1" ht="15.6" customHeight="1" x14ac:dyDescent="0.25">
      <c r="B13" s="507"/>
      <c r="T13" s="35"/>
    </row>
    <row r="14" spans="2:24" s="34" customFormat="1" ht="15.6" customHeight="1" thickBot="1" x14ac:dyDescent="0.3">
      <c r="B14" s="600" t="s">
        <v>122</v>
      </c>
      <c r="C14" s="599"/>
      <c r="D14" s="599"/>
      <c r="E14" s="599" t="s">
        <v>123</v>
      </c>
      <c r="F14" s="599"/>
      <c r="G14" s="599"/>
      <c r="I14" s="34" t="s">
        <v>129</v>
      </c>
      <c r="M14" s="34" t="s">
        <v>130</v>
      </c>
      <c r="O14" s="599" t="s">
        <v>551</v>
      </c>
      <c r="P14" s="599"/>
      <c r="Q14" s="599"/>
      <c r="S14" s="34" t="s">
        <v>131</v>
      </c>
      <c r="T14" s="35"/>
    </row>
    <row r="15" spans="2:24" ht="16.5" thickBot="1" x14ac:dyDescent="0.3">
      <c r="B15" s="576" t="s">
        <v>575</v>
      </c>
      <c r="C15" s="577"/>
      <c r="D15" s="577"/>
      <c r="E15" s="578"/>
      <c r="F15" s="1"/>
      <c r="G15" s="562" t="s">
        <v>116</v>
      </c>
      <c r="H15" s="563"/>
      <c r="I15" s="563"/>
      <c r="J15" s="563"/>
      <c r="K15" s="563"/>
      <c r="L15" s="563"/>
      <c r="M15" s="563"/>
      <c r="N15" s="563"/>
      <c r="O15" s="563"/>
      <c r="P15" s="563"/>
      <c r="Q15" s="563"/>
      <c r="R15" s="563"/>
      <c r="S15" s="563"/>
      <c r="T15" s="564"/>
      <c r="X15" t="s">
        <v>286</v>
      </c>
    </row>
    <row r="16" spans="2:24" ht="21.6" customHeight="1" thickBot="1" x14ac:dyDescent="0.3">
      <c r="B16" s="579"/>
      <c r="C16" s="580"/>
      <c r="D16" s="580"/>
      <c r="E16" s="581"/>
      <c r="F16" s="1"/>
      <c r="G16" s="70" t="s">
        <v>865</v>
      </c>
      <c r="H16" s="582" t="s">
        <v>877</v>
      </c>
      <c r="I16" s="583"/>
      <c r="J16" s="71" t="s">
        <v>866</v>
      </c>
      <c r="K16" s="64"/>
      <c r="L16" s="70" t="s">
        <v>867</v>
      </c>
      <c r="M16" s="582" t="s">
        <v>878</v>
      </c>
      <c r="N16" s="583"/>
      <c r="O16" s="71" t="s">
        <v>868</v>
      </c>
      <c r="P16" s="64"/>
      <c r="Q16" s="71" t="s">
        <v>869</v>
      </c>
      <c r="R16" s="582" t="s">
        <v>879</v>
      </c>
      <c r="S16" s="583"/>
      <c r="T16" s="71" t="s">
        <v>870</v>
      </c>
      <c r="W16" s="36"/>
      <c r="X16" s="1" t="s">
        <v>556</v>
      </c>
    </row>
    <row r="17" spans="2:24" ht="16.5" thickBot="1" x14ac:dyDescent="0.3">
      <c r="B17" s="562" t="s">
        <v>8</v>
      </c>
      <c r="C17" s="563"/>
      <c r="D17" s="563"/>
      <c r="E17" s="564"/>
      <c r="F17" s="72"/>
      <c r="G17" s="15" t="s">
        <v>9</v>
      </c>
      <c r="H17" s="16" t="s">
        <v>10</v>
      </c>
      <c r="I17" s="16" t="s">
        <v>11</v>
      </c>
      <c r="J17" s="17" t="s">
        <v>880</v>
      </c>
      <c r="K17" s="1"/>
      <c r="L17" s="15" t="s">
        <v>9</v>
      </c>
      <c r="M17" s="16" t="s">
        <v>10</v>
      </c>
      <c r="N17" s="16" t="s">
        <v>11</v>
      </c>
      <c r="O17" s="17" t="s">
        <v>880</v>
      </c>
      <c r="P17" s="1"/>
      <c r="Q17" s="40" t="s">
        <v>9</v>
      </c>
      <c r="R17" s="41" t="s">
        <v>10</v>
      </c>
      <c r="S17" s="41" t="s">
        <v>11</v>
      </c>
      <c r="T17" s="42" t="s">
        <v>880</v>
      </c>
      <c r="W17" s="37"/>
      <c r="X17" s="1" t="s">
        <v>573</v>
      </c>
    </row>
    <row r="18" spans="2:24" s="1" customFormat="1" ht="19.899999999999999" customHeight="1" x14ac:dyDescent="0.25">
      <c r="B18" s="9">
        <v>1</v>
      </c>
      <c r="C18" s="560" t="s">
        <v>356</v>
      </c>
      <c r="D18" s="560"/>
      <c r="E18" s="561"/>
      <c r="G18" s="18" t="s">
        <v>12</v>
      </c>
      <c r="H18" s="19"/>
      <c r="I18" s="19" t="s">
        <v>557</v>
      </c>
      <c r="J18" s="20" t="s">
        <v>16</v>
      </c>
      <c r="L18" s="18" t="s">
        <v>12</v>
      </c>
      <c r="M18" s="19"/>
      <c r="N18" s="19" t="s">
        <v>558</v>
      </c>
      <c r="O18" s="20" t="s">
        <v>16</v>
      </c>
      <c r="Q18" s="43" t="s">
        <v>12</v>
      </c>
      <c r="R18" s="44"/>
      <c r="S18" s="44" t="s">
        <v>559</v>
      </c>
      <c r="T18" s="45" t="s">
        <v>16</v>
      </c>
      <c r="W18" s="36"/>
      <c r="X18" s="1" t="s">
        <v>575</v>
      </c>
    </row>
    <row r="19" spans="2:24" s="1" customFormat="1" ht="19.899999999999999" customHeight="1" x14ac:dyDescent="0.25">
      <c r="B19" s="3">
        <v>2</v>
      </c>
      <c r="C19" s="567" t="s">
        <v>383</v>
      </c>
      <c r="D19" s="567"/>
      <c r="E19" s="568"/>
      <c r="G19" s="67" t="s">
        <v>12</v>
      </c>
      <c r="H19" s="68"/>
      <c r="I19" s="68" t="s">
        <v>14</v>
      </c>
      <c r="J19" s="69"/>
      <c r="L19" s="67" t="s">
        <v>12</v>
      </c>
      <c r="M19" s="68"/>
      <c r="N19" s="68" t="s">
        <v>14</v>
      </c>
      <c r="O19" s="69"/>
      <c r="Q19" s="67" t="s">
        <v>12</v>
      </c>
      <c r="R19" s="68"/>
      <c r="S19" s="68" t="s">
        <v>14</v>
      </c>
      <c r="T19" s="69"/>
      <c r="W19" s="36"/>
    </row>
    <row r="20" spans="2:24" s="1" customFormat="1" ht="19.899999999999999" customHeight="1" thickBot="1" x14ac:dyDescent="0.3">
      <c r="B20" s="4">
        <v>3</v>
      </c>
      <c r="C20" s="565" t="s">
        <v>578</v>
      </c>
      <c r="D20" s="565"/>
      <c r="E20" s="566"/>
      <c r="G20" s="24" t="s">
        <v>12</v>
      </c>
      <c r="H20" s="25"/>
      <c r="I20" s="25" t="s">
        <v>14</v>
      </c>
      <c r="J20" s="26"/>
      <c r="L20" s="24" t="s">
        <v>12</v>
      </c>
      <c r="M20" s="25"/>
      <c r="N20" s="25" t="s">
        <v>14</v>
      </c>
      <c r="O20" s="26"/>
      <c r="Q20" s="46" t="s">
        <v>12</v>
      </c>
      <c r="R20" s="47"/>
      <c r="S20" s="47" t="s">
        <v>14</v>
      </c>
      <c r="T20" s="48"/>
    </row>
    <row r="21" spans="2:24" s="2" customFormat="1" ht="4.9000000000000004" customHeight="1" thickBot="1" x14ac:dyDescent="0.3">
      <c r="B21" s="73"/>
      <c r="Q21" s="49"/>
      <c r="R21" s="49"/>
      <c r="S21" s="49"/>
      <c r="T21" s="74"/>
      <c r="X21" s="1"/>
    </row>
    <row r="22" spans="2:24" s="1" customFormat="1" ht="16.5" thickBot="1" x14ac:dyDescent="0.3">
      <c r="B22" s="562" t="s">
        <v>882</v>
      </c>
      <c r="C22" s="563"/>
      <c r="D22" s="563"/>
      <c r="E22" s="564"/>
      <c r="G22" s="80" t="s">
        <v>880</v>
      </c>
      <c r="H22" s="81" t="s">
        <v>10</v>
      </c>
      <c r="I22" s="81" t="s">
        <v>11</v>
      </c>
      <c r="J22" s="82" t="s">
        <v>880</v>
      </c>
      <c r="K22" s="72"/>
      <c r="L22" s="80" t="str">
        <f>G22</f>
        <v>GEWICHT</v>
      </c>
      <c r="M22" s="81" t="s">
        <v>10</v>
      </c>
      <c r="N22" s="81" t="s">
        <v>11</v>
      </c>
      <c r="O22" s="82" t="s">
        <v>880</v>
      </c>
      <c r="P22" s="72"/>
      <c r="Q22" s="83" t="str">
        <f>L22</f>
        <v>GEWICHT</v>
      </c>
      <c r="R22" s="84" t="s">
        <v>10</v>
      </c>
      <c r="S22" s="84" t="s">
        <v>11</v>
      </c>
      <c r="T22" s="85" t="s">
        <v>880</v>
      </c>
    </row>
    <row r="23" spans="2:24" s="1" customFormat="1" ht="19.899999999999999" customHeight="1" x14ac:dyDescent="0.25">
      <c r="B23" s="9">
        <v>1</v>
      </c>
      <c r="C23" s="560" t="s">
        <v>294</v>
      </c>
      <c r="D23" s="560"/>
      <c r="E23" s="561"/>
      <c r="G23" s="21"/>
      <c r="H23" s="22" t="s">
        <v>13</v>
      </c>
      <c r="I23" s="22" t="s">
        <v>7</v>
      </c>
      <c r="J23" s="23"/>
      <c r="L23" s="21"/>
      <c r="M23" s="22" t="s">
        <v>13</v>
      </c>
      <c r="N23" s="22" t="str">
        <f t="shared" ref="N23:N31" si="0">I23</f>
        <v>1x20</v>
      </c>
      <c r="O23" s="23"/>
      <c r="Q23" s="50"/>
      <c r="R23" s="52" t="s">
        <v>13</v>
      </c>
      <c r="S23" s="52" t="str">
        <f>N23</f>
        <v>1x20</v>
      </c>
      <c r="T23" s="53"/>
    </row>
    <row r="24" spans="2:24" s="1" customFormat="1" ht="19.899999999999999" customHeight="1" x14ac:dyDescent="0.25">
      <c r="B24" s="3">
        <v>2</v>
      </c>
      <c r="C24" s="567" t="s">
        <v>529</v>
      </c>
      <c r="D24" s="567"/>
      <c r="E24" s="568"/>
      <c r="G24" s="27"/>
      <c r="H24" s="28" t="s">
        <v>13</v>
      </c>
      <c r="I24" s="28" t="s">
        <v>625</v>
      </c>
      <c r="J24" s="29"/>
      <c r="L24" s="27"/>
      <c r="M24" s="28" t="s">
        <v>13</v>
      </c>
      <c r="N24" s="28" t="str">
        <f t="shared" si="0"/>
        <v>1x10/ea</v>
      </c>
      <c r="O24" s="29"/>
      <c r="Q24" s="54"/>
      <c r="R24" s="56" t="s">
        <v>13</v>
      </c>
      <c r="S24" s="56" t="str">
        <f>N24</f>
        <v>1x10/ea</v>
      </c>
      <c r="T24" s="57"/>
    </row>
    <row r="25" spans="2:24" s="1" customFormat="1" ht="19.899999999999999" customHeight="1" thickBot="1" x14ac:dyDescent="0.3">
      <c r="B25" s="4">
        <v>3</v>
      </c>
      <c r="C25" s="565" t="s">
        <v>172</v>
      </c>
      <c r="D25" s="565"/>
      <c r="E25" s="566"/>
      <c r="G25" s="24"/>
      <c r="H25" s="25" t="s">
        <v>13</v>
      </c>
      <c r="I25" s="25" t="s">
        <v>561</v>
      </c>
      <c r="J25" s="26"/>
      <c r="L25" s="24"/>
      <c r="M25" s="25" t="s">
        <v>13</v>
      </c>
      <c r="N25" s="25" t="str">
        <f t="shared" si="0"/>
        <v>1x10ea</v>
      </c>
      <c r="O25" s="26"/>
      <c r="Q25" s="46"/>
      <c r="R25" s="47" t="s">
        <v>13</v>
      </c>
      <c r="S25" s="47" t="str">
        <f>N25</f>
        <v>1x10ea</v>
      </c>
      <c r="T25" s="48"/>
    </row>
    <row r="26" spans="2:24" s="1" customFormat="1" ht="19.899999999999999" customHeight="1" x14ac:dyDescent="0.25">
      <c r="B26" s="9">
        <v>4</v>
      </c>
      <c r="C26" s="560" t="s">
        <v>386</v>
      </c>
      <c r="D26" s="560"/>
      <c r="E26" s="561"/>
      <c r="G26" s="21"/>
      <c r="H26" s="22" t="s">
        <v>13</v>
      </c>
      <c r="I26" s="22" t="s">
        <v>7</v>
      </c>
      <c r="J26" s="23"/>
      <c r="L26" s="21"/>
      <c r="M26" s="22" t="s">
        <v>13</v>
      </c>
      <c r="N26" s="22" t="str">
        <f t="shared" si="0"/>
        <v>1x20</v>
      </c>
      <c r="O26" s="23"/>
      <c r="Q26" s="50"/>
      <c r="R26" s="52" t="s">
        <v>13</v>
      </c>
      <c r="S26" s="52" t="s">
        <v>7</v>
      </c>
      <c r="T26" s="53"/>
    </row>
    <row r="27" spans="2:24" s="1" customFormat="1" ht="19.899999999999999" customHeight="1" x14ac:dyDescent="0.25">
      <c r="B27" s="3">
        <v>5</v>
      </c>
      <c r="C27" s="567" t="s">
        <v>392</v>
      </c>
      <c r="D27" s="567"/>
      <c r="E27" s="568"/>
      <c r="G27" s="27"/>
      <c r="H27" s="28" t="s">
        <v>13</v>
      </c>
      <c r="I27" s="28" t="s">
        <v>592</v>
      </c>
      <c r="J27" s="29"/>
      <c r="L27" s="27"/>
      <c r="M27" s="28" t="s">
        <v>13</v>
      </c>
      <c r="N27" s="28" t="str">
        <f t="shared" si="0"/>
        <v>1x20/ea</v>
      </c>
      <c r="O27" s="29"/>
      <c r="Q27" s="54"/>
      <c r="R27" s="56" t="s">
        <v>13</v>
      </c>
      <c r="S27" s="28" t="s">
        <v>7</v>
      </c>
      <c r="T27" s="57"/>
    </row>
    <row r="28" spans="2:24" s="1" customFormat="1" ht="19.899999999999999" customHeight="1" thickBot="1" x14ac:dyDescent="0.3">
      <c r="B28" s="4">
        <v>6</v>
      </c>
      <c r="C28" s="565" t="s">
        <v>403</v>
      </c>
      <c r="D28" s="565"/>
      <c r="E28" s="566"/>
      <c r="G28" s="24"/>
      <c r="H28" s="25" t="s">
        <v>13</v>
      </c>
      <c r="I28" s="25" t="s">
        <v>292</v>
      </c>
      <c r="J28" s="26"/>
      <c r="L28" s="24"/>
      <c r="M28" s="25" t="s">
        <v>13</v>
      </c>
      <c r="N28" s="25" t="str">
        <f t="shared" si="0"/>
        <v>3x10s/ea</v>
      </c>
      <c r="O28" s="26"/>
      <c r="Q28" s="46"/>
      <c r="R28" s="47" t="s">
        <v>13</v>
      </c>
      <c r="S28" s="47" t="str">
        <f>N28</f>
        <v>3x10s/ea</v>
      </c>
      <c r="T28" s="48"/>
    </row>
    <row r="29" spans="2:24" s="1" customFormat="1" ht="19.899999999999999" customHeight="1" x14ac:dyDescent="0.25">
      <c r="B29" s="9">
        <v>7</v>
      </c>
      <c r="C29" s="560" t="s">
        <v>467</v>
      </c>
      <c r="D29" s="560"/>
      <c r="E29" s="561"/>
      <c r="G29" s="21"/>
      <c r="H29" s="22" t="s">
        <v>13</v>
      </c>
      <c r="I29" s="22" t="s">
        <v>592</v>
      </c>
      <c r="J29" s="23"/>
      <c r="L29" s="21"/>
      <c r="M29" s="22" t="s">
        <v>13</v>
      </c>
      <c r="N29" s="22" t="str">
        <f t="shared" si="0"/>
        <v>1x20/ea</v>
      </c>
      <c r="O29" s="23"/>
      <c r="Q29" s="50"/>
      <c r="R29" s="52" t="s">
        <v>13</v>
      </c>
      <c r="S29" s="52" t="str">
        <f>N29</f>
        <v>1x20/ea</v>
      </c>
      <c r="T29" s="53"/>
    </row>
    <row r="30" spans="2:24" s="1" customFormat="1" ht="19.899999999999999" customHeight="1" x14ac:dyDescent="0.25">
      <c r="B30" s="3">
        <v>8</v>
      </c>
      <c r="C30" s="567" t="s">
        <v>31</v>
      </c>
      <c r="D30" s="567"/>
      <c r="E30" s="568"/>
      <c r="G30" s="27"/>
      <c r="H30" s="28" t="s">
        <v>13</v>
      </c>
      <c r="I30" s="28" t="s">
        <v>119</v>
      </c>
      <c r="J30" s="29"/>
      <c r="L30" s="27"/>
      <c r="M30" s="28" t="s">
        <v>13</v>
      </c>
      <c r="N30" s="28" t="str">
        <f t="shared" si="0"/>
        <v>1x30s/ea</v>
      </c>
      <c r="O30" s="29"/>
      <c r="Q30" s="54"/>
      <c r="R30" s="56" t="s">
        <v>13</v>
      </c>
      <c r="S30" s="56" t="str">
        <f>N30</f>
        <v>1x30s/ea</v>
      </c>
      <c r="T30" s="57"/>
    </row>
    <row r="31" spans="2:24" s="1" customFormat="1" ht="19.899999999999999" customHeight="1" thickBot="1" x14ac:dyDescent="0.3">
      <c r="B31" s="4">
        <v>9</v>
      </c>
      <c r="C31" s="565" t="s">
        <v>426</v>
      </c>
      <c r="D31" s="565"/>
      <c r="E31" s="566"/>
      <c r="G31" s="24"/>
      <c r="H31" s="25" t="s">
        <v>13</v>
      </c>
      <c r="I31" s="25" t="s">
        <v>292</v>
      </c>
      <c r="J31" s="26"/>
      <c r="L31" s="24"/>
      <c r="M31" s="25" t="s">
        <v>13</v>
      </c>
      <c r="N31" s="25" t="str">
        <f t="shared" si="0"/>
        <v>3x10s/ea</v>
      </c>
      <c r="O31" s="26"/>
      <c r="Q31" s="46"/>
      <c r="R31" s="47" t="s">
        <v>13</v>
      </c>
      <c r="S31" s="25" t="str">
        <f>N31</f>
        <v>3x10s/ea</v>
      </c>
      <c r="T31" s="48"/>
    </row>
    <row r="32" spans="2:24" s="1" customFormat="1" ht="19.899999999999999" customHeight="1" x14ac:dyDescent="0.25">
      <c r="B32" s="9">
        <v>10</v>
      </c>
      <c r="C32" s="560" t="s">
        <v>474</v>
      </c>
      <c r="D32" s="560"/>
      <c r="E32" s="561"/>
      <c r="G32" s="21"/>
      <c r="H32" s="22" t="s">
        <v>13</v>
      </c>
      <c r="I32" s="22" t="s">
        <v>592</v>
      </c>
      <c r="J32" s="23"/>
      <c r="L32" s="21"/>
      <c r="M32" s="22" t="s">
        <v>13</v>
      </c>
      <c r="N32" s="22" t="s">
        <v>563</v>
      </c>
      <c r="O32" s="23"/>
      <c r="Q32" s="21"/>
      <c r="R32" s="22" t="s">
        <v>13</v>
      </c>
      <c r="S32" s="22" t="s">
        <v>564</v>
      </c>
      <c r="T32" s="23"/>
    </row>
    <row r="33" spans="2:22" s="1" customFormat="1" ht="19.899999999999999" customHeight="1" x14ac:dyDescent="0.25">
      <c r="B33" s="3">
        <v>11</v>
      </c>
      <c r="C33" s="567" t="s">
        <v>160</v>
      </c>
      <c r="D33" s="567"/>
      <c r="E33" s="568"/>
      <c r="G33" s="27"/>
      <c r="H33" s="28" t="s">
        <v>13</v>
      </c>
      <c r="I33" s="28" t="s">
        <v>593</v>
      </c>
      <c r="J33" s="29"/>
      <c r="L33" s="27"/>
      <c r="M33" s="28" t="s">
        <v>13</v>
      </c>
      <c r="N33" s="28" t="str">
        <f t="shared" ref="N33:N38" si="1">I33</f>
        <v xml:space="preserve">1x20/ea </v>
      </c>
      <c r="O33" s="29"/>
      <c r="Q33" s="27"/>
      <c r="R33" s="28" t="s">
        <v>13</v>
      </c>
      <c r="S33" s="28" t="str">
        <f>N33</f>
        <v xml:space="preserve">1x20/ea </v>
      </c>
      <c r="T33" s="29"/>
    </row>
    <row r="34" spans="2:22" s="1" customFormat="1" ht="19.899999999999999" customHeight="1" thickBot="1" x14ac:dyDescent="0.3">
      <c r="B34" s="3">
        <v>12</v>
      </c>
      <c r="C34" s="567" t="s">
        <v>176</v>
      </c>
      <c r="D34" s="567"/>
      <c r="E34" s="568"/>
      <c r="G34" s="24"/>
      <c r="H34" s="25" t="s">
        <v>13</v>
      </c>
      <c r="I34" s="25" t="s">
        <v>592</v>
      </c>
      <c r="J34" s="26"/>
      <c r="L34" s="24"/>
      <c r="M34" s="25" t="s">
        <v>13</v>
      </c>
      <c r="N34" s="25" t="str">
        <f t="shared" si="1"/>
        <v>1x20/ea</v>
      </c>
      <c r="O34" s="26"/>
      <c r="Q34" s="46"/>
      <c r="R34" s="47" t="s">
        <v>13</v>
      </c>
      <c r="S34" s="47" t="str">
        <f>N34</f>
        <v>1x20/ea</v>
      </c>
      <c r="T34" s="48"/>
    </row>
    <row r="35" spans="2:22" s="1" customFormat="1" ht="19.899999999999999" customHeight="1" x14ac:dyDescent="0.25">
      <c r="B35" s="9">
        <v>13</v>
      </c>
      <c r="C35" s="560" t="s">
        <v>413</v>
      </c>
      <c r="D35" s="560"/>
      <c r="E35" s="561"/>
      <c r="G35" s="99"/>
      <c r="H35" s="22" t="s">
        <v>13</v>
      </c>
      <c r="I35" s="22" t="s">
        <v>594</v>
      </c>
      <c r="J35" s="23"/>
      <c r="L35" s="21"/>
      <c r="M35" s="22" t="s">
        <v>13</v>
      </c>
      <c r="N35" s="22" t="str">
        <f t="shared" si="1"/>
        <v>1x15m/ea</v>
      </c>
      <c r="O35" s="23"/>
      <c r="Q35" s="21"/>
      <c r="R35" s="22" t="s">
        <v>13</v>
      </c>
      <c r="S35" s="22" t="str">
        <f>I35</f>
        <v>1x15m/ea</v>
      </c>
      <c r="T35" s="23"/>
    </row>
    <row r="36" spans="2:22" s="1" customFormat="1" ht="19.899999999999999" customHeight="1" x14ac:dyDescent="0.25">
      <c r="B36" s="3">
        <v>14</v>
      </c>
      <c r="C36" s="567" t="s">
        <v>307</v>
      </c>
      <c r="D36" s="567"/>
      <c r="E36" s="568"/>
      <c r="G36" s="96"/>
      <c r="H36" s="28" t="s">
        <v>13</v>
      </c>
      <c r="I36" s="28" t="s">
        <v>292</v>
      </c>
      <c r="J36" s="29"/>
      <c r="L36" s="27"/>
      <c r="M36" s="28" t="s">
        <v>13</v>
      </c>
      <c r="N36" s="28" t="str">
        <f t="shared" si="1"/>
        <v>3x10s/ea</v>
      </c>
      <c r="O36" s="29"/>
      <c r="Q36" s="27"/>
      <c r="R36" s="28" t="s">
        <v>13</v>
      </c>
      <c r="S36" s="28" t="str">
        <f>N36</f>
        <v>3x10s/ea</v>
      </c>
      <c r="T36" s="29"/>
    </row>
    <row r="37" spans="2:22" s="1" customFormat="1" ht="19.899999999999999" customHeight="1" x14ac:dyDescent="0.25">
      <c r="B37" s="3">
        <v>15</v>
      </c>
      <c r="C37" s="567" t="s">
        <v>35</v>
      </c>
      <c r="D37" s="567"/>
      <c r="E37" s="568"/>
      <c r="G37" s="96"/>
      <c r="H37" s="28" t="s">
        <v>13</v>
      </c>
      <c r="I37" s="28" t="s">
        <v>592</v>
      </c>
      <c r="J37" s="29"/>
      <c r="L37" s="27"/>
      <c r="M37" s="28" t="s">
        <v>13</v>
      </c>
      <c r="N37" s="28" t="str">
        <f t="shared" si="1"/>
        <v>1x20/ea</v>
      </c>
      <c r="O37" s="29"/>
      <c r="Q37" s="27"/>
      <c r="R37" s="28" t="s">
        <v>13</v>
      </c>
      <c r="S37" s="28" t="str">
        <f>N37</f>
        <v>1x20/ea</v>
      </c>
      <c r="T37" s="29"/>
    </row>
    <row r="38" spans="2:22" s="1" customFormat="1" ht="19.899999999999999" customHeight="1" thickBot="1" x14ac:dyDescent="0.3">
      <c r="B38" s="4">
        <v>16</v>
      </c>
      <c r="C38" s="565" t="s">
        <v>441</v>
      </c>
      <c r="D38" s="565"/>
      <c r="E38" s="566"/>
      <c r="G38" s="24"/>
      <c r="H38" s="25" t="s">
        <v>13</v>
      </c>
      <c r="I38" s="25" t="s">
        <v>7</v>
      </c>
      <c r="J38" s="26"/>
      <c r="L38" s="24"/>
      <c r="M38" s="25" t="s">
        <v>13</v>
      </c>
      <c r="N38" s="25" t="str">
        <f t="shared" si="1"/>
        <v>1x20</v>
      </c>
      <c r="O38" s="26"/>
      <c r="Q38" s="24"/>
      <c r="R38" s="25" t="s">
        <v>13</v>
      </c>
      <c r="S38" s="25" t="str">
        <f>N38</f>
        <v>1x20</v>
      </c>
      <c r="T38" s="26"/>
    </row>
    <row r="39" spans="2:22" s="2" customFormat="1" ht="16.149999999999999" customHeight="1" thickBot="1" x14ac:dyDescent="0.3">
      <c r="B39" s="573" t="s">
        <v>873</v>
      </c>
      <c r="C39" s="574"/>
      <c r="D39" s="574"/>
      <c r="E39" s="575"/>
      <c r="F39" s="79"/>
      <c r="G39" s="557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9"/>
    </row>
    <row r="40" spans="2:22" s="1" customFormat="1" ht="19.899999999999999" customHeight="1" x14ac:dyDescent="0.25">
      <c r="B40" s="9">
        <v>17</v>
      </c>
      <c r="C40" s="560" t="s">
        <v>182</v>
      </c>
      <c r="D40" s="560"/>
      <c r="E40" s="561"/>
      <c r="G40" s="21"/>
      <c r="H40" s="30" t="s">
        <v>13</v>
      </c>
      <c r="I40" s="22" t="s">
        <v>291</v>
      </c>
      <c r="J40" s="23"/>
      <c r="L40" s="21"/>
      <c r="M40" s="30" t="s">
        <v>13</v>
      </c>
      <c r="N40" s="22" t="str">
        <f>I40</f>
        <v>1x60s/ea</v>
      </c>
      <c r="O40" s="23"/>
      <c r="Q40" s="50"/>
      <c r="R40" s="51" t="s">
        <v>13</v>
      </c>
      <c r="S40" s="52" t="str">
        <f>I40</f>
        <v>1x60s/ea</v>
      </c>
      <c r="T40" s="53"/>
    </row>
    <row r="41" spans="2:22" s="1" customFormat="1" ht="19.899999999999999" customHeight="1" x14ac:dyDescent="0.25">
      <c r="B41" s="3">
        <v>18</v>
      </c>
      <c r="C41" s="569" t="s">
        <v>606</v>
      </c>
      <c r="D41" s="569"/>
      <c r="E41" s="570"/>
      <c r="G41" s="27"/>
      <c r="H41" s="31" t="s">
        <v>13</v>
      </c>
      <c r="I41" s="28" t="s">
        <v>291</v>
      </c>
      <c r="J41" s="29"/>
      <c r="L41" s="27"/>
      <c r="M41" s="31" t="s">
        <v>13</v>
      </c>
      <c r="N41" s="28" t="str">
        <f>I41</f>
        <v>1x60s/ea</v>
      </c>
      <c r="O41" s="29"/>
      <c r="Q41" s="54"/>
      <c r="R41" s="55" t="s">
        <v>13</v>
      </c>
      <c r="S41" s="56" t="str">
        <f>I41</f>
        <v>1x60s/ea</v>
      </c>
      <c r="T41" s="57"/>
    </row>
    <row r="42" spans="2:22" s="1" customFormat="1" ht="19.899999999999999" customHeight="1" thickBot="1" x14ac:dyDescent="0.3">
      <c r="B42" s="4">
        <v>19</v>
      </c>
      <c r="C42" s="571" t="s">
        <v>36</v>
      </c>
      <c r="D42" s="571"/>
      <c r="E42" s="572"/>
      <c r="F42" s="66"/>
      <c r="G42" s="24"/>
      <c r="H42" s="32" t="s">
        <v>13</v>
      </c>
      <c r="I42" s="25" t="s">
        <v>291</v>
      </c>
      <c r="J42" s="26"/>
      <c r="K42" s="66"/>
      <c r="L42" s="24"/>
      <c r="M42" s="32" t="s">
        <v>13</v>
      </c>
      <c r="N42" s="25" t="str">
        <f>I42</f>
        <v>1x60s/ea</v>
      </c>
      <c r="O42" s="26"/>
      <c r="P42" s="66"/>
      <c r="Q42" s="46"/>
      <c r="R42" s="58" t="s">
        <v>13</v>
      </c>
      <c r="S42" s="47" t="str">
        <f>N42</f>
        <v>1x60s/ea</v>
      </c>
      <c r="T42" s="48"/>
    </row>
    <row r="43" spans="2:22" s="2" customFormat="1" ht="4.9000000000000004" customHeight="1" x14ac:dyDescent="0.25">
      <c r="Q43" s="49"/>
      <c r="R43" s="49"/>
      <c r="S43" s="49"/>
      <c r="T43" s="49"/>
    </row>
    <row r="44" spans="2:22" x14ac:dyDescent="0.25">
      <c r="V44" s="1" t="s">
        <v>289</v>
      </c>
    </row>
    <row r="45" spans="2:22" x14ac:dyDescent="0.25">
      <c r="V45" s="1" t="s">
        <v>311</v>
      </c>
    </row>
    <row r="46" spans="2:22" x14ac:dyDescent="0.25">
      <c r="V46" s="1" t="s">
        <v>37</v>
      </c>
    </row>
    <row r="47" spans="2:22" x14ac:dyDescent="0.25">
      <c r="V47" s="1" t="s">
        <v>119</v>
      </c>
    </row>
    <row r="48" spans="2:22" x14ac:dyDescent="0.25">
      <c r="V48" s="1" t="s">
        <v>290</v>
      </c>
    </row>
    <row r="49" spans="22:22" x14ac:dyDescent="0.25">
      <c r="V49" s="1" t="s">
        <v>291</v>
      </c>
    </row>
    <row r="50" spans="22:22" x14ac:dyDescent="0.25">
      <c r="V50" s="1" t="s">
        <v>292</v>
      </c>
    </row>
    <row r="51" spans="22:22" x14ac:dyDescent="0.25">
      <c r="V51" s="1" t="s">
        <v>337</v>
      </c>
    </row>
    <row r="52" spans="22:22" x14ac:dyDescent="0.25">
      <c r="V52" s="1" t="s">
        <v>15</v>
      </c>
    </row>
    <row r="53" spans="22:22" x14ac:dyDescent="0.25">
      <c r="V53" s="1" t="s">
        <v>209</v>
      </c>
    </row>
    <row r="54" spans="22:22" x14ac:dyDescent="0.25">
      <c r="V54" s="1" t="s">
        <v>591</v>
      </c>
    </row>
  </sheetData>
  <mergeCells count="40">
    <mergeCell ref="C41:E41"/>
    <mergeCell ref="C42:E42"/>
    <mergeCell ref="C36:E36"/>
    <mergeCell ref="C37:E37"/>
    <mergeCell ref="C38:E38"/>
    <mergeCell ref="B39:E39"/>
    <mergeCell ref="G39:T39"/>
    <mergeCell ref="C40:E40"/>
    <mergeCell ref="C30:E30"/>
    <mergeCell ref="C31:E31"/>
    <mergeCell ref="C32:E32"/>
    <mergeCell ref="C33:E33"/>
    <mergeCell ref="C34:E34"/>
    <mergeCell ref="C35:E35"/>
    <mergeCell ref="C29:E29"/>
    <mergeCell ref="B17:E17"/>
    <mergeCell ref="C18:E18"/>
    <mergeCell ref="C19:E19"/>
    <mergeCell ref="C20:E20"/>
    <mergeCell ref="B22:E22"/>
    <mergeCell ref="C23:E23"/>
    <mergeCell ref="C24:E24"/>
    <mergeCell ref="C25:E25"/>
    <mergeCell ref="C26:E26"/>
    <mergeCell ref="C27:E27"/>
    <mergeCell ref="C28:E28"/>
    <mergeCell ref="B14:D14"/>
    <mergeCell ref="E14:G14"/>
    <mergeCell ref="O14:Q14"/>
    <mergeCell ref="B15:E16"/>
    <mergeCell ref="G15:T15"/>
    <mergeCell ref="H16:I16"/>
    <mergeCell ref="M16:N16"/>
    <mergeCell ref="R16:S16"/>
    <mergeCell ref="O2:T7"/>
    <mergeCell ref="E10:G10"/>
    <mergeCell ref="I10:L10"/>
    <mergeCell ref="B12:D12"/>
    <mergeCell ref="E12:G12"/>
    <mergeCell ref="O12:Q12"/>
  </mergeCells>
  <dataValidations count="10">
    <dataValidation type="list" allowBlank="1" showInputMessage="1" showErrorMessage="1" sqref="I40:I41" xr:uid="{00000000-0002-0000-0400-000000000000}">
      <formula1>$V$44:$V$55</formula1>
    </dataValidation>
    <dataValidation type="list" allowBlank="1" showInputMessage="1" showErrorMessage="1" sqref="N27 S27" xr:uid="{00000000-0002-0000-0400-000001000000}">
      <formula1>$V$40:$V$48</formula1>
    </dataValidation>
    <dataValidation type="list" allowBlank="1" showInputMessage="1" showErrorMessage="1" sqref="S31" xr:uid="{00000000-0002-0000-0400-000002000000}">
      <formula1>$V$40:$V$50</formula1>
    </dataValidation>
    <dataValidation type="list" allowBlank="1" showInputMessage="1" showErrorMessage="1" sqref="N31" xr:uid="{00000000-0002-0000-0400-000003000000}">
      <formula1>$V$40:$V$51</formula1>
    </dataValidation>
    <dataValidation type="list" allowBlank="1" showInputMessage="1" showErrorMessage="1" sqref="M23:M38 H23:H38 R23:R38" xr:uid="{00000000-0002-0000-0400-000004000000}">
      <formula1>$W$22:$W$24</formula1>
    </dataValidation>
    <dataValidation type="list" allowBlank="1" showInputMessage="1" showErrorMessage="1" sqref="B15:E16" xr:uid="{00000000-0002-0000-0400-000005000000}">
      <formula1>$X$16:$X$20</formula1>
    </dataValidation>
    <dataValidation type="list" allowBlank="1" showInputMessage="1" showErrorMessage="1" sqref="M40 R40 H40" xr:uid="{00000000-0002-0000-0400-000006000000}">
      <formula1>$W$16:$W$20</formula1>
    </dataValidation>
    <dataValidation type="list" allowBlank="1" showInputMessage="1" showErrorMessage="1" sqref="H41:H42 R41:R42 M41:M42" xr:uid="{00000000-0002-0000-0400-000007000000}">
      <formula1>$W$16:$W$18</formula1>
    </dataValidation>
    <dataValidation type="list" allowBlank="1" showInputMessage="1" showErrorMessage="1" sqref="S42 N40:N42 I42" xr:uid="{00000000-0002-0000-0400-000008000000}">
      <formula1>$V$44:$V$49</formula1>
    </dataValidation>
    <dataValidation type="list" allowBlank="1" showInputMessage="1" showErrorMessage="1" sqref="I31" xr:uid="{00000000-0002-0000-0400-000009000000}">
      <formula1>$V$40:$V$58</formula1>
    </dataValidation>
  </dataValidations>
  <pageMargins left="0.25" right="0.25" top="0.75" bottom="0.75" header="0.3" footer="0.3"/>
  <pageSetup paperSize="9"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4">
        <x14:dataValidation type="list" allowBlank="1" showInputMessage="1" showErrorMessage="1" xr:uid="{00000000-0002-0000-0400-00000A000000}">
          <x14:formula1>
            <xm:f>'BH1-2 Progressionen'!$L:$L</xm:f>
          </x14:formula1>
          <xm:sqref>O14</xm:sqref>
        </x14:dataValidation>
        <x14:dataValidation type="list" allowBlank="1" showInputMessage="1" showErrorMessage="1" xr:uid="{00000000-0002-0000-0400-00000B000000}">
          <x14:formula1>
            <xm:f>'BH1-2 Progressionen'!$B:$B</xm:f>
          </x14:formula1>
          <xm:sqref>B12:B13</xm:sqref>
        </x14:dataValidation>
        <x14:dataValidation type="list" allowBlank="1" showInputMessage="1" showErrorMessage="1" xr:uid="{00000000-0002-0000-0400-00000C000000}">
          <x14:formula1>
            <xm:f>'BH1-2 Progressionen'!$C:$C</xm:f>
          </x14:formula1>
          <xm:sqref>E12:E13</xm:sqref>
        </x14:dataValidation>
        <x14:dataValidation type="list" allowBlank="1" showInputMessage="1" showErrorMessage="1" xr:uid="{00000000-0002-0000-0400-00000D000000}">
          <x14:formula1>
            <xm:f>'BH1-2 Progressionen'!$D:$D</xm:f>
          </x14:formula1>
          <xm:sqref>I12:I13</xm:sqref>
        </x14:dataValidation>
        <x14:dataValidation type="list" allowBlank="1" showInputMessage="1" showErrorMessage="1" xr:uid="{00000000-0002-0000-0400-00000E000000}">
          <x14:formula1>
            <xm:f>'BH1-2 Progressionen'!$E:$E</xm:f>
          </x14:formula1>
          <xm:sqref>M12:M13</xm:sqref>
        </x14:dataValidation>
        <x14:dataValidation type="list" allowBlank="1" showInputMessage="1" showErrorMessage="1" xr:uid="{00000000-0002-0000-0400-00000F000000}">
          <x14:formula1>
            <xm:f>'BH1-2 Progressionen'!$F:$F</xm:f>
          </x14:formula1>
          <xm:sqref>O12:O13</xm:sqref>
        </x14:dataValidation>
        <x14:dataValidation type="list" allowBlank="1" showInputMessage="1" showErrorMessage="1" xr:uid="{00000000-0002-0000-0400-000010000000}">
          <x14:formula1>
            <xm:f>'BH1-2 Progressionen'!$G:$G</xm:f>
          </x14:formula1>
          <xm:sqref>S12:S13</xm:sqref>
        </x14:dataValidation>
        <x14:dataValidation type="list" allowBlank="1" showInputMessage="1" showErrorMessage="1" xr:uid="{00000000-0002-0000-0400-000011000000}">
          <x14:formula1>
            <xm:f>'BH1-2 Progressionen'!$H:$H</xm:f>
          </x14:formula1>
          <xm:sqref>B14</xm:sqref>
        </x14:dataValidation>
        <x14:dataValidation type="list" allowBlank="1" showInputMessage="1" showErrorMessage="1" xr:uid="{00000000-0002-0000-0400-000012000000}">
          <x14:formula1>
            <xm:f>'BH1-2 Progressionen'!$I:$I</xm:f>
          </x14:formula1>
          <xm:sqref>E14</xm:sqref>
        </x14:dataValidation>
        <x14:dataValidation type="list" allowBlank="1" showInputMessage="1" showErrorMessage="1" xr:uid="{00000000-0002-0000-0400-000013000000}">
          <x14:formula1>
            <xm:f>'BH1-2 Progressionen'!$J:$J</xm:f>
          </x14:formula1>
          <xm:sqref>I14</xm:sqref>
        </x14:dataValidation>
        <x14:dataValidation type="list" allowBlank="1" showInputMessage="1" showErrorMessage="1" xr:uid="{00000000-0002-0000-0400-000014000000}">
          <x14:formula1>
            <xm:f>'BH1-2 Progressionen'!$K:$K</xm:f>
          </x14:formula1>
          <xm:sqref>M14</xm:sqref>
        </x14:dataValidation>
        <x14:dataValidation type="list" allowBlank="1" showInputMessage="1" showErrorMessage="1" xr:uid="{00000000-0002-0000-0400-000015000000}">
          <x14:formula1>
            <xm:f>'BH1-2 Progressionen'!$M:$M</xm:f>
          </x14:formula1>
          <xm:sqref>S14</xm:sqref>
        </x14:dataValidation>
        <x14:dataValidation type="list" allowBlank="1" showInputMessage="1" showErrorMessage="1" xr:uid="{00000000-0002-0000-0400-000016000000}">
          <x14:formula1>
            <xm:f>' Unterkörper Progressionen '!$C:$C</xm:f>
          </x14:formula1>
          <xm:sqref>C19:E19</xm:sqref>
        </x14:dataValidation>
        <x14:dataValidation type="list" allowBlank="1" showInputMessage="1" showErrorMessage="1" xr:uid="{00000000-0002-0000-0400-000017000000}">
          <x14:formula1>
            <xm:f>' Unterkörper Progressionen '!$B:$B</xm:f>
          </x14:formula1>
          <xm:sqref>C18:E18</xm:sqref>
        </x14:dataValidation>
        <x14:dataValidation type="list" allowBlank="1" showInputMessage="1" showErrorMessage="1" xr:uid="{00000000-0002-0000-0400-000018000000}">
          <x14:formula1>
            <xm:f>' Unterkörper Progressionen '!$G:$G</xm:f>
          </x14:formula1>
          <xm:sqref>C25:E25</xm:sqref>
        </x14:dataValidation>
        <x14:dataValidation type="list" allowBlank="1" showInputMessage="1" showErrorMessage="1" xr:uid="{00000000-0002-0000-0400-000019000000}">
          <x14:formula1>
            <xm:f>' Unterkörper Progressionen '!$M:$M</xm:f>
          </x14:formula1>
          <xm:sqref>C31:E31</xm:sqref>
        </x14:dataValidation>
        <x14:dataValidation type="list" allowBlank="1" showInputMessage="1" showErrorMessage="1" xr:uid="{00000000-0002-0000-0400-00001A000000}">
          <x14:formula1>
            <xm:f>' Unterkörper Progressionen '!$N:$N</xm:f>
          </x14:formula1>
          <xm:sqref>C32:E32</xm:sqref>
        </x14:dataValidation>
        <x14:dataValidation type="list" allowBlank="1" showInputMessage="1" showErrorMessage="1" xr:uid="{00000000-0002-0000-0400-00001B000000}">
          <x14:formula1>
            <xm:f>' Unterkörper Progressionen '!$R:$R</xm:f>
          </x14:formula1>
          <xm:sqref>C36:E36</xm:sqref>
        </x14:dataValidation>
        <x14:dataValidation type="list" allowBlank="1" showInputMessage="1" showErrorMessage="1" xr:uid="{00000000-0002-0000-0400-00001C000000}">
          <x14:formula1>
            <xm:f>' Unterkörper Progressionen '!$S:$S</xm:f>
          </x14:formula1>
          <xm:sqref>C37:E37</xm:sqref>
        </x14:dataValidation>
        <x14:dataValidation type="list" allowBlank="1" showInputMessage="1" showErrorMessage="1" xr:uid="{00000000-0002-0000-0400-00001D000000}">
          <x14:formula1>
            <xm:f>' Unterkörper Progressionen '!$E:$E</xm:f>
          </x14:formula1>
          <xm:sqref>C23:E23</xm:sqref>
        </x14:dataValidation>
        <x14:dataValidation type="list" allowBlank="1" showInputMessage="1" showErrorMessage="1" xr:uid="{00000000-0002-0000-0400-00001E000000}">
          <x14:formula1>
            <xm:f>' Unterkörper Progressionen '!$D:$D</xm:f>
          </x14:formula1>
          <xm:sqref>C20:E20</xm:sqref>
        </x14:dataValidation>
        <x14:dataValidation type="list" allowBlank="1" showInputMessage="1" showErrorMessage="1" xr:uid="{00000000-0002-0000-0400-00001F000000}">
          <x14:formula1>
            <xm:f>' Unterkörper Progressionen '!$U:$U</xm:f>
          </x14:formula1>
          <xm:sqref>C40:E40</xm:sqref>
        </x14:dataValidation>
        <x14:dataValidation type="list" allowBlank="1" showInputMessage="1" showErrorMessage="1" xr:uid="{00000000-0002-0000-0400-000020000000}">
          <x14:formula1>
            <xm:f>' Unterkörper Progressionen '!$T:$T</xm:f>
          </x14:formula1>
          <xm:sqref>C38:E38</xm:sqref>
        </x14:dataValidation>
        <x14:dataValidation type="list" allowBlank="1" showInputMessage="1" showErrorMessage="1" xr:uid="{00000000-0002-0000-0400-000021000000}">
          <x14:formula1>
            <xm:f>' Unterkörper Progressionen '!$W:$W</xm:f>
          </x14:formula1>
          <xm:sqref>C41:E41</xm:sqref>
        </x14:dataValidation>
        <x14:dataValidation type="list" allowBlank="1" showInputMessage="1" showErrorMessage="1" xr:uid="{00000000-0002-0000-0400-000022000000}">
          <x14:formula1>
            <xm:f>' Unterkörper Progressionen '!$V:$V</xm:f>
          </x14:formula1>
          <xm:sqref>C42:E42</xm:sqref>
        </x14:dataValidation>
        <x14:dataValidation type="list" allowBlank="1" showInputMessage="1" showErrorMessage="1" xr:uid="{00000000-0002-0000-0400-000023000000}">
          <x14:formula1>
            <xm:f>' Unterkörper Progressionen '!$I:$I</xm:f>
          </x14:formula1>
          <xm:sqref>C27:E27</xm:sqref>
        </x14:dataValidation>
        <x14:dataValidation type="list" allowBlank="1" showInputMessage="1" showErrorMessage="1" xr:uid="{00000000-0002-0000-0400-000024000000}">
          <x14:formula1>
            <xm:f>' Unterkörper Progressionen '!$H:$H</xm:f>
          </x14:formula1>
          <xm:sqref>C26:E26</xm:sqref>
        </x14:dataValidation>
        <x14:dataValidation type="list" allowBlank="1" showInputMessage="1" showErrorMessage="1" xr:uid="{00000000-0002-0000-0400-000025000000}">
          <x14:formula1>
            <xm:f>' Unterkörper Progressionen '!$J:$J</xm:f>
          </x14:formula1>
          <xm:sqref>C28:E28</xm:sqref>
        </x14:dataValidation>
        <x14:dataValidation type="list" allowBlank="1" showInputMessage="1" showErrorMessage="1" xr:uid="{00000000-0002-0000-0400-000026000000}">
          <x14:formula1>
            <xm:f>' Unterkörper Progressionen '!$L:$L</xm:f>
          </x14:formula1>
          <xm:sqref>C30:E30</xm:sqref>
        </x14:dataValidation>
        <x14:dataValidation type="list" allowBlank="1" showInputMessage="1" showErrorMessage="1" xr:uid="{00000000-0002-0000-0400-000027000000}">
          <x14:formula1>
            <xm:f>' Unterkörper Progressionen '!$K:$K</xm:f>
          </x14:formula1>
          <xm:sqref>C29:E29</xm:sqref>
        </x14:dataValidation>
        <x14:dataValidation type="list" allowBlank="1" showInputMessage="1" showErrorMessage="1" xr:uid="{00000000-0002-0000-0400-000028000000}">
          <x14:formula1>
            <xm:f>' Unterkörper Progressionen '!$O:$O</xm:f>
          </x14:formula1>
          <xm:sqref>C33:E33</xm:sqref>
        </x14:dataValidation>
        <x14:dataValidation type="list" allowBlank="1" showInputMessage="1" showErrorMessage="1" xr:uid="{00000000-0002-0000-0400-000029000000}">
          <x14:formula1>
            <xm:f>' Unterkörper Progressionen '!$P:$P</xm:f>
          </x14:formula1>
          <xm:sqref>C34:E34</xm:sqref>
        </x14:dataValidation>
        <x14:dataValidation type="list" allowBlank="1" showInputMessage="1" showErrorMessage="1" xr:uid="{00000000-0002-0000-0400-00002A000000}">
          <x14:formula1>
            <xm:f>' Unterkörper Progressionen '!$Q:$Q</xm:f>
          </x14:formula1>
          <xm:sqref>C35:E35</xm:sqref>
        </x14:dataValidation>
        <x14:dataValidation type="list" allowBlank="1" showInputMessage="1" showErrorMessage="1" xr:uid="{00000000-0002-0000-0400-00002B000000}">
          <x14:formula1>
            <xm:f>' Unterkörper Progressionen '!$F:$F</xm:f>
          </x14:formula1>
          <xm:sqref>C24:E24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W48"/>
  <sheetViews>
    <sheetView zoomScale="57" zoomScaleNormal="70" workbookViewId="0">
      <selection activeCell="C31" sqref="C31:E31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x14ac:dyDescent="0.25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x14ac:dyDescent="0.25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e">
        <f>UnterkörperA!#REF!</f>
        <v>#REF!</v>
      </c>
      <c r="T10" s="63"/>
    </row>
    <row r="11" spans="2:23" ht="16.5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34" customFormat="1" ht="15.6" customHeight="1" x14ac:dyDescent="0.25">
      <c r="B12" s="598" t="s">
        <v>121</v>
      </c>
      <c r="C12" s="597"/>
      <c r="D12" s="597"/>
      <c r="E12" s="597" t="s">
        <v>146</v>
      </c>
      <c r="F12" s="597"/>
      <c r="G12" s="597"/>
      <c r="H12" s="597" t="s">
        <v>39</v>
      </c>
      <c r="I12" s="597"/>
      <c r="J12" s="597"/>
      <c r="K12" s="65"/>
      <c r="L12" s="597" t="s">
        <v>294</v>
      </c>
      <c r="M12" s="597"/>
      <c r="N12" s="597"/>
      <c r="O12" s="597" t="s">
        <v>567</v>
      </c>
      <c r="P12" s="597"/>
      <c r="Q12" s="597"/>
      <c r="R12" s="597" t="s">
        <v>529</v>
      </c>
      <c r="S12" s="597"/>
      <c r="T12" s="601"/>
    </row>
    <row r="13" spans="2:23" s="34" customFormat="1" ht="15.6" customHeight="1" x14ac:dyDescent="0.25">
      <c r="B13" s="507"/>
      <c r="T13" s="35"/>
    </row>
    <row r="14" spans="2:23" s="34" customFormat="1" ht="15.6" customHeight="1" x14ac:dyDescent="0.25">
      <c r="B14" s="600" t="s">
        <v>122</v>
      </c>
      <c r="C14" s="599"/>
      <c r="D14" s="599"/>
      <c r="E14" s="599" t="s">
        <v>123</v>
      </c>
      <c r="F14" s="599"/>
      <c r="G14" s="599"/>
      <c r="H14" s="599" t="s">
        <v>129</v>
      </c>
      <c r="I14" s="599"/>
      <c r="J14" s="599"/>
      <c r="L14" s="599" t="s">
        <v>130</v>
      </c>
      <c r="M14" s="599"/>
      <c r="N14" s="599"/>
      <c r="O14" s="599" t="s">
        <v>551</v>
      </c>
      <c r="P14" s="599"/>
      <c r="Q14" s="599"/>
      <c r="R14" s="599" t="s">
        <v>131</v>
      </c>
      <c r="S14" s="599"/>
      <c r="T14" s="603"/>
    </row>
    <row r="15" spans="2:23" ht="16.5" thickBot="1" x14ac:dyDescent="0.3">
      <c r="B15" s="576" t="str">
        <f>UnterkörperC!B15</f>
        <v>Level C</v>
      </c>
      <c r="C15" s="577"/>
      <c r="D15" s="577"/>
      <c r="E15" s="578"/>
      <c r="F15" s="1"/>
      <c r="G15" s="592" t="s">
        <v>352</v>
      </c>
      <c r="H15" s="593"/>
      <c r="I15" s="593"/>
      <c r="J15" s="593"/>
      <c r="K15" s="593"/>
      <c r="L15" s="593"/>
      <c r="M15" s="593"/>
      <c r="N15" s="593"/>
      <c r="O15" s="593"/>
      <c r="P15" s="593"/>
      <c r="Q15" s="593"/>
      <c r="R15" s="593"/>
      <c r="S15" s="593"/>
      <c r="T15" s="594"/>
    </row>
    <row r="16" spans="2:23" ht="21.6" customHeight="1" thickBot="1" x14ac:dyDescent="0.3">
      <c r="B16" s="579"/>
      <c r="C16" s="580"/>
      <c r="D16" s="580"/>
      <c r="E16" s="581"/>
      <c r="F16" s="1"/>
      <c r="G16" s="70" t="s">
        <v>865</v>
      </c>
      <c r="H16" s="582" t="s">
        <v>877</v>
      </c>
      <c r="I16" s="583"/>
      <c r="J16" s="71" t="s">
        <v>866</v>
      </c>
      <c r="K16" s="64"/>
      <c r="L16" s="70" t="s">
        <v>867</v>
      </c>
      <c r="M16" s="582" t="s">
        <v>878</v>
      </c>
      <c r="N16" s="583"/>
      <c r="O16" s="71" t="s">
        <v>868</v>
      </c>
      <c r="P16" s="64"/>
      <c r="Q16" s="70" t="s">
        <v>869</v>
      </c>
      <c r="R16" s="595" t="s">
        <v>879</v>
      </c>
      <c r="S16" s="596"/>
      <c r="T16" s="71" t="s">
        <v>870</v>
      </c>
    </row>
    <row r="17" spans="2:23" ht="16.5" thickBot="1" x14ac:dyDescent="0.3">
      <c r="B17" s="589" t="s">
        <v>8</v>
      </c>
      <c r="C17" s="590"/>
      <c r="D17" s="590"/>
      <c r="E17" s="591"/>
      <c r="F17" s="72"/>
      <c r="G17" s="15" t="s">
        <v>9</v>
      </c>
      <c r="H17" s="16" t="s">
        <v>10</v>
      </c>
      <c r="I17" s="16" t="s">
        <v>11</v>
      </c>
      <c r="J17" s="17" t="s">
        <v>880</v>
      </c>
      <c r="K17" s="1"/>
      <c r="L17" s="15" t="s">
        <v>9</v>
      </c>
      <c r="M17" s="16" t="s">
        <v>10</v>
      </c>
      <c r="N17" s="16" t="s">
        <v>11</v>
      </c>
      <c r="O17" s="17" t="s">
        <v>880</v>
      </c>
      <c r="P17" s="1"/>
      <c r="Q17" s="40" t="s">
        <v>9</v>
      </c>
      <c r="R17" s="41" t="s">
        <v>10</v>
      </c>
      <c r="S17" s="41" t="s">
        <v>11</v>
      </c>
      <c r="T17" s="42" t="s">
        <v>880</v>
      </c>
    </row>
    <row r="18" spans="2:23" s="1" customFormat="1" ht="19.899999999999999" customHeight="1" x14ac:dyDescent="0.25">
      <c r="B18" s="9">
        <v>1</v>
      </c>
      <c r="C18" s="560" t="s">
        <v>212</v>
      </c>
      <c r="D18" s="560"/>
      <c r="E18" s="561"/>
      <c r="G18" s="18" t="s">
        <v>12</v>
      </c>
      <c r="H18" s="19"/>
      <c r="I18" s="19" t="s">
        <v>14</v>
      </c>
      <c r="J18" s="20" t="s">
        <v>16</v>
      </c>
      <c r="L18" s="18" t="s">
        <v>12</v>
      </c>
      <c r="M18" s="19"/>
      <c r="N18" s="19" t="s">
        <v>14</v>
      </c>
      <c r="O18" s="20" t="s">
        <v>16</v>
      </c>
      <c r="Q18" s="43" t="s">
        <v>12</v>
      </c>
      <c r="R18" s="44"/>
      <c r="S18" s="44" t="s">
        <v>14</v>
      </c>
      <c r="T18" s="45" t="s">
        <v>16</v>
      </c>
    </row>
    <row r="19" spans="2:23" s="1" customFormat="1" ht="19.899999999999999" customHeight="1" x14ac:dyDescent="0.25">
      <c r="B19" s="3">
        <v>2</v>
      </c>
      <c r="C19" s="567" t="s">
        <v>597</v>
      </c>
      <c r="D19" s="567"/>
      <c r="E19" s="568"/>
      <c r="G19" s="67" t="s">
        <v>12</v>
      </c>
      <c r="H19" s="68"/>
      <c r="I19" s="68" t="s">
        <v>14</v>
      </c>
      <c r="J19" s="69" t="s">
        <v>560</v>
      </c>
      <c r="L19" s="67" t="s">
        <v>12</v>
      </c>
      <c r="M19" s="68"/>
      <c r="N19" s="68" t="s">
        <v>14</v>
      </c>
      <c r="O19" s="69" t="s">
        <v>560</v>
      </c>
      <c r="Q19" s="75" t="s">
        <v>12</v>
      </c>
      <c r="R19" s="76"/>
      <c r="S19" s="76" t="s">
        <v>14</v>
      </c>
      <c r="T19" s="77" t="s">
        <v>560</v>
      </c>
    </row>
    <row r="20" spans="2:23" s="1" customFormat="1" ht="19.899999999999999" customHeight="1" thickBot="1" x14ac:dyDescent="0.3">
      <c r="B20" s="4">
        <v>3</v>
      </c>
      <c r="C20" s="565" t="s">
        <v>602</v>
      </c>
      <c r="D20" s="565"/>
      <c r="E20" s="566"/>
      <c r="G20" s="24" t="s">
        <v>12</v>
      </c>
      <c r="H20" s="25"/>
      <c r="I20" s="25" t="s">
        <v>14</v>
      </c>
      <c r="J20" s="26" t="s">
        <v>560</v>
      </c>
      <c r="L20" s="24" t="s">
        <v>12</v>
      </c>
      <c r="M20" s="25"/>
      <c r="N20" s="25" t="s">
        <v>14</v>
      </c>
      <c r="O20" s="26" t="s">
        <v>560</v>
      </c>
      <c r="Q20" s="46" t="s">
        <v>12</v>
      </c>
      <c r="R20" s="47"/>
      <c r="S20" s="47" t="s">
        <v>14</v>
      </c>
      <c r="T20" s="48" t="s">
        <v>560</v>
      </c>
    </row>
    <row r="21" spans="2:23" s="2" customFormat="1" ht="4.9000000000000004" customHeight="1" thickBot="1" x14ac:dyDescent="0.3">
      <c r="B21" s="73"/>
      <c r="Q21" s="49"/>
      <c r="R21" s="49"/>
      <c r="S21" s="49"/>
      <c r="T21" s="74"/>
    </row>
    <row r="22" spans="2:23" s="1" customFormat="1" ht="16.5" thickBot="1" x14ac:dyDescent="0.3">
      <c r="B22" s="793" t="s">
        <v>871</v>
      </c>
      <c r="C22" s="563"/>
      <c r="D22" s="563"/>
      <c r="E22" s="564"/>
      <c r="G22" s="80" t="s">
        <v>880</v>
      </c>
      <c r="H22" s="81" t="s">
        <v>10</v>
      </c>
      <c r="I22" s="81" t="s">
        <v>11</v>
      </c>
      <c r="J22" s="82" t="s">
        <v>880</v>
      </c>
      <c r="K22" s="72"/>
      <c r="L22" s="80" t="str">
        <f>G22</f>
        <v>GEWICHT</v>
      </c>
      <c r="M22" s="81" t="s">
        <v>10</v>
      </c>
      <c r="N22" s="81" t="s">
        <v>11</v>
      </c>
      <c r="O22" s="82" t="s">
        <v>880</v>
      </c>
      <c r="P22" s="72"/>
      <c r="Q22" s="83" t="str">
        <f>L22</f>
        <v>GEWICHT</v>
      </c>
      <c r="R22" s="84" t="s">
        <v>10</v>
      </c>
      <c r="S22" s="84" t="s">
        <v>11</v>
      </c>
      <c r="T22" s="85" t="s">
        <v>880</v>
      </c>
      <c r="W22" s="36"/>
    </row>
    <row r="23" spans="2:23" s="1" customFormat="1" ht="19.899999999999999" customHeight="1" x14ac:dyDescent="0.25">
      <c r="B23" s="9">
        <v>1</v>
      </c>
      <c r="C23" s="560" t="s">
        <v>484</v>
      </c>
      <c r="D23" s="560"/>
      <c r="E23" s="561"/>
      <c r="G23" s="21"/>
      <c r="H23" s="22" t="s">
        <v>13</v>
      </c>
      <c r="I23" s="22" t="s">
        <v>7</v>
      </c>
      <c r="J23" s="23"/>
      <c r="L23" s="21"/>
      <c r="M23" s="22" t="s">
        <v>13</v>
      </c>
      <c r="N23" s="22" t="str">
        <f t="shared" ref="N23:N31" si="0">I23</f>
        <v>1x20</v>
      </c>
      <c r="O23" s="23"/>
      <c r="Q23" s="50"/>
      <c r="R23" s="52" t="s">
        <v>13</v>
      </c>
      <c r="S23" s="52" t="str">
        <f>N23</f>
        <v>1x20</v>
      </c>
      <c r="T23" s="53"/>
      <c r="W23" s="36"/>
    </row>
    <row r="24" spans="2:23" s="1" customFormat="1" ht="19.899999999999999" customHeight="1" x14ac:dyDescent="0.25">
      <c r="B24" s="3">
        <v>2</v>
      </c>
      <c r="C24" s="567" t="s">
        <v>250</v>
      </c>
      <c r="D24" s="567"/>
      <c r="E24" s="568"/>
      <c r="G24" s="27"/>
      <c r="H24" s="28" t="s">
        <v>13</v>
      </c>
      <c r="I24" s="28" t="s">
        <v>7</v>
      </c>
      <c r="J24" s="29"/>
      <c r="L24" s="27"/>
      <c r="M24" s="28" t="s">
        <v>13</v>
      </c>
      <c r="N24" s="28" t="str">
        <f t="shared" si="0"/>
        <v>1x20</v>
      </c>
      <c r="O24" s="29"/>
      <c r="Q24" s="54"/>
      <c r="R24" s="56" t="s">
        <v>13</v>
      </c>
      <c r="S24" s="56" t="str">
        <f>N24</f>
        <v>1x20</v>
      </c>
      <c r="T24" s="57"/>
      <c r="W24" s="36"/>
    </row>
    <row r="25" spans="2:23" s="1" customFormat="1" ht="19.899999999999999" customHeight="1" thickBot="1" x14ac:dyDescent="0.3">
      <c r="B25" s="4">
        <v>3</v>
      </c>
      <c r="C25" s="565" t="s">
        <v>172</v>
      </c>
      <c r="D25" s="565"/>
      <c r="E25" s="566"/>
      <c r="G25" s="24"/>
      <c r="H25" s="25" t="s">
        <v>13</v>
      </c>
      <c r="I25" s="25" t="s">
        <v>561</v>
      </c>
      <c r="J25" s="26"/>
      <c r="L25" s="24"/>
      <c r="M25" s="25" t="s">
        <v>13</v>
      </c>
      <c r="N25" s="25" t="str">
        <f t="shared" si="0"/>
        <v>1x10ea</v>
      </c>
      <c r="O25" s="26"/>
      <c r="Q25" s="46"/>
      <c r="R25" s="47" t="s">
        <v>13</v>
      </c>
      <c r="S25" s="47" t="str">
        <f>N25</f>
        <v>1x10ea</v>
      </c>
      <c r="T25" s="48"/>
    </row>
    <row r="26" spans="2:23" s="1" customFormat="1" ht="19.899999999999999" customHeight="1" x14ac:dyDescent="0.25">
      <c r="B26" s="9">
        <v>4</v>
      </c>
      <c r="C26" s="560" t="s">
        <v>496</v>
      </c>
      <c r="D26" s="560"/>
      <c r="E26" s="561"/>
      <c r="G26" s="21"/>
      <c r="H26" s="22" t="s">
        <v>13</v>
      </c>
      <c r="I26" s="22" t="s">
        <v>7</v>
      </c>
      <c r="J26" s="23"/>
      <c r="L26" s="21"/>
      <c r="M26" s="22" t="s">
        <v>13</v>
      </c>
      <c r="N26" s="22" t="str">
        <f t="shared" si="0"/>
        <v>1x20</v>
      </c>
      <c r="O26" s="23"/>
      <c r="Q26" s="50"/>
      <c r="R26" s="52" t="s">
        <v>13</v>
      </c>
      <c r="S26" s="52" t="s">
        <v>7</v>
      </c>
      <c r="T26" s="53"/>
    </row>
    <row r="27" spans="2:23" s="1" customFormat="1" ht="19.899999999999999" customHeight="1" x14ac:dyDescent="0.25">
      <c r="B27" s="3">
        <v>5</v>
      </c>
      <c r="C27" s="567" t="s">
        <v>499</v>
      </c>
      <c r="D27" s="567"/>
      <c r="E27" s="568"/>
      <c r="G27" s="27"/>
      <c r="H27" s="28" t="s">
        <v>13</v>
      </c>
      <c r="I27" s="28" t="s">
        <v>592</v>
      </c>
      <c r="J27" s="29"/>
      <c r="L27" s="27"/>
      <c r="M27" s="28" t="s">
        <v>13</v>
      </c>
      <c r="N27" s="28" t="str">
        <f t="shared" si="0"/>
        <v>1x20/ea</v>
      </c>
      <c r="O27" s="29"/>
      <c r="Q27" s="54"/>
      <c r="R27" s="56" t="s">
        <v>13</v>
      </c>
      <c r="S27" s="28" t="str">
        <f>I27</f>
        <v>1x20/ea</v>
      </c>
      <c r="T27" s="57"/>
    </row>
    <row r="28" spans="2:23" s="1" customFormat="1" ht="19.899999999999999" customHeight="1" thickBot="1" x14ac:dyDescent="0.3">
      <c r="B28" s="4">
        <v>6</v>
      </c>
      <c r="C28" s="565" t="s">
        <v>403</v>
      </c>
      <c r="D28" s="565"/>
      <c r="E28" s="566"/>
      <c r="G28" s="24"/>
      <c r="H28" s="25" t="s">
        <v>13</v>
      </c>
      <c r="I28" s="25" t="s">
        <v>292</v>
      </c>
      <c r="J28" s="26"/>
      <c r="L28" s="24"/>
      <c r="M28" s="25" t="s">
        <v>13</v>
      </c>
      <c r="N28" s="25" t="str">
        <f t="shared" si="0"/>
        <v>3x10s/ea</v>
      </c>
      <c r="O28" s="26"/>
      <c r="Q28" s="46"/>
      <c r="R28" s="47" t="s">
        <v>13</v>
      </c>
      <c r="S28" s="47" t="str">
        <f>N28</f>
        <v>3x10s/ea</v>
      </c>
      <c r="T28" s="48"/>
    </row>
    <row r="29" spans="2:23" s="1" customFormat="1" ht="19.899999999999999" customHeight="1" x14ac:dyDescent="0.25">
      <c r="B29" s="9">
        <v>7</v>
      </c>
      <c r="C29" s="560" t="s">
        <v>502</v>
      </c>
      <c r="D29" s="560"/>
      <c r="E29" s="561"/>
      <c r="G29" s="21"/>
      <c r="H29" s="22" t="s">
        <v>13</v>
      </c>
      <c r="I29" s="22" t="s">
        <v>7</v>
      </c>
      <c r="J29" s="23"/>
      <c r="L29" s="21"/>
      <c r="M29" s="22" t="s">
        <v>13</v>
      </c>
      <c r="N29" s="22" t="str">
        <f t="shared" si="0"/>
        <v>1x20</v>
      </c>
      <c r="O29" s="23"/>
      <c r="Q29" s="50"/>
      <c r="R29" s="52" t="s">
        <v>13</v>
      </c>
      <c r="S29" s="52" t="str">
        <f>N29</f>
        <v>1x20</v>
      </c>
      <c r="T29" s="53"/>
    </row>
    <row r="30" spans="2:23" s="1" customFormat="1" ht="19.899999999999999" customHeight="1" x14ac:dyDescent="0.25">
      <c r="B30" s="3">
        <v>8</v>
      </c>
      <c r="C30" s="567" t="s">
        <v>262</v>
      </c>
      <c r="D30" s="567"/>
      <c r="E30" s="568"/>
      <c r="G30" s="27"/>
      <c r="H30" s="28" t="s">
        <v>13</v>
      </c>
      <c r="I30" s="28" t="s">
        <v>7</v>
      </c>
      <c r="J30" s="29"/>
      <c r="L30" s="27"/>
      <c r="M30" s="28" t="s">
        <v>13</v>
      </c>
      <c r="N30" s="28" t="str">
        <f t="shared" si="0"/>
        <v>1x20</v>
      </c>
      <c r="O30" s="29"/>
      <c r="Q30" s="54"/>
      <c r="R30" s="56" t="s">
        <v>13</v>
      </c>
      <c r="S30" s="56" t="str">
        <f>N30</f>
        <v>1x20</v>
      </c>
      <c r="T30" s="57"/>
    </row>
    <row r="31" spans="2:23" s="1" customFormat="1" ht="19.899999999999999" customHeight="1" thickBot="1" x14ac:dyDescent="0.3">
      <c r="B31" s="4">
        <v>9</v>
      </c>
      <c r="C31" s="565" t="s">
        <v>507</v>
      </c>
      <c r="D31" s="565"/>
      <c r="E31" s="566"/>
      <c r="G31" s="24"/>
      <c r="H31" s="25" t="s">
        <v>13</v>
      </c>
      <c r="I31" s="25" t="s">
        <v>7</v>
      </c>
      <c r="J31" s="26"/>
      <c r="L31" s="24"/>
      <c r="M31" s="25" t="s">
        <v>13</v>
      </c>
      <c r="N31" s="25" t="str">
        <f t="shared" si="0"/>
        <v>1x20</v>
      </c>
      <c r="O31" s="26"/>
      <c r="Q31" s="46"/>
      <c r="R31" s="47" t="s">
        <v>13</v>
      </c>
      <c r="S31" s="25" t="str">
        <f>N31</f>
        <v>1x20</v>
      </c>
      <c r="T31" s="48"/>
    </row>
    <row r="32" spans="2:23" s="1" customFormat="1" ht="19.899999999999999" customHeight="1" x14ac:dyDescent="0.25">
      <c r="B32" s="9">
        <v>10</v>
      </c>
      <c r="C32" s="560" t="s">
        <v>146</v>
      </c>
      <c r="D32" s="560"/>
      <c r="E32" s="561"/>
      <c r="G32" s="21"/>
      <c r="H32" s="22" t="s">
        <v>13</v>
      </c>
      <c r="I32" s="22" t="s">
        <v>562</v>
      </c>
      <c r="J32" s="23"/>
      <c r="L32" s="21"/>
      <c r="M32" s="22" t="s">
        <v>13</v>
      </c>
      <c r="N32" s="22" t="s">
        <v>563</v>
      </c>
      <c r="O32" s="23"/>
      <c r="Q32" s="21"/>
      <c r="R32" s="22" t="s">
        <v>13</v>
      </c>
      <c r="S32" s="22" t="s">
        <v>564</v>
      </c>
      <c r="T32" s="23"/>
    </row>
    <row r="33" spans="2:22" s="1" customFormat="1" ht="19.899999999999999" customHeight="1" x14ac:dyDescent="0.25">
      <c r="B33" s="3">
        <v>11</v>
      </c>
      <c r="C33" s="567" t="s">
        <v>263</v>
      </c>
      <c r="D33" s="567"/>
      <c r="E33" s="568"/>
      <c r="G33" s="27"/>
      <c r="H33" s="28" t="s">
        <v>13</v>
      </c>
      <c r="I33" s="28" t="s">
        <v>592</v>
      </c>
      <c r="J33" s="29"/>
      <c r="L33" s="27"/>
      <c r="M33" s="28" t="s">
        <v>13</v>
      </c>
      <c r="N33" s="28" t="str">
        <f>I33</f>
        <v>1x20/ea</v>
      </c>
      <c r="O33" s="29"/>
      <c r="Q33" s="27"/>
      <c r="R33" s="28" t="s">
        <v>13</v>
      </c>
      <c r="S33" s="28" t="str">
        <f>N33</f>
        <v>1x20/ea</v>
      </c>
      <c r="T33" s="29"/>
    </row>
    <row r="34" spans="2:22" s="1" customFormat="1" ht="19.899999999999999" customHeight="1" thickBot="1" x14ac:dyDescent="0.3">
      <c r="B34" s="4">
        <v>12</v>
      </c>
      <c r="C34" s="565" t="s">
        <v>510</v>
      </c>
      <c r="D34" s="565"/>
      <c r="E34" s="566"/>
      <c r="G34" s="24"/>
      <c r="H34" s="25" t="s">
        <v>13</v>
      </c>
      <c r="I34" s="25" t="s">
        <v>592</v>
      </c>
      <c r="J34" s="26"/>
      <c r="L34" s="24"/>
      <c r="M34" s="25" t="s">
        <v>13</v>
      </c>
      <c r="N34" s="25" t="str">
        <f>I34</f>
        <v>1x20/ea</v>
      </c>
      <c r="O34" s="26"/>
      <c r="Q34" s="46"/>
      <c r="R34" s="47" t="s">
        <v>13</v>
      </c>
      <c r="S34" s="47" t="str">
        <f>N34</f>
        <v>1x20/ea</v>
      </c>
      <c r="T34" s="48"/>
    </row>
    <row r="35" spans="2:22" s="2" customFormat="1" ht="16.149999999999999" customHeight="1" thickBot="1" x14ac:dyDescent="0.3">
      <c r="B35" s="562" t="s">
        <v>874</v>
      </c>
      <c r="C35" s="563"/>
      <c r="D35" s="563"/>
      <c r="E35" s="564"/>
      <c r="F35" s="79"/>
      <c r="G35" s="557"/>
      <c r="H35" s="55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9"/>
    </row>
    <row r="36" spans="2:22" s="1" customFormat="1" ht="19.899999999999999" customHeight="1" x14ac:dyDescent="0.25">
      <c r="B36" s="9">
        <v>13</v>
      </c>
      <c r="C36" s="560" t="s">
        <v>522</v>
      </c>
      <c r="D36" s="560"/>
      <c r="E36" s="561"/>
      <c r="G36" s="21"/>
      <c r="H36" s="22" t="s">
        <v>13</v>
      </c>
      <c r="I36" s="22" t="s">
        <v>210</v>
      </c>
      <c r="J36" s="23"/>
      <c r="L36" s="21"/>
      <c r="M36" s="22" t="s">
        <v>13</v>
      </c>
      <c r="N36" s="22" t="s">
        <v>210</v>
      </c>
      <c r="O36" s="23"/>
      <c r="Q36" s="21"/>
      <c r="R36" s="22" t="s">
        <v>13</v>
      </c>
      <c r="S36" s="22" t="str">
        <f>N36</f>
        <v>1x60s</v>
      </c>
      <c r="T36" s="23"/>
    </row>
    <row r="37" spans="2:22" s="1" customFormat="1" ht="19.899999999999999" customHeight="1" x14ac:dyDescent="0.25">
      <c r="B37" s="3">
        <v>14</v>
      </c>
      <c r="C37" s="567" t="s">
        <v>523</v>
      </c>
      <c r="D37" s="567"/>
      <c r="E37" s="568"/>
      <c r="G37" s="18"/>
      <c r="H37" s="28" t="s">
        <v>13</v>
      </c>
      <c r="I37" s="19" t="s">
        <v>210</v>
      </c>
      <c r="J37" s="20"/>
      <c r="L37" s="18"/>
      <c r="M37" s="19" t="str">
        <f>H37</f>
        <v>8-9</v>
      </c>
      <c r="N37" s="19" t="str">
        <f>I37</f>
        <v>1x60s</v>
      </c>
      <c r="O37" s="20"/>
      <c r="Q37" s="18"/>
      <c r="R37" s="19" t="str">
        <f>M37</f>
        <v>8-9</v>
      </c>
      <c r="S37" s="19" t="str">
        <f>N37</f>
        <v>1x60s</v>
      </c>
      <c r="T37" s="20"/>
    </row>
    <row r="38" spans="2:22" s="1" customFormat="1" ht="19.899999999999999" customHeight="1" x14ac:dyDescent="0.25">
      <c r="B38" s="3">
        <v>15</v>
      </c>
      <c r="C38" s="567" t="s">
        <v>515</v>
      </c>
      <c r="D38" s="567"/>
      <c r="E38" s="568"/>
      <c r="G38" s="27"/>
      <c r="H38" s="28" t="s">
        <v>13</v>
      </c>
      <c r="I38" s="28" t="s">
        <v>210</v>
      </c>
      <c r="J38" s="29"/>
      <c r="L38" s="27"/>
      <c r="M38" s="28" t="s">
        <v>13</v>
      </c>
      <c r="N38" s="28" t="str">
        <f>I38</f>
        <v>1x60s</v>
      </c>
      <c r="O38" s="29"/>
      <c r="Q38" s="27"/>
      <c r="R38" s="28" t="s">
        <v>13</v>
      </c>
      <c r="S38" s="28" t="str">
        <f>N36</f>
        <v>1x60s</v>
      </c>
      <c r="T38" s="29"/>
    </row>
    <row r="39" spans="2:22" s="1" customFormat="1" ht="19.899999999999999" customHeight="1" thickBot="1" x14ac:dyDescent="0.3">
      <c r="B39" s="4">
        <v>16</v>
      </c>
      <c r="C39" s="571" t="s">
        <v>609</v>
      </c>
      <c r="D39" s="571"/>
      <c r="E39" s="572"/>
      <c r="F39" s="66"/>
      <c r="G39" s="24"/>
      <c r="H39" s="25" t="s">
        <v>13</v>
      </c>
      <c r="I39" s="25" t="s">
        <v>291</v>
      </c>
      <c r="J39" s="26"/>
      <c r="K39" s="66"/>
      <c r="L39" s="24"/>
      <c r="M39" s="25" t="s">
        <v>13</v>
      </c>
      <c r="N39" s="25" t="str">
        <f>I39</f>
        <v>1x60s/ea</v>
      </c>
      <c r="O39" s="26"/>
      <c r="P39" s="66"/>
      <c r="Q39" s="24"/>
      <c r="R39" s="25" t="s">
        <v>13</v>
      </c>
      <c r="S39" s="25" t="str">
        <f>I39</f>
        <v>1x60s/ea</v>
      </c>
      <c r="T39" s="26"/>
    </row>
    <row r="40" spans="2:22" x14ac:dyDescent="0.25">
      <c r="V40" s="1" t="s">
        <v>288</v>
      </c>
    </row>
    <row r="41" spans="2:22" x14ac:dyDescent="0.25">
      <c r="V41" s="1" t="s">
        <v>17</v>
      </c>
    </row>
    <row r="42" spans="2:22" x14ac:dyDescent="0.25">
      <c r="V42" s="1" t="s">
        <v>18</v>
      </c>
    </row>
    <row r="43" spans="2:22" x14ac:dyDescent="0.25">
      <c r="V43" s="1" t="s">
        <v>15</v>
      </c>
    </row>
    <row r="44" spans="2:22" x14ac:dyDescent="0.25">
      <c r="V44" s="1" t="s">
        <v>209</v>
      </c>
    </row>
    <row r="45" spans="2:22" x14ac:dyDescent="0.25">
      <c r="V45" s="1" t="s">
        <v>210</v>
      </c>
    </row>
    <row r="46" spans="2:22" x14ac:dyDescent="0.25">
      <c r="V46" s="1" t="s">
        <v>273</v>
      </c>
    </row>
    <row r="47" spans="2:22" x14ac:dyDescent="0.25">
      <c r="V47" s="1" t="s">
        <v>7</v>
      </c>
    </row>
    <row r="48" spans="2:22" x14ac:dyDescent="0.25">
      <c r="V48" s="1" t="s">
        <v>574</v>
      </c>
    </row>
  </sheetData>
  <mergeCells count="42">
    <mergeCell ref="G35:T35"/>
    <mergeCell ref="C36:E36"/>
    <mergeCell ref="C37:E37"/>
    <mergeCell ref="C38:E38"/>
    <mergeCell ref="C39:E39"/>
    <mergeCell ref="R14:T14"/>
    <mergeCell ref="C30:E30"/>
    <mergeCell ref="C31:E31"/>
    <mergeCell ref="C32:E32"/>
    <mergeCell ref="C33:E33"/>
    <mergeCell ref="B17:E17"/>
    <mergeCell ref="C18:E18"/>
    <mergeCell ref="C19:E19"/>
    <mergeCell ref="C20:E20"/>
    <mergeCell ref="B22:E22"/>
    <mergeCell ref="C23:E23"/>
    <mergeCell ref="B14:D14"/>
    <mergeCell ref="E14:G14"/>
    <mergeCell ref="H14:J14"/>
    <mergeCell ref="L14:N14"/>
    <mergeCell ref="O14:Q14"/>
    <mergeCell ref="C34:E34"/>
    <mergeCell ref="B35:E35"/>
    <mergeCell ref="C24:E24"/>
    <mergeCell ref="C25:E25"/>
    <mergeCell ref="C26:E26"/>
    <mergeCell ref="C27:E27"/>
    <mergeCell ref="C28:E28"/>
    <mergeCell ref="C29:E29"/>
    <mergeCell ref="B15:E16"/>
    <mergeCell ref="G15:T15"/>
    <mergeCell ref="H16:I16"/>
    <mergeCell ref="M16:N16"/>
    <mergeCell ref="R16:S16"/>
    <mergeCell ref="O2:T7"/>
    <mergeCell ref="M10:N10"/>
    <mergeCell ref="B12:D12"/>
    <mergeCell ref="E12:G12"/>
    <mergeCell ref="H12:J12"/>
    <mergeCell ref="L12:N12"/>
    <mergeCell ref="O12:Q12"/>
    <mergeCell ref="R12:T12"/>
  </mergeCells>
  <dataValidations count="6">
    <dataValidation type="list" allowBlank="1" showInputMessage="1" showErrorMessage="1" sqref="M23:M34 H23:H34 R23:R34 R38:R39 H36:H39 R36 M36 M38:M39" xr:uid="{00000000-0002-0000-0500-000000000000}">
      <formula1>$W$22:$W$24</formula1>
    </dataValidation>
    <dataValidation type="list" allowBlank="1" showInputMessage="1" showErrorMessage="1" sqref="N38:N39 I36:I38 S36 N36 S38" xr:uid="{00000000-0002-0000-0500-000001000000}">
      <formula1>$V$40:$V$45</formula1>
    </dataValidation>
    <dataValidation type="list" allowBlank="1" showInputMessage="1" showErrorMessage="1" sqref="I31" xr:uid="{00000000-0002-0000-0500-000002000000}">
      <formula1>$V$40:$V$49</formula1>
    </dataValidation>
    <dataValidation type="list" allowBlank="1" showInputMessage="1" showErrorMessage="1" sqref="N31" xr:uid="{00000000-0002-0000-0500-000003000000}">
      <formula1>$V$40:$V$51</formula1>
    </dataValidation>
    <dataValidation type="list" allowBlank="1" showInputMessage="1" showErrorMessage="1" sqref="S31" xr:uid="{00000000-0002-0000-0500-000004000000}">
      <formula1>$V$40:$V$50</formula1>
    </dataValidation>
    <dataValidation type="list" allowBlank="1" showInputMessage="1" showErrorMessage="1" sqref="I24 N27" xr:uid="{00000000-0002-0000-0500-000005000000}">
      <formula1>$V$40:$V$48</formula1>
    </dataValidation>
  </dataValidation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 xr:uid="{00000000-0002-0000-0500-000006000000}">
          <x14:formula1>
            <xm:f>'Oberkörper Progressionen '!$P:$P</xm:f>
          </x14:formula1>
          <xm:sqref>C34:E34</xm:sqref>
        </x14:dataValidation>
        <x14:dataValidation type="list" allowBlank="1" showInputMessage="1" showErrorMessage="1" xr:uid="{00000000-0002-0000-0500-000008000000}">
          <x14:formula1>
            <xm:f>'Oberkörper Progressionen '!$B:$B</xm:f>
          </x14:formula1>
          <xm:sqref>C18:E18</xm:sqref>
        </x14:dataValidation>
        <x14:dataValidation type="list" allowBlank="1" showInputMessage="1" showErrorMessage="1" xr:uid="{00000000-0002-0000-0500-000009000000}">
          <x14:formula1>
            <xm:f>'Oberkörper Progressionen '!$S:$S</xm:f>
          </x14:formula1>
          <xm:sqref>C39:E39</xm:sqref>
        </x14:dataValidation>
        <x14:dataValidation type="list" allowBlank="1" showInputMessage="1" showErrorMessage="1" xr:uid="{00000000-0002-0000-0500-00000A000000}">
          <x14:formula1>
            <xm:f>'Oberkörper Progressionen '!$R:$R</xm:f>
          </x14:formula1>
          <xm:sqref>C36:E36</xm:sqref>
        </x14:dataValidation>
        <x14:dataValidation type="list" allowBlank="1" showInputMessage="1" showErrorMessage="1" xr:uid="{00000000-0002-0000-0500-00000B000000}">
          <x14:formula1>
            <xm:f>'Oberkörper Progressionen '!$Q:$Q</xm:f>
          </x14:formula1>
          <xm:sqref>C38:E38</xm:sqref>
        </x14:dataValidation>
        <x14:dataValidation type="list" allowBlank="1" showInputMessage="1" showErrorMessage="1" xr:uid="{00000000-0002-0000-0500-00000C000000}">
          <x14:formula1>
            <xm:f>'Oberkörper Progressionen '!$O:$O</xm:f>
          </x14:formula1>
          <xm:sqref>C33:E33</xm:sqref>
        </x14:dataValidation>
        <x14:dataValidation type="list" allowBlank="1" showInputMessage="1" showErrorMessage="1" xr:uid="{00000000-0002-0000-0500-00000D000000}">
          <x14:formula1>
            <xm:f>'Oberkörper Progressionen '!$N:$N</xm:f>
          </x14:formula1>
          <xm:sqref>C32:E32</xm:sqref>
        </x14:dataValidation>
        <x14:dataValidation type="list" allowBlank="1" showInputMessage="1" showErrorMessage="1" xr:uid="{00000000-0002-0000-0500-00000E000000}">
          <x14:formula1>
            <xm:f>'Oberkörper Progressionen '!$L:$L</xm:f>
          </x14:formula1>
          <xm:sqref>C30:E30</xm:sqref>
        </x14:dataValidation>
        <x14:dataValidation type="list" allowBlank="1" showInputMessage="1" showErrorMessage="1" xr:uid="{00000000-0002-0000-0500-00000F000000}">
          <x14:formula1>
            <xm:f>'Oberkörper Progressionen '!$K:$K</xm:f>
          </x14:formula1>
          <xm:sqref>C29:E29</xm:sqref>
        </x14:dataValidation>
        <x14:dataValidation type="list" allowBlank="1" showInputMessage="1" showErrorMessage="1" xr:uid="{00000000-0002-0000-0500-000010000000}">
          <x14:formula1>
            <xm:f>'Oberkörper Progressionen '!$F:$F</xm:f>
          </x14:formula1>
          <xm:sqref>C24:E24</xm:sqref>
        </x14:dataValidation>
        <x14:dataValidation type="list" allowBlank="1" showInputMessage="1" showErrorMessage="1" xr:uid="{00000000-0002-0000-0500-000011000000}">
          <x14:formula1>
            <xm:f>'Oberkörper Progressionen '!$E:$E</xm:f>
          </x14:formula1>
          <xm:sqref>C23:E23</xm:sqref>
        </x14:dataValidation>
        <x14:dataValidation type="list" allowBlank="1" showInputMessage="1" showErrorMessage="1" xr:uid="{00000000-0002-0000-0500-000013000000}">
          <x14:formula1>
            <xm:f>'Oberkörper Progressionen '!$T:$T</xm:f>
          </x14:formula1>
          <xm:sqref>C37:E37</xm:sqref>
        </x14:dataValidation>
        <x14:dataValidation type="list" allowBlank="1" showInputMessage="1" showErrorMessage="1" xr:uid="{00000000-0002-0000-0500-000014000000}">
          <x14:formula1>
            <xm:f>'Oberkörper Progressionen '!$H:$H</xm:f>
          </x14:formula1>
          <xm:sqref>C26:E26</xm:sqref>
        </x14:dataValidation>
        <x14:dataValidation type="list" allowBlank="1" showInputMessage="1" showErrorMessage="1" xr:uid="{00000000-0002-0000-0500-000015000000}">
          <x14:formula1>
            <xm:f>'Oberkörper Progressionen '!$J:$J</xm:f>
          </x14:formula1>
          <xm:sqref>C28:E28</xm:sqref>
        </x14:dataValidation>
        <x14:dataValidation type="list" allowBlank="1" showInputMessage="1" showErrorMessage="1" xr:uid="{00000000-0002-0000-0500-000016000000}">
          <x14:formula1>
            <xm:f>'Oberkörper Progressionen '!$M:$M</xm:f>
          </x14:formula1>
          <xm:sqref>C31:E31</xm:sqref>
        </x14:dataValidation>
        <x14:dataValidation type="list" allowBlank="1" showInputMessage="1" showErrorMessage="1" xr:uid="{00000000-0002-0000-0500-000017000000}">
          <x14:formula1>
            <xm:f>'Oberkörper Progressionen '!$G:$G</xm:f>
          </x14:formula1>
          <xm:sqref>C25:E25</xm:sqref>
        </x14:dataValidation>
        <x14:dataValidation type="list" allowBlank="1" showInputMessage="1" showErrorMessage="1" xr:uid="{00000000-0002-0000-0500-000018000000}">
          <x14:formula1>
            <xm:f>'Oberkörper Progressionen '!$I:$I</xm:f>
          </x14:formula1>
          <xm:sqref>C27:E27</xm:sqref>
        </x14:dataValidation>
        <x14:dataValidation type="list" allowBlank="1" showInputMessage="1" showErrorMessage="1" xr:uid="{00000000-0002-0000-0500-000007000000}">
          <x14:formula1>
            <xm:f>'Oberkörper Progressionen '!$C:$C</xm:f>
          </x14:formula1>
          <xm:sqref>C19:E19</xm:sqref>
        </x14:dataValidation>
        <x14:dataValidation type="list" allowBlank="1" showInputMessage="1" showErrorMessage="1" xr:uid="{00000000-0002-0000-0500-000012000000}">
          <x14:formula1>
            <xm:f>'Oberkörper Progressionen '!$D:$D</xm:f>
          </x14:formula1>
          <xm:sqref>C20:E20</xm:sqref>
        </x14:dataValidation>
        <x14:dataValidation type="list" allowBlank="1" showInputMessage="1" showErrorMessage="1" xr:uid="{00000000-0002-0000-0500-000019000000}">
          <x14:formula1>
            <xm:f>'BH1-2 Progressionen'!$D:$D</xm:f>
          </x14:formula1>
          <xm:sqref>H12:H13</xm:sqref>
        </x14:dataValidation>
        <x14:dataValidation type="list" allowBlank="1" showInputMessage="1" showErrorMessage="1" xr:uid="{00000000-0002-0000-0500-00001A000000}">
          <x14:formula1>
            <xm:f>'BH1-2 Progressionen'!$C:$C</xm:f>
          </x14:formula1>
          <xm:sqref>E12:E13</xm:sqref>
        </x14:dataValidation>
        <x14:dataValidation type="list" allowBlank="1" showInputMessage="1" showErrorMessage="1" xr:uid="{00000000-0002-0000-0500-00001B000000}">
          <x14:formula1>
            <xm:f>'BH1-2 Progressionen'!$B:$B</xm:f>
          </x14:formula1>
          <xm:sqref>B12:B13</xm:sqref>
        </x14:dataValidation>
        <x14:dataValidation type="list" allowBlank="1" showInputMessage="1" showErrorMessage="1" xr:uid="{00000000-0002-0000-0500-00001C000000}">
          <x14:formula1>
            <xm:f>'BH1-2 Progressionen'!$E:$E</xm:f>
          </x14:formula1>
          <xm:sqref>L12:N13</xm:sqref>
        </x14:dataValidation>
        <x14:dataValidation type="list" allowBlank="1" showInputMessage="1" showErrorMessage="1" xr:uid="{00000000-0002-0000-0500-00001D000000}">
          <x14:formula1>
            <xm:f>'BH1-2 Progressionen'!$F:$F</xm:f>
          </x14:formula1>
          <xm:sqref>O12:Q13</xm:sqref>
        </x14:dataValidation>
        <x14:dataValidation type="list" allowBlank="1" showInputMessage="1" showErrorMessage="1" xr:uid="{00000000-0002-0000-0500-00001E000000}">
          <x14:formula1>
            <xm:f>'BH1-2 Progressionen'!$G:$G</xm:f>
          </x14:formula1>
          <xm:sqref>R12:T13</xm:sqref>
        </x14:dataValidation>
        <x14:dataValidation type="list" allowBlank="1" showInputMessage="1" showErrorMessage="1" xr:uid="{00000000-0002-0000-0500-00001F000000}">
          <x14:formula1>
            <xm:f>'BH1-2 Progressionen'!$H:$H</xm:f>
          </x14:formula1>
          <xm:sqref>B14:D14</xm:sqref>
        </x14:dataValidation>
        <x14:dataValidation type="list" allowBlank="1" showInputMessage="1" showErrorMessage="1" xr:uid="{00000000-0002-0000-0500-000020000000}">
          <x14:formula1>
            <xm:f>'BH1-2 Progressionen'!$I:$I</xm:f>
          </x14:formula1>
          <xm:sqref>E14:G14</xm:sqref>
        </x14:dataValidation>
        <x14:dataValidation type="list" allowBlank="1" showInputMessage="1" showErrorMessage="1" xr:uid="{00000000-0002-0000-0500-000021000000}">
          <x14:formula1>
            <xm:f>'BH1-2 Progressionen'!$J:$J</xm:f>
          </x14:formula1>
          <xm:sqref>H14:J14</xm:sqref>
        </x14:dataValidation>
        <x14:dataValidation type="list" allowBlank="1" showInputMessage="1" showErrorMessage="1" xr:uid="{00000000-0002-0000-0500-000022000000}">
          <x14:formula1>
            <xm:f>'BH1-2 Progressionen'!$K:$K</xm:f>
          </x14:formula1>
          <xm:sqref>L14:N14</xm:sqref>
        </x14:dataValidation>
        <x14:dataValidation type="list" allowBlank="1" showInputMessage="1" showErrorMessage="1" xr:uid="{00000000-0002-0000-0500-000023000000}">
          <x14:formula1>
            <xm:f>'BH1-2 Progressionen'!$L:$L</xm:f>
          </x14:formula1>
          <xm:sqref>O14:Q14</xm:sqref>
        </x14:dataValidation>
        <x14:dataValidation type="list" allowBlank="1" showInputMessage="1" showErrorMessage="1" xr:uid="{00000000-0002-0000-0500-000024000000}">
          <x14:formula1>
            <xm:f>'BH1-2 Progressionen'!$M:$M</xm:f>
          </x14:formula1>
          <xm:sqref>R14:T14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X54"/>
  <sheetViews>
    <sheetView zoomScale="78" zoomScaleNormal="110" workbookViewId="0">
      <selection activeCell="A15" sqref="A15:XFD15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4" ht="16.5" thickBot="1" x14ac:dyDescent="0.3"/>
    <row r="2" spans="2:24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4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4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4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4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4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4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4" x14ac:dyDescent="0.25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4" x14ac:dyDescent="0.25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</v>
      </c>
      <c r="T10" s="63"/>
    </row>
    <row r="11" spans="2:24" ht="16.5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4" s="34" customFormat="1" ht="15.6" customHeight="1" x14ac:dyDescent="0.25">
      <c r="B12" s="598" t="s">
        <v>548</v>
      </c>
      <c r="C12" s="597"/>
      <c r="D12" s="597"/>
      <c r="E12" s="597" t="s">
        <v>272</v>
      </c>
      <c r="F12" s="597"/>
      <c r="G12" s="597"/>
      <c r="H12" s="65"/>
      <c r="I12" s="65" t="s">
        <v>547</v>
      </c>
      <c r="J12" s="65"/>
      <c r="K12" s="65"/>
      <c r="L12" s="65"/>
      <c r="M12" s="65" t="s">
        <v>365</v>
      </c>
      <c r="N12" s="65"/>
      <c r="O12" s="597" t="s">
        <v>568</v>
      </c>
      <c r="P12" s="597"/>
      <c r="Q12" s="597"/>
      <c r="R12" s="65"/>
      <c r="S12" s="65" t="s">
        <v>571</v>
      </c>
      <c r="T12" s="33"/>
    </row>
    <row r="13" spans="2:24" s="34" customFormat="1" ht="15.6" customHeight="1" x14ac:dyDescent="0.25">
      <c r="B13" s="507"/>
      <c r="T13" s="35"/>
    </row>
    <row r="14" spans="2:24" s="34" customFormat="1" ht="15" customHeight="1" thickBot="1" x14ac:dyDescent="0.3">
      <c r="B14" s="600" t="s">
        <v>127</v>
      </c>
      <c r="C14" s="599"/>
      <c r="D14" s="599"/>
      <c r="E14" s="599" t="s">
        <v>546</v>
      </c>
      <c r="F14" s="599"/>
      <c r="G14" s="599"/>
      <c r="I14" s="34" t="s">
        <v>133</v>
      </c>
      <c r="M14" s="34" t="s">
        <v>134</v>
      </c>
      <c r="O14" s="599" t="s">
        <v>552</v>
      </c>
      <c r="P14" s="599"/>
      <c r="Q14" s="599"/>
      <c r="S14" s="34" t="s">
        <v>155</v>
      </c>
      <c r="T14" s="35"/>
    </row>
    <row r="15" spans="2:24" ht="16.5" thickBot="1" x14ac:dyDescent="0.3">
      <c r="B15" s="576" t="s">
        <v>613</v>
      </c>
      <c r="C15" s="577"/>
      <c r="D15" s="577"/>
      <c r="E15" s="578"/>
      <c r="F15" s="1"/>
      <c r="G15" s="562" t="s">
        <v>116</v>
      </c>
      <c r="H15" s="563"/>
      <c r="I15" s="563"/>
      <c r="J15" s="563"/>
      <c r="K15" s="563"/>
      <c r="L15" s="563"/>
      <c r="M15" s="563"/>
      <c r="N15" s="563"/>
      <c r="O15" s="563"/>
      <c r="P15" s="563"/>
      <c r="Q15" s="563"/>
      <c r="R15" s="563"/>
      <c r="S15" s="563"/>
      <c r="T15" s="564"/>
      <c r="X15" t="s">
        <v>286</v>
      </c>
    </row>
    <row r="16" spans="2:24" ht="21.6" customHeight="1" thickBot="1" x14ac:dyDescent="0.3">
      <c r="B16" s="579"/>
      <c r="C16" s="580"/>
      <c r="D16" s="580"/>
      <c r="E16" s="581"/>
      <c r="F16" s="1"/>
      <c r="G16" s="70" t="s">
        <v>865</v>
      </c>
      <c r="H16" s="582" t="s">
        <v>877</v>
      </c>
      <c r="I16" s="583"/>
      <c r="J16" s="71" t="s">
        <v>866</v>
      </c>
      <c r="K16" s="64"/>
      <c r="L16" s="70" t="s">
        <v>867</v>
      </c>
      <c r="M16" s="582" t="s">
        <v>878</v>
      </c>
      <c r="N16" s="583"/>
      <c r="O16" s="71" t="s">
        <v>868</v>
      </c>
      <c r="P16" s="64"/>
      <c r="Q16" s="71" t="s">
        <v>869</v>
      </c>
      <c r="R16" s="582" t="s">
        <v>879</v>
      </c>
      <c r="S16" s="583"/>
      <c r="T16" s="71" t="s">
        <v>870</v>
      </c>
      <c r="W16" s="36"/>
      <c r="X16" s="1" t="s">
        <v>556</v>
      </c>
    </row>
    <row r="17" spans="2:24" ht="16.5" thickBot="1" x14ac:dyDescent="0.3">
      <c r="B17" s="562" t="s">
        <v>8</v>
      </c>
      <c r="C17" s="563"/>
      <c r="D17" s="563"/>
      <c r="E17" s="564"/>
      <c r="F17" s="72"/>
      <c r="G17" s="15" t="s">
        <v>9</v>
      </c>
      <c r="H17" s="16" t="s">
        <v>10</v>
      </c>
      <c r="I17" s="16" t="s">
        <v>11</v>
      </c>
      <c r="J17" s="17" t="s">
        <v>880</v>
      </c>
      <c r="K17" s="1"/>
      <c r="L17" s="15" t="s">
        <v>9</v>
      </c>
      <c r="M17" s="16" t="s">
        <v>10</v>
      </c>
      <c r="N17" s="16" t="s">
        <v>11</v>
      </c>
      <c r="O17" s="17" t="s">
        <v>880</v>
      </c>
      <c r="P17" s="1"/>
      <c r="Q17" s="40" t="s">
        <v>9</v>
      </c>
      <c r="R17" s="41" t="s">
        <v>10</v>
      </c>
      <c r="S17" s="41" t="s">
        <v>11</v>
      </c>
      <c r="T17" s="42" t="s">
        <v>880</v>
      </c>
      <c r="W17" s="37"/>
      <c r="X17" s="1" t="s">
        <v>573</v>
      </c>
    </row>
    <row r="18" spans="2:24" s="1" customFormat="1" ht="19.899999999999999" customHeight="1" x14ac:dyDescent="0.25">
      <c r="B18" s="9">
        <v>1</v>
      </c>
      <c r="C18" s="560" t="s">
        <v>357</v>
      </c>
      <c r="D18" s="560"/>
      <c r="E18" s="561"/>
      <c r="G18" s="18" t="s">
        <v>12</v>
      </c>
      <c r="H18" s="19"/>
      <c r="I18" s="19" t="s">
        <v>611</v>
      </c>
      <c r="J18" s="20" t="s">
        <v>16</v>
      </c>
      <c r="L18" s="18" t="s">
        <v>12</v>
      </c>
      <c r="M18" s="19"/>
      <c r="N18" s="19" t="s">
        <v>612</v>
      </c>
      <c r="O18" s="20" t="s">
        <v>16</v>
      </c>
      <c r="Q18" s="43" t="s">
        <v>12</v>
      </c>
      <c r="R18" s="44"/>
      <c r="S18" s="44" t="s">
        <v>610</v>
      </c>
      <c r="T18" s="45" t="s">
        <v>16</v>
      </c>
      <c r="W18" s="36"/>
      <c r="X18" s="1" t="s">
        <v>575</v>
      </c>
    </row>
    <row r="19" spans="2:24" s="1" customFormat="1" ht="19.899999999999999" customHeight="1" x14ac:dyDescent="0.25">
      <c r="B19" s="3">
        <v>2</v>
      </c>
      <c r="C19" s="567" t="s">
        <v>589</v>
      </c>
      <c r="D19" s="567"/>
      <c r="E19" s="568"/>
      <c r="G19" s="67" t="s">
        <v>12</v>
      </c>
      <c r="H19" s="68"/>
      <c r="I19" s="68" t="s">
        <v>14</v>
      </c>
      <c r="J19" s="69"/>
      <c r="L19" s="67" t="s">
        <v>12</v>
      </c>
      <c r="M19" s="68"/>
      <c r="N19" s="68" t="s">
        <v>14</v>
      </c>
      <c r="O19" s="69"/>
      <c r="Q19" s="67" t="s">
        <v>12</v>
      </c>
      <c r="R19" s="68"/>
      <c r="S19" s="68" t="s">
        <v>14</v>
      </c>
      <c r="T19" s="69"/>
      <c r="W19" s="36"/>
      <c r="X19" s="1" t="s">
        <v>613</v>
      </c>
    </row>
    <row r="20" spans="2:24" s="1" customFormat="1" ht="19.899999999999999" customHeight="1" thickBot="1" x14ac:dyDescent="0.3">
      <c r="B20" s="4">
        <v>3</v>
      </c>
      <c r="C20" s="565" t="s">
        <v>590</v>
      </c>
      <c r="D20" s="565"/>
      <c r="E20" s="566"/>
      <c r="G20" s="24" t="s">
        <v>12</v>
      </c>
      <c r="H20" s="25"/>
      <c r="I20" s="25" t="s">
        <v>14</v>
      </c>
      <c r="J20" s="26"/>
      <c r="L20" s="24" t="s">
        <v>12</v>
      </c>
      <c r="M20" s="25"/>
      <c r="N20" s="25" t="s">
        <v>14</v>
      </c>
      <c r="O20" s="26"/>
      <c r="Q20" s="46" t="s">
        <v>12</v>
      </c>
      <c r="R20" s="47"/>
      <c r="S20" s="47" t="s">
        <v>14</v>
      </c>
      <c r="T20" s="48"/>
    </row>
    <row r="21" spans="2:24" s="2" customFormat="1" ht="4.9000000000000004" customHeight="1" thickBot="1" x14ac:dyDescent="0.3">
      <c r="B21" s="73"/>
      <c r="Q21" s="49"/>
      <c r="R21" s="49"/>
      <c r="S21" s="49"/>
      <c r="T21" s="74"/>
      <c r="X21" s="1"/>
    </row>
    <row r="22" spans="2:24" s="1" customFormat="1" ht="16.5" thickBot="1" x14ac:dyDescent="0.3">
      <c r="B22" s="562" t="s">
        <v>882</v>
      </c>
      <c r="C22" s="563"/>
      <c r="D22" s="563"/>
      <c r="E22" s="564"/>
      <c r="G22" s="80" t="s">
        <v>880</v>
      </c>
      <c r="H22" s="81" t="s">
        <v>10</v>
      </c>
      <c r="I22" s="81" t="s">
        <v>11</v>
      </c>
      <c r="J22" s="82" t="s">
        <v>880</v>
      </c>
      <c r="K22" s="72"/>
      <c r="L22" s="80" t="str">
        <f>G22</f>
        <v>GEWICHT</v>
      </c>
      <c r="M22" s="81" t="s">
        <v>10</v>
      </c>
      <c r="N22" s="81" t="s">
        <v>11</v>
      </c>
      <c r="O22" s="82" t="s">
        <v>880</v>
      </c>
      <c r="P22" s="72"/>
      <c r="Q22" s="83" t="str">
        <f>L22</f>
        <v>GEWICHT</v>
      </c>
      <c r="R22" s="84" t="s">
        <v>10</v>
      </c>
      <c r="S22" s="84" t="s">
        <v>11</v>
      </c>
      <c r="T22" s="85" t="s">
        <v>880</v>
      </c>
    </row>
    <row r="23" spans="2:24" s="1" customFormat="1" ht="19.899999999999999" customHeight="1" x14ac:dyDescent="0.25">
      <c r="B23" s="9">
        <v>1</v>
      </c>
      <c r="C23" s="560" t="s">
        <v>365</v>
      </c>
      <c r="D23" s="560"/>
      <c r="E23" s="561"/>
      <c r="G23" s="21"/>
      <c r="H23" s="22" t="s">
        <v>13</v>
      </c>
      <c r="I23" s="22" t="s">
        <v>7</v>
      </c>
      <c r="J23" s="23"/>
      <c r="L23" s="21"/>
      <c r="M23" s="22" t="s">
        <v>13</v>
      </c>
      <c r="N23" s="22" t="str">
        <f t="shared" ref="N23:N31" si="0">I23</f>
        <v>1x20</v>
      </c>
      <c r="O23" s="23"/>
      <c r="Q23" s="50"/>
      <c r="R23" s="52" t="s">
        <v>13</v>
      </c>
      <c r="S23" s="52" t="str">
        <f>N23</f>
        <v>1x20</v>
      </c>
      <c r="T23" s="53"/>
    </row>
    <row r="24" spans="2:24" s="1" customFormat="1" ht="19.899999999999999" customHeight="1" x14ac:dyDescent="0.25">
      <c r="B24" s="3">
        <v>2</v>
      </c>
      <c r="C24" s="567" t="s">
        <v>531</v>
      </c>
      <c r="D24" s="567"/>
      <c r="E24" s="568"/>
      <c r="G24" s="27"/>
      <c r="H24" s="28" t="s">
        <v>13</v>
      </c>
      <c r="I24" s="28" t="s">
        <v>592</v>
      </c>
      <c r="J24" s="29"/>
      <c r="L24" s="27"/>
      <c r="M24" s="28" t="s">
        <v>13</v>
      </c>
      <c r="N24" s="28" t="str">
        <f t="shared" si="0"/>
        <v>1x20/ea</v>
      </c>
      <c r="O24" s="29"/>
      <c r="Q24" s="54"/>
      <c r="R24" s="56" t="s">
        <v>13</v>
      </c>
      <c r="S24" s="56" t="str">
        <f>N24</f>
        <v>1x20/ea</v>
      </c>
      <c r="T24" s="57"/>
    </row>
    <row r="25" spans="2:24" s="1" customFormat="1" ht="19.899999999999999" customHeight="1" thickBot="1" x14ac:dyDescent="0.3">
      <c r="B25" s="4">
        <v>3</v>
      </c>
      <c r="C25" s="565" t="s">
        <v>48</v>
      </c>
      <c r="D25" s="565"/>
      <c r="E25" s="566"/>
      <c r="G25" s="24"/>
      <c r="H25" s="25" t="s">
        <v>13</v>
      </c>
      <c r="I25" s="25" t="s">
        <v>561</v>
      </c>
      <c r="J25" s="26"/>
      <c r="L25" s="24"/>
      <c r="M25" s="25" t="s">
        <v>13</v>
      </c>
      <c r="N25" s="25" t="str">
        <f t="shared" si="0"/>
        <v>1x10ea</v>
      </c>
      <c r="O25" s="26"/>
      <c r="Q25" s="46"/>
      <c r="R25" s="47" t="s">
        <v>13</v>
      </c>
      <c r="S25" s="47" t="str">
        <f>N25</f>
        <v>1x10ea</v>
      </c>
      <c r="T25" s="48"/>
    </row>
    <row r="26" spans="2:24" s="1" customFormat="1" ht="19.899999999999999" customHeight="1" x14ac:dyDescent="0.25">
      <c r="B26" s="9">
        <v>4</v>
      </c>
      <c r="C26" s="560" t="s">
        <v>397</v>
      </c>
      <c r="D26" s="560"/>
      <c r="E26" s="561"/>
      <c r="G26" s="21"/>
      <c r="H26" s="22" t="s">
        <v>13</v>
      </c>
      <c r="I26" s="22" t="s">
        <v>7</v>
      </c>
      <c r="J26" s="23"/>
      <c r="L26" s="21"/>
      <c r="M26" s="22" t="s">
        <v>13</v>
      </c>
      <c r="N26" s="22" t="str">
        <f t="shared" si="0"/>
        <v>1x20</v>
      </c>
      <c r="O26" s="23"/>
      <c r="Q26" s="50"/>
      <c r="R26" s="52" t="s">
        <v>13</v>
      </c>
      <c r="S26" s="52" t="s">
        <v>7</v>
      </c>
      <c r="T26" s="53"/>
    </row>
    <row r="27" spans="2:24" s="1" customFormat="1" ht="19.899999999999999" customHeight="1" x14ac:dyDescent="0.25">
      <c r="B27" s="3">
        <v>5</v>
      </c>
      <c r="C27" s="567" t="s">
        <v>28</v>
      </c>
      <c r="D27" s="567"/>
      <c r="E27" s="568"/>
      <c r="G27" s="27"/>
      <c r="H27" s="28" t="s">
        <v>13</v>
      </c>
      <c r="I27" s="28" t="s">
        <v>592</v>
      </c>
      <c r="J27" s="29"/>
      <c r="L27" s="27"/>
      <c r="M27" s="28" t="s">
        <v>13</v>
      </c>
      <c r="N27" s="28" t="str">
        <f t="shared" si="0"/>
        <v>1x20/ea</v>
      </c>
      <c r="O27" s="29"/>
      <c r="Q27" s="54"/>
      <c r="R27" s="56" t="s">
        <v>13</v>
      </c>
      <c r="S27" s="28" t="s">
        <v>7</v>
      </c>
      <c r="T27" s="57"/>
    </row>
    <row r="28" spans="2:24" s="1" customFormat="1" ht="19.899999999999999" customHeight="1" thickBot="1" x14ac:dyDescent="0.3">
      <c r="B28" s="4">
        <v>6</v>
      </c>
      <c r="C28" s="565" t="s">
        <v>76</v>
      </c>
      <c r="D28" s="565"/>
      <c r="E28" s="566"/>
      <c r="G28" s="24"/>
      <c r="H28" s="25" t="s">
        <v>13</v>
      </c>
      <c r="I28" s="25" t="s">
        <v>292</v>
      </c>
      <c r="J28" s="26"/>
      <c r="L28" s="24"/>
      <c r="M28" s="25" t="s">
        <v>13</v>
      </c>
      <c r="N28" s="25" t="str">
        <f t="shared" si="0"/>
        <v>3x10s/ea</v>
      </c>
      <c r="O28" s="26"/>
      <c r="Q28" s="46"/>
      <c r="R28" s="47" t="s">
        <v>13</v>
      </c>
      <c r="S28" s="47" t="str">
        <f>N28</f>
        <v>3x10s/ea</v>
      </c>
      <c r="T28" s="48"/>
    </row>
    <row r="29" spans="2:24" s="1" customFormat="1" ht="19.899999999999999" customHeight="1" x14ac:dyDescent="0.25">
      <c r="B29" s="9">
        <v>7</v>
      </c>
      <c r="C29" s="560" t="s">
        <v>468</v>
      </c>
      <c r="D29" s="560"/>
      <c r="E29" s="561"/>
      <c r="G29" s="21"/>
      <c r="H29" s="22" t="s">
        <v>13</v>
      </c>
      <c r="I29" s="22" t="s">
        <v>592</v>
      </c>
      <c r="J29" s="23"/>
      <c r="L29" s="21"/>
      <c r="M29" s="22" t="s">
        <v>13</v>
      </c>
      <c r="N29" s="22" t="str">
        <f t="shared" si="0"/>
        <v>1x20/ea</v>
      </c>
      <c r="O29" s="23"/>
      <c r="Q29" s="50"/>
      <c r="R29" s="52" t="s">
        <v>13</v>
      </c>
      <c r="S29" s="52" t="str">
        <f>N29</f>
        <v>1x20/ea</v>
      </c>
      <c r="T29" s="53"/>
    </row>
    <row r="30" spans="2:24" s="1" customFormat="1" ht="19.899999999999999" customHeight="1" x14ac:dyDescent="0.25">
      <c r="B30" s="3">
        <v>8</v>
      </c>
      <c r="C30" s="567" t="s">
        <v>165</v>
      </c>
      <c r="D30" s="567"/>
      <c r="E30" s="568"/>
      <c r="G30" s="27"/>
      <c r="H30" s="28" t="s">
        <v>13</v>
      </c>
      <c r="I30" s="28" t="s">
        <v>119</v>
      </c>
      <c r="J30" s="29"/>
      <c r="L30" s="27"/>
      <c r="M30" s="28" t="s">
        <v>13</v>
      </c>
      <c r="N30" s="28" t="str">
        <f t="shared" si="0"/>
        <v>1x30s/ea</v>
      </c>
      <c r="O30" s="29"/>
      <c r="Q30" s="54"/>
      <c r="R30" s="56" t="s">
        <v>13</v>
      </c>
      <c r="S30" s="56" t="str">
        <f>N30</f>
        <v>1x30s/ea</v>
      </c>
      <c r="T30" s="57"/>
    </row>
    <row r="31" spans="2:24" s="1" customFormat="1" ht="19.899999999999999" customHeight="1" thickBot="1" x14ac:dyDescent="0.3">
      <c r="B31" s="4">
        <v>9</v>
      </c>
      <c r="C31" s="565" t="s">
        <v>90</v>
      </c>
      <c r="D31" s="565"/>
      <c r="E31" s="566"/>
      <c r="G31" s="24"/>
      <c r="H31" s="25" t="s">
        <v>13</v>
      </c>
      <c r="I31" s="25" t="s">
        <v>591</v>
      </c>
      <c r="J31" s="26"/>
      <c r="L31" s="24"/>
      <c r="M31" s="25" t="s">
        <v>13</v>
      </c>
      <c r="N31" s="25" t="str">
        <f t="shared" si="0"/>
        <v>2x12/ea</v>
      </c>
      <c r="O31" s="26"/>
      <c r="Q31" s="46"/>
      <c r="R31" s="47" t="s">
        <v>13</v>
      </c>
      <c r="S31" s="25" t="str">
        <f>N31</f>
        <v>2x12/ea</v>
      </c>
      <c r="T31" s="48"/>
    </row>
    <row r="32" spans="2:24" s="1" customFormat="1" ht="19.899999999999999" customHeight="1" x14ac:dyDescent="0.25">
      <c r="B32" s="9">
        <v>10</v>
      </c>
      <c r="C32" s="560" t="s">
        <v>475</v>
      </c>
      <c r="D32" s="560"/>
      <c r="E32" s="561"/>
      <c r="G32" s="21"/>
      <c r="H32" s="22" t="s">
        <v>13</v>
      </c>
      <c r="I32" s="22" t="s">
        <v>629</v>
      </c>
      <c r="J32" s="23"/>
      <c r="L32" s="21"/>
      <c r="M32" s="22" t="s">
        <v>13</v>
      </c>
      <c r="N32" s="22" t="str">
        <f>I32</f>
        <v>1x15/ea</v>
      </c>
      <c r="O32" s="23"/>
      <c r="Q32" s="21"/>
      <c r="R32" s="22" t="s">
        <v>13</v>
      </c>
      <c r="S32" s="22" t="str">
        <f>I32</f>
        <v>1x15/ea</v>
      </c>
      <c r="T32" s="23"/>
    </row>
    <row r="33" spans="2:22" s="1" customFormat="1" ht="19.899999999999999" customHeight="1" x14ac:dyDescent="0.25">
      <c r="B33" s="3">
        <v>11</v>
      </c>
      <c r="C33" s="567" t="s">
        <v>399</v>
      </c>
      <c r="D33" s="567"/>
      <c r="E33" s="568"/>
      <c r="G33" s="27"/>
      <c r="H33" s="28" t="s">
        <v>13</v>
      </c>
      <c r="I33" s="28" t="s">
        <v>7</v>
      </c>
      <c r="J33" s="29"/>
      <c r="L33" s="27"/>
      <c r="M33" s="28" t="s">
        <v>13</v>
      </c>
      <c r="N33" s="28" t="str">
        <f t="shared" ref="N33:N38" si="1">I33</f>
        <v>1x20</v>
      </c>
      <c r="O33" s="29"/>
      <c r="Q33" s="27"/>
      <c r="R33" s="28" t="s">
        <v>13</v>
      </c>
      <c r="S33" s="28" t="str">
        <f>N33</f>
        <v>1x20</v>
      </c>
      <c r="T33" s="29"/>
    </row>
    <row r="34" spans="2:22" s="1" customFormat="1" ht="19.899999999999999" customHeight="1" thickBot="1" x14ac:dyDescent="0.3">
      <c r="B34" s="3">
        <v>12</v>
      </c>
      <c r="C34" s="567" t="s">
        <v>630</v>
      </c>
      <c r="D34" s="567"/>
      <c r="E34" s="568"/>
      <c r="G34" s="24"/>
      <c r="H34" s="25" t="s">
        <v>13</v>
      </c>
      <c r="I34" s="25" t="s">
        <v>292</v>
      </c>
      <c r="J34" s="26"/>
      <c r="L34" s="24"/>
      <c r="M34" s="25" t="s">
        <v>13</v>
      </c>
      <c r="N34" s="25" t="str">
        <f t="shared" si="1"/>
        <v>3x10s/ea</v>
      </c>
      <c r="O34" s="26"/>
      <c r="Q34" s="46"/>
      <c r="R34" s="47" t="s">
        <v>13</v>
      </c>
      <c r="S34" s="47" t="str">
        <f>N34</f>
        <v>3x10s/ea</v>
      </c>
      <c r="T34" s="48"/>
    </row>
    <row r="35" spans="2:22" s="1" customFormat="1" ht="19.899999999999999" customHeight="1" x14ac:dyDescent="0.25">
      <c r="B35" s="9">
        <v>13</v>
      </c>
      <c r="C35" s="560" t="s">
        <v>414</v>
      </c>
      <c r="D35" s="560"/>
      <c r="E35" s="561"/>
      <c r="G35" s="99"/>
      <c r="H35" s="22" t="s">
        <v>13</v>
      </c>
      <c r="I35" s="22" t="s">
        <v>594</v>
      </c>
      <c r="J35" s="23"/>
      <c r="L35" s="21"/>
      <c r="M35" s="22" t="s">
        <v>13</v>
      </c>
      <c r="N35" s="22" t="str">
        <f t="shared" si="1"/>
        <v>1x15m/ea</v>
      </c>
      <c r="O35" s="23"/>
      <c r="Q35" s="21"/>
      <c r="R35" s="22" t="s">
        <v>13</v>
      </c>
      <c r="S35" s="22" t="str">
        <f>I35</f>
        <v>1x15m/ea</v>
      </c>
      <c r="T35" s="23"/>
    </row>
    <row r="36" spans="2:22" s="1" customFormat="1" ht="19.899999999999999" customHeight="1" x14ac:dyDescent="0.25">
      <c r="B36" s="3">
        <v>14</v>
      </c>
      <c r="C36" s="567" t="s">
        <v>308</v>
      </c>
      <c r="D36" s="567"/>
      <c r="E36" s="568"/>
      <c r="G36" s="96"/>
      <c r="H36" s="28" t="s">
        <v>13</v>
      </c>
      <c r="I36" s="28" t="s">
        <v>292</v>
      </c>
      <c r="J36" s="29"/>
      <c r="L36" s="27"/>
      <c r="M36" s="28" t="s">
        <v>13</v>
      </c>
      <c r="N36" s="28" t="str">
        <f t="shared" si="1"/>
        <v>3x10s/ea</v>
      </c>
      <c r="O36" s="29"/>
      <c r="Q36" s="27"/>
      <c r="R36" s="28" t="s">
        <v>13</v>
      </c>
      <c r="S36" s="28" t="str">
        <f>N36</f>
        <v>3x10s/ea</v>
      </c>
      <c r="T36" s="29"/>
    </row>
    <row r="37" spans="2:22" s="1" customFormat="1" ht="19.899999999999999" customHeight="1" x14ac:dyDescent="0.25">
      <c r="B37" s="3">
        <v>15</v>
      </c>
      <c r="C37" s="567" t="s">
        <v>35</v>
      </c>
      <c r="D37" s="567"/>
      <c r="E37" s="568"/>
      <c r="G37" s="96"/>
      <c r="H37" s="28" t="s">
        <v>13</v>
      </c>
      <c r="I37" s="28" t="s">
        <v>592</v>
      </c>
      <c r="J37" s="29"/>
      <c r="L37" s="27"/>
      <c r="M37" s="28" t="s">
        <v>13</v>
      </c>
      <c r="N37" s="28" t="str">
        <f t="shared" si="1"/>
        <v>1x20/ea</v>
      </c>
      <c r="O37" s="29"/>
      <c r="Q37" s="27"/>
      <c r="R37" s="28" t="s">
        <v>13</v>
      </c>
      <c r="S37" s="28" t="str">
        <f>N37</f>
        <v>1x20/ea</v>
      </c>
      <c r="T37" s="29"/>
    </row>
    <row r="38" spans="2:22" s="1" customFormat="1" ht="19.899999999999999" customHeight="1" thickBot="1" x14ac:dyDescent="0.3">
      <c r="B38" s="4">
        <v>16</v>
      </c>
      <c r="C38" s="565" t="s">
        <v>441</v>
      </c>
      <c r="D38" s="565"/>
      <c r="E38" s="566"/>
      <c r="G38" s="24"/>
      <c r="H38" s="25" t="s">
        <v>13</v>
      </c>
      <c r="I38" s="25" t="s">
        <v>7</v>
      </c>
      <c r="J38" s="26"/>
      <c r="L38" s="24"/>
      <c r="M38" s="25" t="s">
        <v>13</v>
      </c>
      <c r="N38" s="25" t="str">
        <f t="shared" si="1"/>
        <v>1x20</v>
      </c>
      <c r="O38" s="26"/>
      <c r="Q38" s="24"/>
      <c r="R38" s="25" t="s">
        <v>13</v>
      </c>
      <c r="S38" s="25" t="str">
        <f>N38</f>
        <v>1x20</v>
      </c>
      <c r="T38" s="26"/>
    </row>
    <row r="39" spans="2:22" s="2" customFormat="1" ht="16.149999999999999" customHeight="1" thickBot="1" x14ac:dyDescent="0.3">
      <c r="B39" s="573" t="s">
        <v>873</v>
      </c>
      <c r="C39" s="574"/>
      <c r="D39" s="574"/>
      <c r="E39" s="575"/>
      <c r="F39" s="79"/>
      <c r="G39" s="557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9"/>
    </row>
    <row r="40" spans="2:22" s="1" customFormat="1" ht="19.899999999999999" customHeight="1" x14ac:dyDescent="0.25">
      <c r="B40" s="9">
        <v>17</v>
      </c>
      <c r="C40" s="560" t="s">
        <v>182</v>
      </c>
      <c r="D40" s="560"/>
      <c r="E40" s="561"/>
      <c r="G40" s="21"/>
      <c r="H40" s="30" t="s">
        <v>13</v>
      </c>
      <c r="I40" s="22" t="s">
        <v>291</v>
      </c>
      <c r="J40" s="23"/>
      <c r="L40" s="21"/>
      <c r="M40" s="30" t="s">
        <v>13</v>
      </c>
      <c r="N40" s="22" t="str">
        <f>I40</f>
        <v>1x60s/ea</v>
      </c>
      <c r="O40" s="23"/>
      <c r="Q40" s="50"/>
      <c r="R40" s="51" t="s">
        <v>13</v>
      </c>
      <c r="S40" s="52" t="str">
        <f>I40</f>
        <v>1x60s/ea</v>
      </c>
      <c r="T40" s="53"/>
    </row>
    <row r="41" spans="2:22" s="1" customFormat="1" ht="19.899999999999999" customHeight="1" x14ac:dyDescent="0.25">
      <c r="B41" s="3">
        <v>18</v>
      </c>
      <c r="C41" s="569" t="s">
        <v>606</v>
      </c>
      <c r="D41" s="569"/>
      <c r="E41" s="570"/>
      <c r="G41" s="27"/>
      <c r="H41" s="31" t="s">
        <v>13</v>
      </c>
      <c r="I41" s="28" t="s">
        <v>291</v>
      </c>
      <c r="J41" s="29"/>
      <c r="L41" s="27"/>
      <c r="M41" s="31" t="s">
        <v>13</v>
      </c>
      <c r="N41" s="28" t="str">
        <f>I41</f>
        <v>1x60s/ea</v>
      </c>
      <c r="O41" s="29"/>
      <c r="Q41" s="54"/>
      <c r="R41" s="55" t="s">
        <v>13</v>
      </c>
      <c r="S41" s="56" t="str">
        <f>I41</f>
        <v>1x60s/ea</v>
      </c>
      <c r="T41" s="57"/>
    </row>
    <row r="42" spans="2:22" s="1" customFormat="1" ht="19.899999999999999" customHeight="1" thickBot="1" x14ac:dyDescent="0.3">
      <c r="B42" s="4">
        <v>19</v>
      </c>
      <c r="C42" s="571" t="s">
        <v>36</v>
      </c>
      <c r="D42" s="571"/>
      <c r="E42" s="572"/>
      <c r="F42" s="66"/>
      <c r="G42" s="24"/>
      <c r="H42" s="32" t="s">
        <v>13</v>
      </c>
      <c r="I42" s="25" t="s">
        <v>291</v>
      </c>
      <c r="J42" s="26"/>
      <c r="K42" s="66"/>
      <c r="L42" s="24"/>
      <c r="M42" s="32" t="s">
        <v>13</v>
      </c>
      <c r="N42" s="25" t="str">
        <f>I42</f>
        <v>1x60s/ea</v>
      </c>
      <c r="O42" s="26"/>
      <c r="P42" s="66"/>
      <c r="Q42" s="46"/>
      <c r="R42" s="58" t="s">
        <v>13</v>
      </c>
      <c r="S42" s="47" t="str">
        <f>N42</f>
        <v>1x60s/ea</v>
      </c>
      <c r="T42" s="48"/>
    </row>
    <row r="43" spans="2:22" s="2" customFormat="1" ht="4.9000000000000004" customHeight="1" x14ac:dyDescent="0.25">
      <c r="Q43" s="49"/>
      <c r="R43" s="49"/>
      <c r="S43" s="49"/>
      <c r="T43" s="49"/>
    </row>
    <row r="44" spans="2:22" x14ac:dyDescent="0.25">
      <c r="V44" s="1" t="s">
        <v>289</v>
      </c>
    </row>
    <row r="45" spans="2:22" x14ac:dyDescent="0.25">
      <c r="V45" s="1" t="s">
        <v>311</v>
      </c>
    </row>
    <row r="46" spans="2:22" x14ac:dyDescent="0.25">
      <c r="V46" s="1" t="s">
        <v>37</v>
      </c>
    </row>
    <row r="47" spans="2:22" x14ac:dyDescent="0.25">
      <c r="V47" s="1" t="s">
        <v>119</v>
      </c>
    </row>
    <row r="48" spans="2:22" x14ac:dyDescent="0.25">
      <c r="V48" s="1" t="s">
        <v>290</v>
      </c>
    </row>
    <row r="49" spans="22:22" x14ac:dyDescent="0.25">
      <c r="V49" s="1" t="s">
        <v>291</v>
      </c>
    </row>
    <row r="50" spans="22:22" x14ac:dyDescent="0.25">
      <c r="V50" s="1" t="s">
        <v>292</v>
      </c>
    </row>
    <row r="51" spans="22:22" x14ac:dyDescent="0.25">
      <c r="V51" s="1" t="s">
        <v>337</v>
      </c>
    </row>
    <row r="52" spans="22:22" x14ac:dyDescent="0.25">
      <c r="V52" s="1" t="s">
        <v>15</v>
      </c>
    </row>
    <row r="53" spans="22:22" x14ac:dyDescent="0.25">
      <c r="V53" s="1" t="s">
        <v>209</v>
      </c>
    </row>
    <row r="54" spans="22:22" x14ac:dyDescent="0.25">
      <c r="V54" s="1" t="s">
        <v>591</v>
      </c>
    </row>
  </sheetData>
  <mergeCells count="40">
    <mergeCell ref="C41:E41"/>
    <mergeCell ref="C42:E42"/>
    <mergeCell ref="C36:E36"/>
    <mergeCell ref="C37:E37"/>
    <mergeCell ref="C38:E38"/>
    <mergeCell ref="B39:E39"/>
    <mergeCell ref="G39:T39"/>
    <mergeCell ref="C40:E40"/>
    <mergeCell ref="C30:E30"/>
    <mergeCell ref="C31:E31"/>
    <mergeCell ref="C32:E32"/>
    <mergeCell ref="C33:E33"/>
    <mergeCell ref="C34:E34"/>
    <mergeCell ref="C35:E35"/>
    <mergeCell ref="C29:E29"/>
    <mergeCell ref="B17:E17"/>
    <mergeCell ref="C18:E18"/>
    <mergeCell ref="C19:E19"/>
    <mergeCell ref="C20:E20"/>
    <mergeCell ref="B22:E22"/>
    <mergeCell ref="C23:E23"/>
    <mergeCell ref="C24:E24"/>
    <mergeCell ref="C25:E25"/>
    <mergeCell ref="C26:E26"/>
    <mergeCell ref="C27:E27"/>
    <mergeCell ref="C28:E28"/>
    <mergeCell ref="B14:D14"/>
    <mergeCell ref="E14:G14"/>
    <mergeCell ref="O14:Q14"/>
    <mergeCell ref="B15:E16"/>
    <mergeCell ref="G15:T15"/>
    <mergeCell ref="H16:I16"/>
    <mergeCell ref="M16:N16"/>
    <mergeCell ref="R16:S16"/>
    <mergeCell ref="O2:T7"/>
    <mergeCell ref="E10:G10"/>
    <mergeCell ref="I10:L10"/>
    <mergeCell ref="B12:D12"/>
    <mergeCell ref="E12:G12"/>
    <mergeCell ref="O12:Q12"/>
  </mergeCells>
  <dataValidations disablePrompts="1" count="10">
    <dataValidation type="list" allowBlank="1" showInputMessage="1" showErrorMessage="1" sqref="I31" xr:uid="{00000000-0002-0000-0600-000000000000}">
      <formula1>$V$40:$V$58</formula1>
    </dataValidation>
    <dataValidation type="list" allowBlank="1" showInputMessage="1" showErrorMessage="1" sqref="S42 N40:N42 I42" xr:uid="{00000000-0002-0000-0600-000001000000}">
      <formula1>$V$44:$V$49</formula1>
    </dataValidation>
    <dataValidation type="list" allowBlank="1" showInputMessage="1" showErrorMessage="1" sqref="H41:H42 R41:R42 M41:M42" xr:uid="{00000000-0002-0000-0600-000002000000}">
      <formula1>$W$16:$W$18</formula1>
    </dataValidation>
    <dataValidation type="list" allowBlank="1" showInputMessage="1" showErrorMessage="1" sqref="M40 R40 H40" xr:uid="{00000000-0002-0000-0600-000003000000}">
      <formula1>$W$16:$W$20</formula1>
    </dataValidation>
    <dataValidation type="list" allowBlank="1" showInputMessage="1" showErrorMessage="1" sqref="B15:E16" xr:uid="{00000000-0002-0000-0600-000004000000}">
      <formula1>$X$16:$X$20</formula1>
    </dataValidation>
    <dataValidation type="list" allowBlank="1" showInputMessage="1" showErrorMessage="1" sqref="M23:M38 H23:H38 R23:R38" xr:uid="{00000000-0002-0000-0600-000005000000}">
      <formula1>$W$22:$W$24</formula1>
    </dataValidation>
    <dataValidation type="list" allowBlank="1" showInputMessage="1" showErrorMessage="1" sqref="N31" xr:uid="{00000000-0002-0000-0600-000006000000}">
      <formula1>$V$40:$V$51</formula1>
    </dataValidation>
    <dataValidation type="list" allowBlank="1" showInputMessage="1" showErrorMessage="1" sqref="S31" xr:uid="{00000000-0002-0000-0600-000007000000}">
      <formula1>$V$40:$V$50</formula1>
    </dataValidation>
    <dataValidation type="list" allowBlank="1" showInputMessage="1" showErrorMessage="1" sqref="N27 S27" xr:uid="{00000000-0002-0000-0600-000008000000}">
      <formula1>$V$40:$V$48</formula1>
    </dataValidation>
    <dataValidation type="list" allowBlank="1" showInputMessage="1" showErrorMessage="1" sqref="I40:I41" xr:uid="{00000000-0002-0000-0600-000009000000}">
      <formula1>$V$44:$V$55</formula1>
    </dataValidation>
  </dataValidations>
  <pageMargins left="0.25" right="0.25" top="0.75" bottom="0.75" header="0.3" footer="0.3"/>
  <pageSetup paperSize="9"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4">
        <x14:dataValidation type="list" allowBlank="1" showInputMessage="1" showErrorMessage="1" xr:uid="{00000000-0002-0000-0600-00000A000000}">
          <x14:formula1>
            <xm:f>'BH1-2 Progressionen'!$M:$M</xm:f>
          </x14:formula1>
          <xm:sqref>S14</xm:sqref>
        </x14:dataValidation>
        <x14:dataValidation type="list" allowBlank="1" showInputMessage="1" showErrorMessage="1" xr:uid="{00000000-0002-0000-0600-00000B000000}">
          <x14:formula1>
            <xm:f>'BH1-2 Progressionen'!$K:$K</xm:f>
          </x14:formula1>
          <xm:sqref>M14</xm:sqref>
        </x14:dataValidation>
        <x14:dataValidation type="list" allowBlank="1" showInputMessage="1" showErrorMessage="1" xr:uid="{00000000-0002-0000-0600-00000C000000}">
          <x14:formula1>
            <xm:f>'BH1-2 Progressionen'!$J:$J</xm:f>
          </x14:formula1>
          <xm:sqref>I14</xm:sqref>
        </x14:dataValidation>
        <x14:dataValidation type="list" allowBlank="1" showInputMessage="1" showErrorMessage="1" xr:uid="{00000000-0002-0000-0600-00000D000000}">
          <x14:formula1>
            <xm:f>'BH1-2 Progressionen'!$I:$I</xm:f>
          </x14:formula1>
          <xm:sqref>E14</xm:sqref>
        </x14:dataValidation>
        <x14:dataValidation type="list" allowBlank="1" showInputMessage="1" showErrorMessage="1" xr:uid="{00000000-0002-0000-0600-00000E000000}">
          <x14:formula1>
            <xm:f>'BH1-2 Progressionen'!$H:$H</xm:f>
          </x14:formula1>
          <xm:sqref>B14</xm:sqref>
        </x14:dataValidation>
        <x14:dataValidation type="list" allowBlank="1" showInputMessage="1" showErrorMessage="1" xr:uid="{00000000-0002-0000-0600-00000F000000}">
          <x14:formula1>
            <xm:f>'BH1-2 Progressionen'!$G:$G</xm:f>
          </x14:formula1>
          <xm:sqref>S12:S13</xm:sqref>
        </x14:dataValidation>
        <x14:dataValidation type="list" allowBlank="1" showInputMessage="1" showErrorMessage="1" xr:uid="{00000000-0002-0000-0600-000010000000}">
          <x14:formula1>
            <xm:f>'BH1-2 Progressionen'!$F:$F</xm:f>
          </x14:formula1>
          <xm:sqref>O12:O13</xm:sqref>
        </x14:dataValidation>
        <x14:dataValidation type="list" allowBlank="1" showInputMessage="1" showErrorMessage="1" xr:uid="{00000000-0002-0000-0600-000011000000}">
          <x14:formula1>
            <xm:f>'BH1-2 Progressionen'!$E:$E</xm:f>
          </x14:formula1>
          <xm:sqref>M12:M13</xm:sqref>
        </x14:dataValidation>
        <x14:dataValidation type="list" allowBlank="1" showInputMessage="1" showErrorMessage="1" xr:uid="{00000000-0002-0000-0600-000012000000}">
          <x14:formula1>
            <xm:f>'BH1-2 Progressionen'!$D:$D</xm:f>
          </x14:formula1>
          <xm:sqref>I12:I13</xm:sqref>
        </x14:dataValidation>
        <x14:dataValidation type="list" allowBlank="1" showInputMessage="1" showErrorMessage="1" xr:uid="{00000000-0002-0000-0600-000013000000}">
          <x14:formula1>
            <xm:f>'BH1-2 Progressionen'!$C:$C</xm:f>
          </x14:formula1>
          <xm:sqref>E12:E13</xm:sqref>
        </x14:dataValidation>
        <x14:dataValidation type="list" allowBlank="1" showInputMessage="1" showErrorMessage="1" xr:uid="{00000000-0002-0000-0600-000014000000}">
          <x14:formula1>
            <xm:f>'BH1-2 Progressionen'!$B:$B</xm:f>
          </x14:formula1>
          <xm:sqref>B12:B13</xm:sqref>
        </x14:dataValidation>
        <x14:dataValidation type="list" allowBlank="1" showInputMessage="1" showErrorMessage="1" xr:uid="{00000000-0002-0000-0600-000015000000}">
          <x14:formula1>
            <xm:f>'BH1-2 Progressionen'!$L:$L</xm:f>
          </x14:formula1>
          <xm:sqref>O14</xm:sqref>
        </x14:dataValidation>
        <x14:dataValidation type="list" allowBlank="1" showInputMessage="1" showErrorMessage="1" xr:uid="{00000000-0002-0000-0600-000016000000}">
          <x14:formula1>
            <xm:f>' Unterkörper Progressionen '!$F:$F</xm:f>
          </x14:formula1>
          <xm:sqref>C24:E24</xm:sqref>
        </x14:dataValidation>
        <x14:dataValidation type="list" allowBlank="1" showInputMessage="1" showErrorMessage="1" xr:uid="{00000000-0002-0000-0600-000017000000}">
          <x14:formula1>
            <xm:f>' Unterkörper Progressionen '!$Q:$Q</xm:f>
          </x14:formula1>
          <xm:sqref>C35:E35</xm:sqref>
        </x14:dataValidation>
        <x14:dataValidation type="list" allowBlank="1" showInputMessage="1" showErrorMessage="1" xr:uid="{00000000-0002-0000-0600-000018000000}">
          <x14:formula1>
            <xm:f>' Unterkörper Progressionen '!$P:$P</xm:f>
          </x14:formula1>
          <xm:sqref>C34:E34</xm:sqref>
        </x14:dataValidation>
        <x14:dataValidation type="list" allowBlank="1" showInputMessage="1" showErrorMessage="1" xr:uid="{00000000-0002-0000-0600-000019000000}">
          <x14:formula1>
            <xm:f>' Unterkörper Progressionen '!$O:$O</xm:f>
          </x14:formula1>
          <xm:sqref>C33:E33</xm:sqref>
        </x14:dataValidation>
        <x14:dataValidation type="list" allowBlank="1" showInputMessage="1" showErrorMessage="1" xr:uid="{00000000-0002-0000-0600-00001A000000}">
          <x14:formula1>
            <xm:f>' Unterkörper Progressionen '!$K:$K</xm:f>
          </x14:formula1>
          <xm:sqref>C29:E29</xm:sqref>
        </x14:dataValidation>
        <x14:dataValidation type="list" allowBlank="1" showInputMessage="1" showErrorMessage="1" xr:uid="{00000000-0002-0000-0600-00001B000000}">
          <x14:formula1>
            <xm:f>' Unterkörper Progressionen '!$L:$L</xm:f>
          </x14:formula1>
          <xm:sqref>C30:E30</xm:sqref>
        </x14:dataValidation>
        <x14:dataValidation type="list" allowBlank="1" showInputMessage="1" showErrorMessage="1" xr:uid="{00000000-0002-0000-0600-00001C000000}">
          <x14:formula1>
            <xm:f>' Unterkörper Progressionen '!$J:$J</xm:f>
          </x14:formula1>
          <xm:sqref>C28:E28</xm:sqref>
        </x14:dataValidation>
        <x14:dataValidation type="list" allowBlank="1" showInputMessage="1" showErrorMessage="1" xr:uid="{00000000-0002-0000-0600-00001D000000}">
          <x14:formula1>
            <xm:f>' Unterkörper Progressionen '!$H:$H</xm:f>
          </x14:formula1>
          <xm:sqref>C26:E26</xm:sqref>
        </x14:dataValidation>
        <x14:dataValidation type="list" allowBlank="1" showInputMessage="1" showErrorMessage="1" xr:uid="{00000000-0002-0000-0600-00001E000000}">
          <x14:formula1>
            <xm:f>' Unterkörper Progressionen '!$I:$I</xm:f>
          </x14:formula1>
          <xm:sqref>C27:E27</xm:sqref>
        </x14:dataValidation>
        <x14:dataValidation type="list" allowBlank="1" showInputMessage="1" showErrorMessage="1" xr:uid="{00000000-0002-0000-0600-00001F000000}">
          <x14:formula1>
            <xm:f>' Unterkörper Progressionen '!$V:$V</xm:f>
          </x14:formula1>
          <xm:sqref>C42:E42</xm:sqref>
        </x14:dataValidation>
        <x14:dataValidation type="list" allowBlank="1" showInputMessage="1" showErrorMessage="1" xr:uid="{00000000-0002-0000-0600-000020000000}">
          <x14:formula1>
            <xm:f>' Unterkörper Progressionen '!$W:$W</xm:f>
          </x14:formula1>
          <xm:sqref>C41:E41</xm:sqref>
        </x14:dataValidation>
        <x14:dataValidation type="list" allowBlank="1" showInputMessage="1" showErrorMessage="1" xr:uid="{00000000-0002-0000-0600-000021000000}">
          <x14:formula1>
            <xm:f>' Unterkörper Progressionen '!$T:$T</xm:f>
          </x14:formula1>
          <xm:sqref>C38:E38</xm:sqref>
        </x14:dataValidation>
        <x14:dataValidation type="list" allowBlank="1" showInputMessage="1" showErrorMessage="1" xr:uid="{00000000-0002-0000-0600-000022000000}">
          <x14:formula1>
            <xm:f>' Unterkörper Progressionen '!$U:$U</xm:f>
          </x14:formula1>
          <xm:sqref>C40:E40</xm:sqref>
        </x14:dataValidation>
        <x14:dataValidation type="list" allowBlank="1" showInputMessage="1" showErrorMessage="1" xr:uid="{00000000-0002-0000-0600-000023000000}">
          <x14:formula1>
            <xm:f>' Unterkörper Progressionen '!$D:$D</xm:f>
          </x14:formula1>
          <xm:sqref>C20:E20</xm:sqref>
        </x14:dataValidation>
        <x14:dataValidation type="list" allowBlank="1" showInputMessage="1" showErrorMessage="1" xr:uid="{00000000-0002-0000-0600-000024000000}">
          <x14:formula1>
            <xm:f>' Unterkörper Progressionen '!$E:$E</xm:f>
          </x14:formula1>
          <xm:sqref>C23:E23</xm:sqref>
        </x14:dataValidation>
        <x14:dataValidation type="list" allowBlank="1" showInputMessage="1" showErrorMessage="1" xr:uid="{00000000-0002-0000-0600-000025000000}">
          <x14:formula1>
            <xm:f>' Unterkörper Progressionen '!$S:$S</xm:f>
          </x14:formula1>
          <xm:sqref>C37:E37</xm:sqref>
        </x14:dataValidation>
        <x14:dataValidation type="list" allowBlank="1" showInputMessage="1" showErrorMessage="1" xr:uid="{00000000-0002-0000-0600-000026000000}">
          <x14:formula1>
            <xm:f>' Unterkörper Progressionen '!$R:$R</xm:f>
          </x14:formula1>
          <xm:sqref>C36:E36</xm:sqref>
        </x14:dataValidation>
        <x14:dataValidation type="list" allowBlank="1" showInputMessage="1" showErrorMessage="1" xr:uid="{00000000-0002-0000-0600-000027000000}">
          <x14:formula1>
            <xm:f>' Unterkörper Progressionen '!$N:$N</xm:f>
          </x14:formula1>
          <xm:sqref>C32:E32</xm:sqref>
        </x14:dataValidation>
        <x14:dataValidation type="list" allowBlank="1" showInputMessage="1" showErrorMessage="1" xr:uid="{00000000-0002-0000-0600-000028000000}">
          <x14:formula1>
            <xm:f>' Unterkörper Progressionen '!$M:$M</xm:f>
          </x14:formula1>
          <xm:sqref>C31:E31</xm:sqref>
        </x14:dataValidation>
        <x14:dataValidation type="list" allowBlank="1" showInputMessage="1" showErrorMessage="1" xr:uid="{00000000-0002-0000-0600-000029000000}">
          <x14:formula1>
            <xm:f>' Unterkörper Progressionen '!$G:$G</xm:f>
          </x14:formula1>
          <xm:sqref>C25:E25</xm:sqref>
        </x14:dataValidation>
        <x14:dataValidation type="list" allowBlank="1" showInputMessage="1" showErrorMessage="1" xr:uid="{00000000-0002-0000-0600-00002A000000}">
          <x14:formula1>
            <xm:f>' Unterkörper Progressionen '!$B:$B</xm:f>
          </x14:formula1>
          <xm:sqref>C18:E18</xm:sqref>
        </x14:dataValidation>
        <x14:dataValidation type="list" allowBlank="1" showInputMessage="1" showErrorMessage="1" xr:uid="{00000000-0002-0000-0600-00002B000000}">
          <x14:formula1>
            <xm:f>' Unterkörper Progressionen '!$C:$C</xm:f>
          </x14:formula1>
          <xm:sqref>C19:E19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W50"/>
  <sheetViews>
    <sheetView zoomScale="57" zoomScaleNormal="70" workbookViewId="0">
      <selection activeCell="A15" sqref="A15:XFD15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x14ac:dyDescent="0.25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x14ac:dyDescent="0.25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e">
        <f>UnterkörperA!#REF!</f>
        <v>#REF!</v>
      </c>
      <c r="T10" s="63"/>
    </row>
    <row r="11" spans="2:23" ht="16.5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34" customFormat="1" ht="15.6" customHeight="1" x14ac:dyDescent="0.25">
      <c r="B12" s="598" t="s">
        <v>548</v>
      </c>
      <c r="C12" s="597"/>
      <c r="D12" s="597"/>
      <c r="E12" s="597" t="s">
        <v>272</v>
      </c>
      <c r="F12" s="597"/>
      <c r="G12" s="597"/>
      <c r="H12" s="597" t="s">
        <v>547</v>
      </c>
      <c r="I12" s="597"/>
      <c r="J12" s="597"/>
      <c r="K12" s="65"/>
      <c r="L12" s="597" t="s">
        <v>365</v>
      </c>
      <c r="M12" s="597"/>
      <c r="N12" s="597"/>
      <c r="O12" s="597" t="s">
        <v>568</v>
      </c>
      <c r="P12" s="597"/>
      <c r="Q12" s="597"/>
      <c r="R12" s="597" t="s">
        <v>571</v>
      </c>
      <c r="S12" s="597"/>
      <c r="T12" s="601"/>
    </row>
    <row r="13" spans="2:23" s="34" customFormat="1" ht="15.6" customHeight="1" x14ac:dyDescent="0.25">
      <c r="B13" s="507"/>
      <c r="T13" s="35"/>
    </row>
    <row r="14" spans="2:23" s="34" customFormat="1" ht="15.6" customHeight="1" x14ac:dyDescent="0.25">
      <c r="B14" s="600" t="s">
        <v>127</v>
      </c>
      <c r="C14" s="599"/>
      <c r="D14" s="599"/>
      <c r="E14" s="599" t="s">
        <v>546</v>
      </c>
      <c r="F14" s="599"/>
      <c r="G14" s="599"/>
      <c r="H14" s="599" t="s">
        <v>133</v>
      </c>
      <c r="I14" s="599"/>
      <c r="J14" s="599"/>
      <c r="L14" s="599" t="s">
        <v>134</v>
      </c>
      <c r="M14" s="599"/>
      <c r="N14" s="599"/>
      <c r="O14" s="599" t="s">
        <v>552</v>
      </c>
      <c r="P14" s="599"/>
      <c r="Q14" s="599"/>
      <c r="R14" s="599" t="s">
        <v>155</v>
      </c>
      <c r="S14" s="599"/>
      <c r="T14" s="603"/>
    </row>
    <row r="15" spans="2:23" ht="16.5" thickBot="1" x14ac:dyDescent="0.3">
      <c r="B15" s="576" t="str">
        <f>UnterkörperD!B15</f>
        <v>Level D</v>
      </c>
      <c r="C15" s="577"/>
      <c r="D15" s="577"/>
      <c r="E15" s="578"/>
      <c r="F15" s="1"/>
      <c r="G15" s="592" t="s">
        <v>352</v>
      </c>
      <c r="H15" s="593"/>
      <c r="I15" s="593"/>
      <c r="J15" s="593"/>
      <c r="K15" s="593"/>
      <c r="L15" s="593"/>
      <c r="M15" s="593"/>
      <c r="N15" s="593"/>
      <c r="O15" s="593"/>
      <c r="P15" s="593"/>
      <c r="Q15" s="593"/>
      <c r="R15" s="593"/>
      <c r="S15" s="593"/>
      <c r="T15" s="594"/>
    </row>
    <row r="16" spans="2:23" ht="21.6" customHeight="1" thickBot="1" x14ac:dyDescent="0.3">
      <c r="B16" s="579"/>
      <c r="C16" s="580"/>
      <c r="D16" s="580"/>
      <c r="E16" s="581"/>
      <c r="F16" s="1"/>
      <c r="G16" s="70" t="s">
        <v>865</v>
      </c>
      <c r="H16" s="582" t="s">
        <v>877</v>
      </c>
      <c r="I16" s="583"/>
      <c r="J16" s="71" t="s">
        <v>866</v>
      </c>
      <c r="K16" s="64"/>
      <c r="L16" s="70" t="s">
        <v>867</v>
      </c>
      <c r="M16" s="582" t="s">
        <v>878</v>
      </c>
      <c r="N16" s="583"/>
      <c r="O16" s="71" t="s">
        <v>868</v>
      </c>
      <c r="P16" s="64"/>
      <c r="Q16" s="70" t="s">
        <v>869</v>
      </c>
      <c r="R16" s="595" t="s">
        <v>879</v>
      </c>
      <c r="S16" s="596"/>
      <c r="T16" s="71" t="s">
        <v>870</v>
      </c>
    </row>
    <row r="17" spans="2:23" ht="16.5" thickBot="1" x14ac:dyDescent="0.3">
      <c r="B17" s="589" t="s">
        <v>8</v>
      </c>
      <c r="C17" s="590"/>
      <c r="D17" s="590"/>
      <c r="E17" s="591"/>
      <c r="F17" s="72"/>
      <c r="G17" s="15" t="s">
        <v>9</v>
      </c>
      <c r="H17" s="16" t="s">
        <v>10</v>
      </c>
      <c r="I17" s="16" t="s">
        <v>11</v>
      </c>
      <c r="J17" s="17" t="s">
        <v>880</v>
      </c>
      <c r="K17" s="1"/>
      <c r="L17" s="15" t="s">
        <v>9</v>
      </c>
      <c r="M17" s="16" t="s">
        <v>10</v>
      </c>
      <c r="N17" s="16" t="s">
        <v>11</v>
      </c>
      <c r="O17" s="17" t="s">
        <v>880</v>
      </c>
      <c r="P17" s="1"/>
      <c r="Q17" s="40" t="s">
        <v>9</v>
      </c>
      <c r="R17" s="41" t="s">
        <v>10</v>
      </c>
      <c r="S17" s="41" t="s">
        <v>11</v>
      </c>
      <c r="T17" s="42" t="s">
        <v>880</v>
      </c>
    </row>
    <row r="18" spans="2:23" s="1" customFormat="1" ht="19.899999999999999" customHeight="1" x14ac:dyDescent="0.25">
      <c r="B18" s="9">
        <v>1</v>
      </c>
      <c r="C18" s="560" t="s">
        <v>215</v>
      </c>
      <c r="D18" s="560"/>
      <c r="E18" s="561"/>
      <c r="G18" s="18" t="s">
        <v>12</v>
      </c>
      <c r="H18" s="19"/>
      <c r="I18" s="19" t="s">
        <v>14</v>
      </c>
      <c r="J18" s="20" t="s">
        <v>16</v>
      </c>
      <c r="L18" s="18" t="s">
        <v>12</v>
      </c>
      <c r="M18" s="19"/>
      <c r="N18" s="19" t="s">
        <v>14</v>
      </c>
      <c r="O18" s="20" t="s">
        <v>16</v>
      </c>
      <c r="Q18" s="43" t="s">
        <v>12</v>
      </c>
      <c r="R18" s="44"/>
      <c r="S18" s="44" t="s">
        <v>14</v>
      </c>
      <c r="T18" s="45" t="s">
        <v>16</v>
      </c>
    </row>
    <row r="19" spans="2:23" s="1" customFormat="1" ht="19.899999999999999" customHeight="1" x14ac:dyDescent="0.25">
      <c r="B19" s="3">
        <v>2</v>
      </c>
      <c r="C19" s="567" t="s">
        <v>598</v>
      </c>
      <c r="D19" s="567"/>
      <c r="E19" s="568"/>
      <c r="G19" s="67" t="s">
        <v>12</v>
      </c>
      <c r="H19" s="68"/>
      <c r="I19" s="68" t="s">
        <v>14</v>
      </c>
      <c r="J19" s="69" t="s">
        <v>560</v>
      </c>
      <c r="L19" s="67" t="s">
        <v>12</v>
      </c>
      <c r="M19" s="68"/>
      <c r="N19" s="68" t="s">
        <v>14</v>
      </c>
      <c r="O19" s="69" t="s">
        <v>560</v>
      </c>
      <c r="Q19" s="75" t="s">
        <v>12</v>
      </c>
      <c r="R19" s="76"/>
      <c r="S19" s="76" t="s">
        <v>14</v>
      </c>
      <c r="T19" s="77" t="s">
        <v>560</v>
      </c>
    </row>
    <row r="20" spans="2:23" s="1" customFormat="1" ht="19.899999999999999" customHeight="1" thickBot="1" x14ac:dyDescent="0.3">
      <c r="B20" s="4">
        <v>3</v>
      </c>
      <c r="C20" s="565" t="s">
        <v>603</v>
      </c>
      <c r="D20" s="565"/>
      <c r="E20" s="566"/>
      <c r="G20" s="24" t="s">
        <v>12</v>
      </c>
      <c r="H20" s="25"/>
      <c r="I20" s="25" t="s">
        <v>14</v>
      </c>
      <c r="J20" s="26" t="s">
        <v>560</v>
      </c>
      <c r="L20" s="24" t="s">
        <v>12</v>
      </c>
      <c r="M20" s="25"/>
      <c r="N20" s="25" t="s">
        <v>14</v>
      </c>
      <c r="O20" s="26" t="s">
        <v>560</v>
      </c>
      <c r="Q20" s="46" t="s">
        <v>12</v>
      </c>
      <c r="R20" s="47"/>
      <c r="S20" s="47" t="s">
        <v>14</v>
      </c>
      <c r="T20" s="48" t="s">
        <v>560</v>
      </c>
    </row>
    <row r="21" spans="2:23" s="2" customFormat="1" ht="4.9000000000000004" customHeight="1" thickBot="1" x14ac:dyDescent="0.3">
      <c r="B21" s="73"/>
      <c r="Q21" s="49"/>
      <c r="R21" s="49"/>
      <c r="S21" s="49"/>
      <c r="T21" s="74"/>
    </row>
    <row r="22" spans="2:23" s="1" customFormat="1" ht="16.5" thickBot="1" x14ac:dyDescent="0.3">
      <c r="B22" s="793" t="s">
        <v>871</v>
      </c>
      <c r="C22" s="563"/>
      <c r="D22" s="563"/>
      <c r="E22" s="564"/>
      <c r="G22" s="80" t="s">
        <v>880</v>
      </c>
      <c r="H22" s="81" t="s">
        <v>10</v>
      </c>
      <c r="I22" s="81" t="s">
        <v>11</v>
      </c>
      <c r="J22" s="82" t="s">
        <v>880</v>
      </c>
      <c r="K22" s="72"/>
      <c r="L22" s="80" t="str">
        <f>G22</f>
        <v>GEWICHT</v>
      </c>
      <c r="M22" s="81" t="s">
        <v>10</v>
      </c>
      <c r="N22" s="81" t="s">
        <v>11</v>
      </c>
      <c r="O22" s="82" t="s">
        <v>880</v>
      </c>
      <c r="P22" s="72"/>
      <c r="Q22" s="83" t="str">
        <f>L22</f>
        <v>GEWICHT</v>
      </c>
      <c r="R22" s="84" t="s">
        <v>10</v>
      </c>
      <c r="S22" s="84" t="s">
        <v>11</v>
      </c>
      <c r="T22" s="85" t="s">
        <v>880</v>
      </c>
      <c r="W22" s="36"/>
    </row>
    <row r="23" spans="2:23" s="1" customFormat="1" ht="19.899999999999999" customHeight="1" x14ac:dyDescent="0.25">
      <c r="B23" s="9">
        <v>1</v>
      </c>
      <c r="C23" s="560" t="s">
        <v>485</v>
      </c>
      <c r="D23" s="560"/>
      <c r="E23" s="561"/>
      <c r="G23" s="21"/>
      <c r="H23" s="22" t="s">
        <v>13</v>
      </c>
      <c r="I23" s="22" t="s">
        <v>7</v>
      </c>
      <c r="J23" s="23"/>
      <c r="L23" s="21"/>
      <c r="M23" s="22" t="s">
        <v>13</v>
      </c>
      <c r="N23" s="22" t="str">
        <f t="shared" ref="N23:N31" si="0">I23</f>
        <v>1x20</v>
      </c>
      <c r="O23" s="23"/>
      <c r="Q23" s="50"/>
      <c r="R23" s="52" t="s">
        <v>13</v>
      </c>
      <c r="S23" s="52" t="str">
        <f>N23</f>
        <v>1x20</v>
      </c>
      <c r="T23" s="53"/>
      <c r="W23" s="36"/>
    </row>
    <row r="24" spans="2:23" s="1" customFormat="1" ht="19.899999999999999" customHeight="1" x14ac:dyDescent="0.25">
      <c r="B24" s="3">
        <v>2</v>
      </c>
      <c r="C24" s="567" t="s">
        <v>252</v>
      </c>
      <c r="D24" s="567"/>
      <c r="E24" s="568"/>
      <c r="G24" s="27"/>
      <c r="H24" s="28" t="s">
        <v>13</v>
      </c>
      <c r="I24" s="28" t="s">
        <v>7</v>
      </c>
      <c r="J24" s="29"/>
      <c r="L24" s="27"/>
      <c r="M24" s="28" t="s">
        <v>13</v>
      </c>
      <c r="N24" s="28" t="str">
        <f t="shared" si="0"/>
        <v>1x20</v>
      </c>
      <c r="O24" s="29"/>
      <c r="Q24" s="54"/>
      <c r="R24" s="56" t="s">
        <v>13</v>
      </c>
      <c r="S24" s="56" t="str">
        <f>N24</f>
        <v>1x20</v>
      </c>
      <c r="T24" s="57"/>
      <c r="W24" s="36"/>
    </row>
    <row r="25" spans="2:23" s="1" customFormat="1" ht="19.899999999999999" customHeight="1" thickBot="1" x14ac:dyDescent="0.3">
      <c r="B25" s="4">
        <v>3</v>
      </c>
      <c r="C25" s="565" t="s">
        <v>48</v>
      </c>
      <c r="D25" s="565"/>
      <c r="E25" s="566"/>
      <c r="G25" s="24"/>
      <c r="H25" s="25" t="s">
        <v>13</v>
      </c>
      <c r="I25" s="25" t="s">
        <v>561</v>
      </c>
      <c r="J25" s="26"/>
      <c r="L25" s="24"/>
      <c r="M25" s="25" t="s">
        <v>13</v>
      </c>
      <c r="N25" s="25" t="str">
        <f t="shared" si="0"/>
        <v>1x10ea</v>
      </c>
      <c r="O25" s="26"/>
      <c r="Q25" s="46"/>
      <c r="R25" s="47" t="s">
        <v>13</v>
      </c>
      <c r="S25" s="47" t="str">
        <f>N25</f>
        <v>1x10ea</v>
      </c>
      <c r="T25" s="48"/>
    </row>
    <row r="26" spans="2:23" s="1" customFormat="1" ht="19.899999999999999" customHeight="1" x14ac:dyDescent="0.25">
      <c r="B26" s="9">
        <v>4</v>
      </c>
      <c r="C26" s="560" t="s">
        <v>491</v>
      </c>
      <c r="D26" s="560"/>
      <c r="E26" s="561"/>
      <c r="G26" s="21"/>
      <c r="H26" s="22" t="s">
        <v>13</v>
      </c>
      <c r="I26" s="22" t="s">
        <v>7</v>
      </c>
      <c r="J26" s="23"/>
      <c r="L26" s="21"/>
      <c r="M26" s="22" t="s">
        <v>13</v>
      </c>
      <c r="N26" s="22" t="str">
        <f t="shared" si="0"/>
        <v>1x20</v>
      </c>
      <c r="O26" s="23"/>
      <c r="Q26" s="50"/>
      <c r="R26" s="52" t="s">
        <v>13</v>
      </c>
      <c r="S26" s="52" t="s">
        <v>7</v>
      </c>
      <c r="T26" s="53"/>
    </row>
    <row r="27" spans="2:23" s="1" customFormat="1" ht="19.899999999999999" customHeight="1" x14ac:dyDescent="0.25">
      <c r="B27" s="3">
        <v>5</v>
      </c>
      <c r="C27" s="567" t="s">
        <v>500</v>
      </c>
      <c r="D27" s="567"/>
      <c r="E27" s="568"/>
      <c r="G27" s="27"/>
      <c r="H27" s="28" t="s">
        <v>13</v>
      </c>
      <c r="I27" s="28" t="s">
        <v>592</v>
      </c>
      <c r="J27" s="29"/>
      <c r="L27" s="27"/>
      <c r="M27" s="28" t="s">
        <v>13</v>
      </c>
      <c r="N27" s="28" t="str">
        <f t="shared" si="0"/>
        <v>1x20/ea</v>
      </c>
      <c r="O27" s="29"/>
      <c r="Q27" s="54"/>
      <c r="R27" s="56" t="s">
        <v>13</v>
      </c>
      <c r="S27" s="28" t="str">
        <f>I27</f>
        <v>1x20/ea</v>
      </c>
      <c r="T27" s="57"/>
    </row>
    <row r="28" spans="2:23" s="1" customFormat="1" ht="19.899999999999999" customHeight="1" thickBot="1" x14ac:dyDescent="0.3">
      <c r="B28" s="4">
        <v>6</v>
      </c>
      <c r="C28" s="565" t="s">
        <v>76</v>
      </c>
      <c r="D28" s="565"/>
      <c r="E28" s="566"/>
      <c r="G28" s="24"/>
      <c r="H28" s="25" t="s">
        <v>13</v>
      </c>
      <c r="I28" s="25" t="s">
        <v>292</v>
      </c>
      <c r="J28" s="26"/>
      <c r="L28" s="24"/>
      <c r="M28" s="25" t="s">
        <v>13</v>
      </c>
      <c r="N28" s="25" t="str">
        <f t="shared" si="0"/>
        <v>3x10s/ea</v>
      </c>
      <c r="O28" s="26"/>
      <c r="Q28" s="46"/>
      <c r="R28" s="47" t="s">
        <v>13</v>
      </c>
      <c r="S28" s="47" t="str">
        <f>N28</f>
        <v>3x10s/ea</v>
      </c>
      <c r="T28" s="48"/>
    </row>
    <row r="29" spans="2:23" s="1" customFormat="1" ht="19.899999999999999" customHeight="1" x14ac:dyDescent="0.25">
      <c r="B29" s="9">
        <v>7</v>
      </c>
      <c r="C29" s="560" t="s">
        <v>503</v>
      </c>
      <c r="D29" s="560"/>
      <c r="E29" s="561"/>
      <c r="G29" s="21"/>
      <c r="H29" s="22" t="s">
        <v>13</v>
      </c>
      <c r="I29" s="22" t="s">
        <v>7</v>
      </c>
      <c r="J29" s="23"/>
      <c r="L29" s="21"/>
      <c r="M29" s="22" t="s">
        <v>13</v>
      </c>
      <c r="N29" s="22" t="str">
        <f t="shared" si="0"/>
        <v>1x20</v>
      </c>
      <c r="O29" s="23"/>
      <c r="Q29" s="50"/>
      <c r="R29" s="52" t="s">
        <v>13</v>
      </c>
      <c r="S29" s="52" t="str">
        <f>N29</f>
        <v>1x20</v>
      </c>
      <c r="T29" s="53"/>
    </row>
    <row r="30" spans="2:23" s="1" customFormat="1" ht="19.899999999999999" customHeight="1" x14ac:dyDescent="0.25">
      <c r="B30" s="3">
        <v>8</v>
      </c>
      <c r="C30" s="567" t="s">
        <v>262</v>
      </c>
      <c r="D30" s="567"/>
      <c r="E30" s="568"/>
      <c r="G30" s="27"/>
      <c r="H30" s="28" t="s">
        <v>13</v>
      </c>
      <c r="I30" s="28" t="s">
        <v>7</v>
      </c>
      <c r="J30" s="29"/>
      <c r="L30" s="27"/>
      <c r="M30" s="28" t="s">
        <v>13</v>
      </c>
      <c r="N30" s="28" t="str">
        <f t="shared" si="0"/>
        <v>1x20</v>
      </c>
      <c r="O30" s="29"/>
      <c r="Q30" s="54"/>
      <c r="R30" s="56" t="s">
        <v>13</v>
      </c>
      <c r="S30" s="56" t="str">
        <f>N30</f>
        <v>1x20</v>
      </c>
      <c r="T30" s="57"/>
    </row>
    <row r="31" spans="2:23" s="1" customFormat="1" ht="19.899999999999999" customHeight="1" thickBot="1" x14ac:dyDescent="0.3">
      <c r="B31" s="4">
        <v>9</v>
      </c>
      <c r="C31" s="565" t="s">
        <v>265</v>
      </c>
      <c r="D31" s="565"/>
      <c r="E31" s="566"/>
      <c r="G31" s="24"/>
      <c r="H31" s="25" t="s">
        <v>13</v>
      </c>
      <c r="I31" s="25" t="s">
        <v>7</v>
      </c>
      <c r="J31" s="26"/>
      <c r="L31" s="24"/>
      <c r="M31" s="25" t="s">
        <v>13</v>
      </c>
      <c r="N31" s="25" t="str">
        <f t="shared" si="0"/>
        <v>1x20</v>
      </c>
      <c r="O31" s="26"/>
      <c r="Q31" s="46"/>
      <c r="R31" s="47" t="s">
        <v>13</v>
      </c>
      <c r="S31" s="25" t="str">
        <f>N31</f>
        <v>1x20</v>
      </c>
      <c r="T31" s="48"/>
    </row>
    <row r="32" spans="2:23" s="1" customFormat="1" ht="19.899999999999999" customHeight="1" x14ac:dyDescent="0.25">
      <c r="B32" s="9">
        <v>10</v>
      </c>
      <c r="C32" s="560" t="s">
        <v>272</v>
      </c>
      <c r="D32" s="560"/>
      <c r="E32" s="561"/>
      <c r="G32" s="21"/>
      <c r="H32" s="22" t="s">
        <v>13</v>
      </c>
      <c r="I32" s="22" t="s">
        <v>562</v>
      </c>
      <c r="J32" s="23"/>
      <c r="L32" s="21"/>
      <c r="M32" s="22" t="s">
        <v>13</v>
      </c>
      <c r="N32" s="22" t="s">
        <v>563</v>
      </c>
      <c r="O32" s="23"/>
      <c r="Q32" s="21"/>
      <c r="R32" s="22" t="s">
        <v>13</v>
      </c>
      <c r="S32" s="22" t="s">
        <v>564</v>
      </c>
      <c r="T32" s="23"/>
    </row>
    <row r="33" spans="2:22" s="1" customFormat="1" ht="19.899999999999999" customHeight="1" x14ac:dyDescent="0.25">
      <c r="B33" s="3">
        <v>11</v>
      </c>
      <c r="C33" s="567" t="s">
        <v>263</v>
      </c>
      <c r="D33" s="567"/>
      <c r="E33" s="568"/>
      <c r="G33" s="27"/>
      <c r="H33" s="28" t="s">
        <v>13</v>
      </c>
      <c r="I33" s="28" t="s">
        <v>592</v>
      </c>
      <c r="J33" s="29"/>
      <c r="L33" s="27"/>
      <c r="M33" s="28" t="s">
        <v>13</v>
      </c>
      <c r="N33" s="28" t="str">
        <f>I33</f>
        <v>1x20/ea</v>
      </c>
      <c r="O33" s="29"/>
      <c r="Q33" s="27"/>
      <c r="R33" s="28" t="s">
        <v>13</v>
      </c>
      <c r="S33" s="28" t="str">
        <f>N33</f>
        <v>1x20/ea</v>
      </c>
      <c r="T33" s="29"/>
    </row>
    <row r="34" spans="2:22" s="1" customFormat="1" ht="19.899999999999999" customHeight="1" thickBot="1" x14ac:dyDescent="0.3">
      <c r="B34" s="4">
        <v>12</v>
      </c>
      <c r="C34" s="565" t="s">
        <v>509</v>
      </c>
      <c r="D34" s="565"/>
      <c r="E34" s="566"/>
      <c r="G34" s="24"/>
      <c r="H34" s="25" t="s">
        <v>13</v>
      </c>
      <c r="I34" s="25" t="s">
        <v>592</v>
      </c>
      <c r="J34" s="26"/>
      <c r="L34" s="24"/>
      <c r="M34" s="25" t="s">
        <v>13</v>
      </c>
      <c r="N34" s="25" t="str">
        <f>I34</f>
        <v>1x20/ea</v>
      </c>
      <c r="O34" s="26"/>
      <c r="Q34" s="46"/>
      <c r="R34" s="47" t="s">
        <v>13</v>
      </c>
      <c r="S34" s="47" t="str">
        <f>N34</f>
        <v>1x20/ea</v>
      </c>
      <c r="T34" s="48"/>
    </row>
    <row r="35" spans="2:22" s="2" customFormat="1" ht="16.149999999999999" customHeight="1" thickBot="1" x14ac:dyDescent="0.3">
      <c r="B35" s="562" t="s">
        <v>874</v>
      </c>
      <c r="C35" s="563"/>
      <c r="D35" s="563"/>
      <c r="E35" s="564"/>
      <c r="F35" s="79"/>
      <c r="G35" s="557"/>
      <c r="H35" s="55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9"/>
    </row>
    <row r="36" spans="2:22" s="1" customFormat="1" ht="19.899999999999999" customHeight="1" x14ac:dyDescent="0.25">
      <c r="B36" s="9">
        <v>13</v>
      </c>
      <c r="C36" s="560" t="s">
        <v>521</v>
      </c>
      <c r="D36" s="560"/>
      <c r="E36" s="561"/>
      <c r="G36" s="21"/>
      <c r="H36" s="22" t="s">
        <v>13</v>
      </c>
      <c r="I36" s="22" t="s">
        <v>15</v>
      </c>
      <c r="J36" s="23"/>
      <c r="L36" s="21"/>
      <c r="M36" s="22" t="s">
        <v>13</v>
      </c>
      <c r="N36" s="22" t="s">
        <v>15</v>
      </c>
      <c r="O36" s="23"/>
      <c r="Q36" s="21"/>
      <c r="R36" s="22" t="s">
        <v>13</v>
      </c>
      <c r="S36" s="22" t="str">
        <f>N36</f>
        <v>1x30s</v>
      </c>
      <c r="T36" s="23"/>
    </row>
    <row r="37" spans="2:22" s="1" customFormat="1" ht="19.899999999999999" customHeight="1" x14ac:dyDescent="0.25">
      <c r="B37" s="3">
        <v>14</v>
      </c>
      <c r="C37" s="567" t="s">
        <v>524</v>
      </c>
      <c r="D37" s="567"/>
      <c r="E37" s="568"/>
      <c r="G37" s="18"/>
      <c r="H37" s="28" t="s">
        <v>13</v>
      </c>
      <c r="I37" s="19" t="s">
        <v>15</v>
      </c>
      <c r="J37" s="20"/>
      <c r="L37" s="18"/>
      <c r="M37" s="19" t="str">
        <f>H37</f>
        <v>8-9</v>
      </c>
      <c r="N37" s="19" t="str">
        <f>I37</f>
        <v>1x30s</v>
      </c>
      <c r="O37" s="20"/>
      <c r="Q37" s="18"/>
      <c r="R37" s="19" t="str">
        <f>M37</f>
        <v>8-9</v>
      </c>
      <c r="S37" s="19" t="str">
        <f>N37</f>
        <v>1x30s</v>
      </c>
      <c r="T37" s="20"/>
    </row>
    <row r="38" spans="2:22" s="1" customFormat="1" ht="19.899999999999999" customHeight="1" x14ac:dyDescent="0.25">
      <c r="B38" s="3">
        <v>15</v>
      </c>
      <c r="C38" s="567" t="s">
        <v>517</v>
      </c>
      <c r="D38" s="567"/>
      <c r="E38" s="568"/>
      <c r="G38" s="27"/>
      <c r="H38" s="28" t="s">
        <v>13</v>
      </c>
      <c r="I38" s="28" t="s">
        <v>15</v>
      </c>
      <c r="J38" s="29"/>
      <c r="L38" s="27"/>
      <c r="M38" s="28" t="s">
        <v>13</v>
      </c>
      <c r="N38" s="28" t="str">
        <f>I38</f>
        <v>1x30s</v>
      </c>
      <c r="O38" s="29"/>
      <c r="Q38" s="27"/>
      <c r="R38" s="28" t="s">
        <v>13</v>
      </c>
      <c r="S38" s="28" t="str">
        <f>N36</f>
        <v>1x30s</v>
      </c>
      <c r="T38" s="29"/>
    </row>
    <row r="39" spans="2:22" s="1" customFormat="1" ht="19.899999999999999" customHeight="1" thickBot="1" x14ac:dyDescent="0.3">
      <c r="B39" s="4">
        <v>16</v>
      </c>
      <c r="C39" s="571" t="s">
        <v>609</v>
      </c>
      <c r="D39" s="571"/>
      <c r="E39" s="572"/>
      <c r="F39" s="66"/>
      <c r="G39" s="24"/>
      <c r="H39" s="25" t="s">
        <v>13</v>
      </c>
      <c r="I39" s="25" t="s">
        <v>119</v>
      </c>
      <c r="J39" s="26"/>
      <c r="K39" s="66"/>
      <c r="L39" s="24"/>
      <c r="M39" s="25" t="s">
        <v>13</v>
      </c>
      <c r="N39" s="25" t="str">
        <f>I39</f>
        <v>1x30s/ea</v>
      </c>
      <c r="O39" s="26"/>
      <c r="P39" s="66"/>
      <c r="Q39" s="24"/>
      <c r="R39" s="25" t="s">
        <v>13</v>
      </c>
      <c r="S39" s="25" t="str">
        <f>I39</f>
        <v>1x30s/ea</v>
      </c>
      <c r="T39" s="26"/>
    </row>
    <row r="40" spans="2:22" x14ac:dyDescent="0.25">
      <c r="V40" s="1" t="s">
        <v>288</v>
      </c>
    </row>
    <row r="41" spans="2:22" x14ac:dyDescent="0.25">
      <c r="V41" s="1" t="s">
        <v>17</v>
      </c>
    </row>
    <row r="42" spans="2:22" x14ac:dyDescent="0.25">
      <c r="V42" s="1" t="s">
        <v>18</v>
      </c>
    </row>
    <row r="43" spans="2:22" x14ac:dyDescent="0.25">
      <c r="V43" s="1" t="s">
        <v>15</v>
      </c>
    </row>
    <row r="44" spans="2:22" x14ac:dyDescent="0.25">
      <c r="V44" s="1" t="s">
        <v>209</v>
      </c>
    </row>
    <row r="45" spans="2:22" x14ac:dyDescent="0.25">
      <c r="V45" s="1" t="s">
        <v>210</v>
      </c>
    </row>
    <row r="48" spans="2:22" x14ac:dyDescent="0.25">
      <c r="V48" s="1" t="s">
        <v>273</v>
      </c>
    </row>
    <row r="49" spans="22:22" x14ac:dyDescent="0.25">
      <c r="V49" s="1" t="s">
        <v>7</v>
      </c>
    </row>
    <row r="50" spans="22:22" x14ac:dyDescent="0.25">
      <c r="V50" s="1" t="s">
        <v>574</v>
      </c>
    </row>
  </sheetData>
  <mergeCells count="42">
    <mergeCell ref="C36:E36"/>
    <mergeCell ref="C37:E37"/>
    <mergeCell ref="C38:E38"/>
    <mergeCell ref="C39:E39"/>
    <mergeCell ref="C31:E31"/>
    <mergeCell ref="C32:E32"/>
    <mergeCell ref="C33:E33"/>
    <mergeCell ref="C34:E34"/>
    <mergeCell ref="B35:E35"/>
    <mergeCell ref="G35:T35"/>
    <mergeCell ref="C25:E25"/>
    <mergeCell ref="C26:E26"/>
    <mergeCell ref="C27:E27"/>
    <mergeCell ref="C28:E28"/>
    <mergeCell ref="C29:E29"/>
    <mergeCell ref="C30:E30"/>
    <mergeCell ref="C24:E24"/>
    <mergeCell ref="B15:E16"/>
    <mergeCell ref="G15:T15"/>
    <mergeCell ref="H16:I16"/>
    <mergeCell ref="M16:N16"/>
    <mergeCell ref="R16:S16"/>
    <mergeCell ref="B17:E17"/>
    <mergeCell ref="C18:E18"/>
    <mergeCell ref="C19:E19"/>
    <mergeCell ref="C20:E20"/>
    <mergeCell ref="B22:E22"/>
    <mergeCell ref="C23:E23"/>
    <mergeCell ref="R14:T14"/>
    <mergeCell ref="O2:T7"/>
    <mergeCell ref="M10:N10"/>
    <mergeCell ref="B12:D12"/>
    <mergeCell ref="E12:G12"/>
    <mergeCell ref="H12:J12"/>
    <mergeCell ref="L12:N12"/>
    <mergeCell ref="O12:Q12"/>
    <mergeCell ref="R12:T12"/>
    <mergeCell ref="B14:D14"/>
    <mergeCell ref="E14:G14"/>
    <mergeCell ref="H14:J14"/>
    <mergeCell ref="L14:N14"/>
    <mergeCell ref="O14:Q14"/>
  </mergeCells>
  <dataValidations count="5">
    <dataValidation type="list" allowBlank="1" showInputMessage="1" showErrorMessage="1" sqref="N38:N39 I36:I38 S36 N36 S38" xr:uid="{00000000-0002-0000-0700-000000000000}">
      <formula1>$V$40:$V$45</formula1>
    </dataValidation>
    <dataValidation type="list" allowBlank="1" showInputMessage="1" showErrorMessage="1" sqref="M23:M34 H23:H34 R23:R34 R38:R39 H36:H39 R36 M36 M38:M39" xr:uid="{00000000-0002-0000-0700-000001000000}">
      <formula1>$W$22:$W$24</formula1>
    </dataValidation>
    <dataValidation type="list" allowBlank="1" showInputMessage="1" showErrorMessage="1" sqref="I24 N27 S31" xr:uid="{00000000-0002-0000-0700-000002000000}">
      <formula1>$V$40:$V$50</formula1>
    </dataValidation>
    <dataValidation type="list" allowBlank="1" showInputMessage="1" showErrorMessage="1" sqref="N31" xr:uid="{00000000-0002-0000-0700-000003000000}">
      <formula1>$V$40:$V$51</formula1>
    </dataValidation>
    <dataValidation type="list" allowBlank="1" showInputMessage="1" showErrorMessage="1" sqref="I31" xr:uid="{00000000-0002-0000-0700-000004000000}">
      <formula1>$V$40:$V$47</formula1>
    </dataValidation>
  </dataValidation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 xr:uid="{00000000-0002-0000-0700-000005000000}">
          <x14:formula1>
            <xm:f>'Oberkörper Progressionen '!$I:$I</xm:f>
          </x14:formula1>
          <xm:sqref>C27:E27</xm:sqref>
        </x14:dataValidation>
        <x14:dataValidation type="list" allowBlank="1" showInputMessage="1" showErrorMessage="1" xr:uid="{00000000-0002-0000-0700-000006000000}">
          <x14:formula1>
            <xm:f>'Oberkörper Progressionen '!$G:$G</xm:f>
          </x14:formula1>
          <xm:sqref>C25:E25</xm:sqref>
        </x14:dataValidation>
        <x14:dataValidation type="list" allowBlank="1" showInputMessage="1" showErrorMessage="1" xr:uid="{00000000-0002-0000-0700-000007000000}">
          <x14:formula1>
            <xm:f>'Oberkörper Progressionen '!$M:$M</xm:f>
          </x14:formula1>
          <xm:sqref>C31:E31</xm:sqref>
        </x14:dataValidation>
        <x14:dataValidation type="list" allowBlank="1" showInputMessage="1" showErrorMessage="1" xr:uid="{00000000-0002-0000-0700-000008000000}">
          <x14:formula1>
            <xm:f>'Oberkörper Progressionen '!$J:$J</xm:f>
          </x14:formula1>
          <xm:sqref>C28:E28</xm:sqref>
        </x14:dataValidation>
        <x14:dataValidation type="list" allowBlank="1" showInputMessage="1" showErrorMessage="1" xr:uid="{00000000-0002-0000-0700-000009000000}">
          <x14:formula1>
            <xm:f>'Oberkörper Progressionen '!$H:$H</xm:f>
          </x14:formula1>
          <xm:sqref>C26:E26</xm:sqref>
        </x14:dataValidation>
        <x14:dataValidation type="list" allowBlank="1" showInputMessage="1" showErrorMessage="1" xr:uid="{00000000-0002-0000-0700-00000A000000}">
          <x14:formula1>
            <xm:f>'Oberkörper Progressionen '!$T:$T</xm:f>
          </x14:formula1>
          <xm:sqref>C37:E37</xm:sqref>
        </x14:dataValidation>
        <x14:dataValidation type="list" allowBlank="1" showInputMessage="1" showErrorMessage="1" xr:uid="{00000000-0002-0000-0700-00000C000000}">
          <x14:formula1>
            <xm:f>'Oberkörper Progressionen '!$E:$E</xm:f>
          </x14:formula1>
          <xm:sqref>C23:E23</xm:sqref>
        </x14:dataValidation>
        <x14:dataValidation type="list" allowBlank="1" showInputMessage="1" showErrorMessage="1" xr:uid="{00000000-0002-0000-0700-00000D000000}">
          <x14:formula1>
            <xm:f>'Oberkörper Progressionen '!$F:$F</xm:f>
          </x14:formula1>
          <xm:sqref>C24:E24</xm:sqref>
        </x14:dataValidation>
        <x14:dataValidation type="list" allowBlank="1" showInputMessage="1" showErrorMessage="1" xr:uid="{00000000-0002-0000-0700-00000E000000}">
          <x14:formula1>
            <xm:f>'Oberkörper Progressionen '!$K:$K</xm:f>
          </x14:formula1>
          <xm:sqref>C29:E29</xm:sqref>
        </x14:dataValidation>
        <x14:dataValidation type="list" allowBlank="1" showInputMessage="1" showErrorMessage="1" xr:uid="{00000000-0002-0000-0700-00000F000000}">
          <x14:formula1>
            <xm:f>'Oberkörper Progressionen '!$L:$L</xm:f>
          </x14:formula1>
          <xm:sqref>C30:E30</xm:sqref>
        </x14:dataValidation>
        <x14:dataValidation type="list" allowBlank="1" showInputMessage="1" showErrorMessage="1" xr:uid="{00000000-0002-0000-0700-000010000000}">
          <x14:formula1>
            <xm:f>'Oberkörper Progressionen '!$N:$N</xm:f>
          </x14:formula1>
          <xm:sqref>C32:E32</xm:sqref>
        </x14:dataValidation>
        <x14:dataValidation type="list" allowBlank="1" showInputMessage="1" showErrorMessage="1" xr:uid="{00000000-0002-0000-0700-000011000000}">
          <x14:formula1>
            <xm:f>'Oberkörper Progressionen '!$O:$O</xm:f>
          </x14:formula1>
          <xm:sqref>C33:E33</xm:sqref>
        </x14:dataValidation>
        <x14:dataValidation type="list" allowBlank="1" showInputMessage="1" showErrorMessage="1" xr:uid="{00000000-0002-0000-0700-000012000000}">
          <x14:formula1>
            <xm:f>'Oberkörper Progressionen '!$Q:$Q</xm:f>
          </x14:formula1>
          <xm:sqref>C38:E38</xm:sqref>
        </x14:dataValidation>
        <x14:dataValidation type="list" allowBlank="1" showInputMessage="1" showErrorMessage="1" xr:uid="{00000000-0002-0000-0700-000013000000}">
          <x14:formula1>
            <xm:f>'Oberkörper Progressionen '!$R:$R</xm:f>
          </x14:formula1>
          <xm:sqref>C36:E36</xm:sqref>
        </x14:dataValidation>
        <x14:dataValidation type="list" allowBlank="1" showInputMessage="1" showErrorMessage="1" xr:uid="{00000000-0002-0000-0700-000014000000}">
          <x14:formula1>
            <xm:f>'Oberkörper Progressionen '!$S:$S</xm:f>
          </x14:formula1>
          <xm:sqref>C39:E39</xm:sqref>
        </x14:dataValidation>
        <x14:dataValidation type="list" allowBlank="1" showInputMessage="1" showErrorMessage="1" xr:uid="{00000000-0002-0000-0700-000015000000}">
          <x14:formula1>
            <xm:f>'Oberkörper Progressionen '!$B:$B</xm:f>
          </x14:formula1>
          <xm:sqref>C18:E18</xm:sqref>
        </x14:dataValidation>
        <x14:dataValidation type="list" allowBlank="1" showInputMessage="1" showErrorMessage="1" xr:uid="{00000000-0002-0000-0700-000017000000}">
          <x14:formula1>
            <xm:f>'Oberkörper Progressionen '!$P:$P</xm:f>
          </x14:formula1>
          <xm:sqref>C34:E34</xm:sqref>
        </x14:dataValidation>
        <x14:dataValidation type="list" allowBlank="1" showInputMessage="1" showErrorMessage="1" xr:uid="{00000000-0002-0000-0700-00000B000000}">
          <x14:formula1>
            <xm:f>'Oberkörper Progressionen '!$D:$D</xm:f>
          </x14:formula1>
          <xm:sqref>C20:E20</xm:sqref>
        </x14:dataValidation>
        <x14:dataValidation type="list" allowBlank="1" showInputMessage="1" showErrorMessage="1" xr:uid="{00000000-0002-0000-0700-000016000000}">
          <x14:formula1>
            <xm:f>'Oberkörper Progressionen '!$C:$C</xm:f>
          </x14:formula1>
          <xm:sqref>C19:E19</xm:sqref>
        </x14:dataValidation>
        <x14:dataValidation type="list" allowBlank="1" showInputMessage="1" showErrorMessage="1" xr:uid="{00000000-0002-0000-0700-000018000000}">
          <x14:formula1>
            <xm:f>'BH1-2 Progressionen'!$M:$M</xm:f>
          </x14:formula1>
          <xm:sqref>R14:T14</xm:sqref>
        </x14:dataValidation>
        <x14:dataValidation type="list" allowBlank="1" showInputMessage="1" showErrorMessage="1" xr:uid="{00000000-0002-0000-0700-000019000000}">
          <x14:formula1>
            <xm:f>'BH1-2 Progressionen'!$L:$L</xm:f>
          </x14:formula1>
          <xm:sqref>O14:Q14</xm:sqref>
        </x14:dataValidation>
        <x14:dataValidation type="list" allowBlank="1" showInputMessage="1" showErrorMessage="1" xr:uid="{00000000-0002-0000-0700-00001A000000}">
          <x14:formula1>
            <xm:f>'BH1-2 Progressionen'!$K:$K</xm:f>
          </x14:formula1>
          <xm:sqref>L14:N14</xm:sqref>
        </x14:dataValidation>
        <x14:dataValidation type="list" allowBlank="1" showInputMessage="1" showErrorMessage="1" xr:uid="{00000000-0002-0000-0700-00001B000000}">
          <x14:formula1>
            <xm:f>'BH1-2 Progressionen'!$J:$J</xm:f>
          </x14:formula1>
          <xm:sqref>H14:J14</xm:sqref>
        </x14:dataValidation>
        <x14:dataValidation type="list" allowBlank="1" showInputMessage="1" showErrorMessage="1" xr:uid="{00000000-0002-0000-0700-00001C000000}">
          <x14:formula1>
            <xm:f>'BH1-2 Progressionen'!$I:$I</xm:f>
          </x14:formula1>
          <xm:sqref>E14:G14</xm:sqref>
        </x14:dataValidation>
        <x14:dataValidation type="list" allowBlank="1" showInputMessage="1" showErrorMessage="1" xr:uid="{00000000-0002-0000-0700-00001D000000}">
          <x14:formula1>
            <xm:f>'BH1-2 Progressionen'!$H:$H</xm:f>
          </x14:formula1>
          <xm:sqref>B14:D14</xm:sqref>
        </x14:dataValidation>
        <x14:dataValidation type="list" allowBlank="1" showInputMessage="1" showErrorMessage="1" xr:uid="{00000000-0002-0000-0700-00001E000000}">
          <x14:formula1>
            <xm:f>'BH1-2 Progressionen'!$G:$G</xm:f>
          </x14:formula1>
          <xm:sqref>R12:T13</xm:sqref>
        </x14:dataValidation>
        <x14:dataValidation type="list" allowBlank="1" showInputMessage="1" showErrorMessage="1" xr:uid="{00000000-0002-0000-0700-00001F000000}">
          <x14:formula1>
            <xm:f>'BH1-2 Progressionen'!$F:$F</xm:f>
          </x14:formula1>
          <xm:sqref>O12:Q13</xm:sqref>
        </x14:dataValidation>
        <x14:dataValidation type="list" allowBlank="1" showInputMessage="1" showErrorMessage="1" xr:uid="{00000000-0002-0000-0700-000020000000}">
          <x14:formula1>
            <xm:f>'BH1-2 Progressionen'!$E:$E</xm:f>
          </x14:formula1>
          <xm:sqref>L12:N13</xm:sqref>
        </x14:dataValidation>
        <x14:dataValidation type="list" allowBlank="1" showInputMessage="1" showErrorMessage="1" xr:uid="{00000000-0002-0000-0700-000021000000}">
          <x14:formula1>
            <xm:f>'BH1-2 Progressionen'!$B:$B</xm:f>
          </x14:formula1>
          <xm:sqref>B12:B13</xm:sqref>
        </x14:dataValidation>
        <x14:dataValidation type="list" allowBlank="1" showInputMessage="1" showErrorMessage="1" xr:uid="{00000000-0002-0000-0700-000022000000}">
          <x14:formula1>
            <xm:f>'BH1-2 Progressionen'!$C:$C</xm:f>
          </x14:formula1>
          <xm:sqref>E12:E13</xm:sqref>
        </x14:dataValidation>
        <x14:dataValidation type="list" allowBlank="1" showInputMessage="1" showErrorMessage="1" xr:uid="{00000000-0002-0000-0700-000023000000}">
          <x14:formula1>
            <xm:f>'BH1-2 Progressionen'!$D:$D</xm:f>
          </x14:formula1>
          <xm:sqref>H12:H13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X57"/>
  <sheetViews>
    <sheetView zoomScale="78" zoomScaleNormal="110" workbookViewId="0">
      <selection activeCell="A15" sqref="A15:XFD15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4" ht="16.5" thickBot="1" x14ac:dyDescent="0.3"/>
    <row r="2" spans="2:24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4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4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4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4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4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4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4" x14ac:dyDescent="0.25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4" x14ac:dyDescent="0.25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</v>
      </c>
      <c r="T10" s="63"/>
    </row>
    <row r="11" spans="2:24" ht="16.5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4" s="34" customFormat="1" ht="15.6" customHeight="1" x14ac:dyDescent="0.25">
      <c r="B12" s="598" t="s">
        <v>549</v>
      </c>
      <c r="C12" s="597"/>
      <c r="D12" s="597"/>
      <c r="E12" s="597" t="s">
        <v>148</v>
      </c>
      <c r="F12" s="597"/>
      <c r="G12" s="597"/>
      <c r="H12" s="65"/>
      <c r="I12" s="65" t="s">
        <v>40</v>
      </c>
      <c r="J12" s="65"/>
      <c r="K12" s="65"/>
      <c r="L12" s="65"/>
      <c r="M12" s="65" t="s">
        <v>364</v>
      </c>
      <c r="N12" s="65"/>
      <c r="O12" s="597" t="s">
        <v>396</v>
      </c>
      <c r="P12" s="597"/>
      <c r="Q12" s="597"/>
      <c r="R12" s="65"/>
      <c r="S12" s="65" t="s">
        <v>530</v>
      </c>
      <c r="T12" s="33"/>
    </row>
    <row r="13" spans="2:24" s="34" customFormat="1" ht="15.6" customHeight="1" x14ac:dyDescent="0.25">
      <c r="B13" s="507"/>
      <c r="T13" s="35"/>
    </row>
    <row r="14" spans="2:24" s="34" customFormat="1" ht="15.6" customHeight="1" thickBot="1" x14ac:dyDescent="0.3">
      <c r="B14" s="600" t="s">
        <v>132</v>
      </c>
      <c r="C14" s="599"/>
      <c r="D14" s="599"/>
      <c r="E14" s="599" t="s">
        <v>128</v>
      </c>
      <c r="F14" s="599"/>
      <c r="G14" s="599"/>
      <c r="I14" s="34" t="s">
        <v>135</v>
      </c>
      <c r="M14" s="34" t="s">
        <v>136</v>
      </c>
      <c r="O14" s="599" t="s">
        <v>553</v>
      </c>
      <c r="P14" s="599"/>
      <c r="Q14" s="599"/>
      <c r="S14" s="34" t="s">
        <v>555</v>
      </c>
      <c r="T14" s="35"/>
    </row>
    <row r="15" spans="2:24" ht="16.5" thickBot="1" x14ac:dyDescent="0.3">
      <c r="B15" s="576" t="s">
        <v>616</v>
      </c>
      <c r="C15" s="577"/>
      <c r="D15" s="577"/>
      <c r="E15" s="578"/>
      <c r="F15" s="1"/>
      <c r="G15" s="562" t="s">
        <v>116</v>
      </c>
      <c r="H15" s="563"/>
      <c r="I15" s="563"/>
      <c r="J15" s="563"/>
      <c r="K15" s="563"/>
      <c r="L15" s="563"/>
      <c r="M15" s="563"/>
      <c r="N15" s="563"/>
      <c r="O15" s="563"/>
      <c r="P15" s="563"/>
      <c r="Q15" s="563"/>
      <c r="R15" s="563"/>
      <c r="S15" s="563"/>
      <c r="T15" s="564"/>
      <c r="X15" t="s">
        <v>286</v>
      </c>
    </row>
    <row r="16" spans="2:24" ht="21.6" customHeight="1" thickBot="1" x14ac:dyDescent="0.3">
      <c r="B16" s="579"/>
      <c r="C16" s="580"/>
      <c r="D16" s="580"/>
      <c r="E16" s="581"/>
      <c r="F16" s="1"/>
      <c r="G16" s="70" t="s">
        <v>865</v>
      </c>
      <c r="H16" s="582" t="s">
        <v>877</v>
      </c>
      <c r="I16" s="583"/>
      <c r="J16" s="71" t="s">
        <v>866</v>
      </c>
      <c r="K16" s="64"/>
      <c r="L16" s="70" t="s">
        <v>867</v>
      </c>
      <c r="M16" s="582" t="s">
        <v>878</v>
      </c>
      <c r="N16" s="583"/>
      <c r="O16" s="71" t="s">
        <v>868</v>
      </c>
      <c r="P16" s="64"/>
      <c r="Q16" s="71" t="s">
        <v>869</v>
      </c>
      <c r="R16" s="582" t="s">
        <v>879</v>
      </c>
      <c r="S16" s="583"/>
      <c r="T16" s="71" t="s">
        <v>870</v>
      </c>
      <c r="W16" s="36"/>
      <c r="X16" s="1" t="s">
        <v>556</v>
      </c>
    </row>
    <row r="17" spans="2:24" ht="16.5" thickBot="1" x14ac:dyDescent="0.3">
      <c r="B17" s="562" t="s">
        <v>8</v>
      </c>
      <c r="C17" s="563"/>
      <c r="D17" s="563"/>
      <c r="E17" s="564"/>
      <c r="F17" s="72"/>
      <c r="G17" s="15" t="s">
        <v>9</v>
      </c>
      <c r="H17" s="16" t="s">
        <v>10</v>
      </c>
      <c r="I17" s="16" t="s">
        <v>11</v>
      </c>
      <c r="J17" s="17" t="s">
        <v>880</v>
      </c>
      <c r="K17" s="1"/>
      <c r="L17" s="15" t="s">
        <v>9</v>
      </c>
      <c r="M17" s="16" t="s">
        <v>10</v>
      </c>
      <c r="N17" s="16" t="s">
        <v>11</v>
      </c>
      <c r="O17" s="17" t="s">
        <v>880</v>
      </c>
      <c r="P17" s="1"/>
      <c r="Q17" s="40" t="s">
        <v>9</v>
      </c>
      <c r="R17" s="41" t="s">
        <v>10</v>
      </c>
      <c r="S17" s="41" t="s">
        <v>11</v>
      </c>
      <c r="T17" s="42" t="s">
        <v>880</v>
      </c>
      <c r="W17" s="37"/>
      <c r="X17" s="1" t="s">
        <v>573</v>
      </c>
    </row>
    <row r="18" spans="2:24" s="1" customFormat="1" ht="19.899999999999999" customHeight="1" x14ac:dyDescent="0.25">
      <c r="B18" s="9">
        <v>1</v>
      </c>
      <c r="C18" s="560" t="s">
        <v>25</v>
      </c>
      <c r="D18" s="560"/>
      <c r="E18" s="561"/>
      <c r="G18" s="18" t="s">
        <v>12</v>
      </c>
      <c r="H18" s="19"/>
      <c r="I18" s="19" t="s">
        <v>611</v>
      </c>
      <c r="J18" s="20" t="s">
        <v>16</v>
      </c>
      <c r="L18" s="18" t="s">
        <v>12</v>
      </c>
      <c r="M18" s="19"/>
      <c r="N18" s="19" t="s">
        <v>612</v>
      </c>
      <c r="O18" s="20" t="s">
        <v>16</v>
      </c>
      <c r="Q18" s="43" t="s">
        <v>12</v>
      </c>
      <c r="R18" s="44"/>
      <c r="S18" s="44" t="s">
        <v>610</v>
      </c>
      <c r="T18" s="45" t="s">
        <v>16</v>
      </c>
      <c r="W18" s="36"/>
      <c r="X18" s="1" t="s">
        <v>575</v>
      </c>
    </row>
    <row r="19" spans="2:24" s="1" customFormat="1" ht="19.899999999999999" customHeight="1" x14ac:dyDescent="0.25">
      <c r="B19" s="3">
        <v>2</v>
      </c>
      <c r="C19" s="567" t="s">
        <v>581</v>
      </c>
      <c r="D19" s="567"/>
      <c r="E19" s="568"/>
      <c r="G19" s="67" t="s">
        <v>12</v>
      </c>
      <c r="H19" s="68"/>
      <c r="I19" s="68" t="s">
        <v>14</v>
      </c>
      <c r="J19" s="69"/>
      <c r="L19" s="67" t="s">
        <v>12</v>
      </c>
      <c r="M19" s="68"/>
      <c r="N19" s="68" t="s">
        <v>14</v>
      </c>
      <c r="O19" s="69"/>
      <c r="Q19" s="67" t="s">
        <v>12</v>
      </c>
      <c r="R19" s="68"/>
      <c r="S19" s="68" t="s">
        <v>14</v>
      </c>
      <c r="T19" s="69"/>
      <c r="W19" s="36"/>
      <c r="X19" s="1" t="s">
        <v>613</v>
      </c>
    </row>
    <row r="20" spans="2:24" s="1" customFormat="1" ht="19.899999999999999" customHeight="1" thickBot="1" x14ac:dyDescent="0.3">
      <c r="B20" s="4">
        <v>3</v>
      </c>
      <c r="C20" s="565" t="s">
        <v>582</v>
      </c>
      <c r="D20" s="565"/>
      <c r="E20" s="566"/>
      <c r="G20" s="24" t="s">
        <v>12</v>
      </c>
      <c r="H20" s="25"/>
      <c r="I20" s="25" t="s">
        <v>14</v>
      </c>
      <c r="J20" s="26"/>
      <c r="L20" s="24" t="s">
        <v>12</v>
      </c>
      <c r="M20" s="25"/>
      <c r="N20" s="25" t="s">
        <v>14</v>
      </c>
      <c r="O20" s="26"/>
      <c r="Q20" s="46" t="s">
        <v>12</v>
      </c>
      <c r="R20" s="47"/>
      <c r="S20" s="47" t="s">
        <v>14</v>
      </c>
      <c r="T20" s="48"/>
      <c r="X20" s="1" t="s">
        <v>616</v>
      </c>
    </row>
    <row r="21" spans="2:24" s="2" customFormat="1" ht="4.9000000000000004" customHeight="1" thickBot="1" x14ac:dyDescent="0.3">
      <c r="B21" s="73"/>
      <c r="Q21" s="49"/>
      <c r="R21" s="49"/>
      <c r="S21" s="49"/>
      <c r="T21" s="74"/>
      <c r="X21" s="1"/>
    </row>
    <row r="22" spans="2:24" s="1" customFormat="1" ht="16.5" thickBot="1" x14ac:dyDescent="0.3">
      <c r="B22" s="562" t="s">
        <v>882</v>
      </c>
      <c r="C22" s="563"/>
      <c r="D22" s="563"/>
      <c r="E22" s="564"/>
      <c r="G22" s="80" t="s">
        <v>880</v>
      </c>
      <c r="H22" s="81" t="s">
        <v>10</v>
      </c>
      <c r="I22" s="81" t="s">
        <v>11</v>
      </c>
      <c r="J22" s="82" t="s">
        <v>880</v>
      </c>
      <c r="K22" s="72"/>
      <c r="L22" s="80" t="str">
        <f>G22</f>
        <v>GEWICHT</v>
      </c>
      <c r="M22" s="81" t="s">
        <v>10</v>
      </c>
      <c r="N22" s="81" t="s">
        <v>11</v>
      </c>
      <c r="O22" s="82" t="s">
        <v>880</v>
      </c>
      <c r="P22" s="72"/>
      <c r="Q22" s="83" t="str">
        <f>L22</f>
        <v>GEWICHT</v>
      </c>
      <c r="R22" s="84" t="s">
        <v>10</v>
      </c>
      <c r="S22" s="84" t="s">
        <v>11</v>
      </c>
      <c r="T22" s="85" t="s">
        <v>880</v>
      </c>
    </row>
    <row r="23" spans="2:24" s="1" customFormat="1" ht="19.899999999999999" customHeight="1" x14ac:dyDescent="0.25">
      <c r="B23" s="9">
        <v>1</v>
      </c>
      <c r="C23" s="560" t="s">
        <v>364</v>
      </c>
      <c r="D23" s="560"/>
      <c r="E23" s="561"/>
      <c r="G23" s="21"/>
      <c r="H23" s="22" t="s">
        <v>13</v>
      </c>
      <c r="I23" s="22" t="s">
        <v>7</v>
      </c>
      <c r="J23" s="23"/>
      <c r="L23" s="21"/>
      <c r="M23" s="22" t="s">
        <v>13</v>
      </c>
      <c r="N23" s="22" t="str">
        <f t="shared" ref="N23:N31" si="0">I23</f>
        <v>1x20</v>
      </c>
      <c r="O23" s="23"/>
      <c r="Q23" s="50"/>
      <c r="R23" s="52" t="s">
        <v>13</v>
      </c>
      <c r="S23" s="52" t="str">
        <f>N23</f>
        <v>1x20</v>
      </c>
      <c r="T23" s="53"/>
    </row>
    <row r="24" spans="2:24" s="1" customFormat="1" ht="19.899999999999999" customHeight="1" x14ac:dyDescent="0.25">
      <c r="B24" s="3">
        <v>2</v>
      </c>
      <c r="C24" s="567" t="s">
        <v>530</v>
      </c>
      <c r="D24" s="567"/>
      <c r="E24" s="568"/>
      <c r="G24" s="27"/>
      <c r="H24" s="28" t="s">
        <v>13</v>
      </c>
      <c r="I24" s="28" t="s">
        <v>625</v>
      </c>
      <c r="J24" s="29"/>
      <c r="L24" s="27"/>
      <c r="M24" s="28" t="s">
        <v>13</v>
      </c>
      <c r="N24" s="28" t="str">
        <f t="shared" si="0"/>
        <v>1x10/ea</v>
      </c>
      <c r="O24" s="29"/>
      <c r="Q24" s="54"/>
      <c r="R24" s="56" t="s">
        <v>13</v>
      </c>
      <c r="S24" s="56" t="str">
        <f>N24</f>
        <v>1x10/ea</v>
      </c>
      <c r="T24" s="57"/>
    </row>
    <row r="25" spans="2:24" s="1" customFormat="1" ht="19.899999999999999" customHeight="1" thickBot="1" x14ac:dyDescent="0.3">
      <c r="B25" s="4">
        <v>3</v>
      </c>
      <c r="C25" s="565" t="s">
        <v>389</v>
      </c>
      <c r="D25" s="565"/>
      <c r="E25" s="566"/>
      <c r="G25" s="24"/>
      <c r="H25" s="25" t="s">
        <v>13</v>
      </c>
      <c r="I25" s="25" t="s">
        <v>561</v>
      </c>
      <c r="J25" s="26"/>
      <c r="L25" s="24"/>
      <c r="M25" s="25" t="s">
        <v>13</v>
      </c>
      <c r="N25" s="25" t="str">
        <f t="shared" si="0"/>
        <v>1x10ea</v>
      </c>
      <c r="O25" s="26"/>
      <c r="Q25" s="46"/>
      <c r="R25" s="47" t="s">
        <v>13</v>
      </c>
      <c r="S25" s="47" t="str">
        <f>N25</f>
        <v>1x10ea</v>
      </c>
      <c r="T25" s="48"/>
    </row>
    <row r="26" spans="2:24" s="1" customFormat="1" ht="19.899999999999999" customHeight="1" x14ac:dyDescent="0.25">
      <c r="B26" s="9">
        <v>4</v>
      </c>
      <c r="C26" s="560" t="s">
        <v>396</v>
      </c>
      <c r="D26" s="560"/>
      <c r="E26" s="561"/>
      <c r="G26" s="21"/>
      <c r="H26" s="22" t="s">
        <v>13</v>
      </c>
      <c r="I26" s="22" t="s">
        <v>7</v>
      </c>
      <c r="J26" s="23"/>
      <c r="L26" s="21"/>
      <c r="M26" s="22" t="s">
        <v>13</v>
      </c>
      <c r="N26" s="22" t="str">
        <f t="shared" si="0"/>
        <v>1x20</v>
      </c>
      <c r="O26" s="23"/>
      <c r="Q26" s="50"/>
      <c r="R26" s="52" t="s">
        <v>13</v>
      </c>
      <c r="S26" s="52" t="s">
        <v>7</v>
      </c>
      <c r="T26" s="53"/>
    </row>
    <row r="27" spans="2:24" s="1" customFormat="1" ht="19.899999999999999" customHeight="1" x14ac:dyDescent="0.25">
      <c r="B27" s="3">
        <v>5</v>
      </c>
      <c r="C27" s="567" t="s">
        <v>394</v>
      </c>
      <c r="D27" s="567"/>
      <c r="E27" s="568"/>
      <c r="G27" s="27"/>
      <c r="H27" s="28" t="s">
        <v>13</v>
      </c>
      <c r="I27" s="28" t="s">
        <v>592</v>
      </c>
      <c r="J27" s="29"/>
      <c r="L27" s="27"/>
      <c r="M27" s="28" t="s">
        <v>13</v>
      </c>
      <c r="N27" s="28" t="str">
        <f t="shared" si="0"/>
        <v>1x20/ea</v>
      </c>
      <c r="O27" s="29"/>
      <c r="Q27" s="54"/>
      <c r="R27" s="56" t="s">
        <v>13</v>
      </c>
      <c r="S27" s="28" t="s">
        <v>7</v>
      </c>
      <c r="T27" s="57"/>
    </row>
    <row r="28" spans="2:24" s="1" customFormat="1" ht="19.899999999999999" customHeight="1" thickBot="1" x14ac:dyDescent="0.3">
      <c r="B28" s="4">
        <v>6</v>
      </c>
      <c r="C28" s="565" t="s">
        <v>408</v>
      </c>
      <c r="D28" s="565"/>
      <c r="E28" s="566"/>
      <c r="G28" s="24"/>
      <c r="H28" s="25" t="s">
        <v>13</v>
      </c>
      <c r="I28" s="25" t="s">
        <v>273</v>
      </c>
      <c r="J28" s="26"/>
      <c r="L28" s="24"/>
      <c r="M28" s="25" t="s">
        <v>13</v>
      </c>
      <c r="N28" s="25" t="str">
        <f t="shared" si="0"/>
        <v>3x10s</v>
      </c>
      <c r="O28" s="26"/>
      <c r="Q28" s="46"/>
      <c r="R28" s="47" t="s">
        <v>13</v>
      </c>
      <c r="S28" s="47" t="str">
        <f>N28</f>
        <v>3x10s</v>
      </c>
      <c r="T28" s="48"/>
    </row>
    <row r="29" spans="2:24" s="1" customFormat="1" ht="19.899999999999999" customHeight="1" x14ac:dyDescent="0.25">
      <c r="B29" s="9">
        <v>7</v>
      </c>
      <c r="C29" s="560" t="s">
        <v>469</v>
      </c>
      <c r="D29" s="560"/>
      <c r="E29" s="561"/>
      <c r="G29" s="21"/>
      <c r="H29" s="22" t="s">
        <v>13</v>
      </c>
      <c r="I29" s="22" t="s">
        <v>592</v>
      </c>
      <c r="J29" s="23"/>
      <c r="L29" s="21"/>
      <c r="M29" s="22" t="s">
        <v>13</v>
      </c>
      <c r="N29" s="22" t="str">
        <f t="shared" si="0"/>
        <v>1x20/ea</v>
      </c>
      <c r="O29" s="23"/>
      <c r="Q29" s="50"/>
      <c r="R29" s="52" t="s">
        <v>13</v>
      </c>
      <c r="S29" s="52" t="str">
        <f>N29</f>
        <v>1x20/ea</v>
      </c>
      <c r="T29" s="53"/>
    </row>
    <row r="30" spans="2:24" s="1" customFormat="1" ht="19.899999999999999" customHeight="1" x14ac:dyDescent="0.25">
      <c r="B30" s="3">
        <v>8</v>
      </c>
      <c r="C30" s="567" t="s">
        <v>166</v>
      </c>
      <c r="D30" s="567"/>
      <c r="E30" s="568"/>
      <c r="G30" s="27"/>
      <c r="H30" s="28" t="s">
        <v>13</v>
      </c>
      <c r="I30" s="28" t="s">
        <v>119</v>
      </c>
      <c r="J30" s="29"/>
      <c r="L30" s="27"/>
      <c r="M30" s="28" t="s">
        <v>13</v>
      </c>
      <c r="N30" s="28" t="str">
        <f t="shared" si="0"/>
        <v>1x30s/ea</v>
      </c>
      <c r="O30" s="29"/>
      <c r="Q30" s="54"/>
      <c r="R30" s="56" t="s">
        <v>13</v>
      </c>
      <c r="S30" s="56" t="str">
        <f>N30</f>
        <v>1x30s/ea</v>
      </c>
      <c r="T30" s="57"/>
    </row>
    <row r="31" spans="2:24" s="1" customFormat="1" ht="19.899999999999999" customHeight="1" thickBot="1" x14ac:dyDescent="0.3">
      <c r="B31" s="4">
        <v>9</v>
      </c>
      <c r="C31" s="565" t="s">
        <v>91</v>
      </c>
      <c r="D31" s="565"/>
      <c r="E31" s="566"/>
      <c r="G31" s="24"/>
      <c r="H31" s="25" t="s">
        <v>13</v>
      </c>
      <c r="I31" s="25" t="s">
        <v>591</v>
      </c>
      <c r="J31" s="26"/>
      <c r="L31" s="24"/>
      <c r="M31" s="25" t="s">
        <v>13</v>
      </c>
      <c r="N31" s="25" t="str">
        <f t="shared" si="0"/>
        <v>2x12/ea</v>
      </c>
      <c r="O31" s="26"/>
      <c r="Q31" s="46"/>
      <c r="R31" s="47" t="s">
        <v>13</v>
      </c>
      <c r="S31" s="25" t="str">
        <f>N31</f>
        <v>2x12/ea</v>
      </c>
      <c r="T31" s="48"/>
    </row>
    <row r="32" spans="2:24" s="1" customFormat="1" ht="19.899999999999999" customHeight="1" x14ac:dyDescent="0.25">
      <c r="B32" s="9">
        <v>10</v>
      </c>
      <c r="C32" s="560" t="s">
        <v>476</v>
      </c>
      <c r="D32" s="560"/>
      <c r="E32" s="561"/>
      <c r="G32" s="21"/>
      <c r="H32" s="22" t="s">
        <v>13</v>
      </c>
      <c r="I32" s="22" t="s">
        <v>627</v>
      </c>
      <c r="J32" s="23"/>
      <c r="L32" s="21"/>
      <c r="M32" s="22" t="s">
        <v>13</v>
      </c>
      <c r="N32" s="22" t="str">
        <f>I32</f>
        <v>1x12/ea</v>
      </c>
      <c r="O32" s="23"/>
      <c r="Q32" s="21"/>
      <c r="R32" s="22" t="s">
        <v>13</v>
      </c>
      <c r="S32" s="22" t="str">
        <f>I32</f>
        <v>1x12/ea</v>
      </c>
      <c r="T32" s="23"/>
    </row>
    <row r="33" spans="2:22" s="1" customFormat="1" ht="19.899999999999999" customHeight="1" x14ac:dyDescent="0.25">
      <c r="B33" s="3">
        <v>11</v>
      </c>
      <c r="C33" s="567" t="s">
        <v>400</v>
      </c>
      <c r="D33" s="567"/>
      <c r="E33" s="568"/>
      <c r="G33" s="27"/>
      <c r="H33" s="28" t="s">
        <v>13</v>
      </c>
      <c r="I33" s="28" t="s">
        <v>628</v>
      </c>
      <c r="J33" s="29"/>
      <c r="L33" s="27"/>
      <c r="M33" s="28" t="s">
        <v>13</v>
      </c>
      <c r="N33" s="28" t="str">
        <f t="shared" ref="N33:N38" si="1">I33</f>
        <v>1x12</v>
      </c>
      <c r="O33" s="29"/>
      <c r="Q33" s="27"/>
      <c r="R33" s="28" t="s">
        <v>13</v>
      </c>
      <c r="S33" s="28" t="str">
        <f>N33</f>
        <v>1x12</v>
      </c>
      <c r="T33" s="29"/>
    </row>
    <row r="34" spans="2:22" s="1" customFormat="1" ht="19.899999999999999" customHeight="1" thickBot="1" x14ac:dyDescent="0.3">
      <c r="B34" s="3">
        <v>12</v>
      </c>
      <c r="C34" s="567" t="s">
        <v>183</v>
      </c>
      <c r="D34" s="567"/>
      <c r="E34" s="568"/>
      <c r="G34" s="24"/>
      <c r="H34" s="25" t="s">
        <v>13</v>
      </c>
      <c r="I34" s="25" t="s">
        <v>592</v>
      </c>
      <c r="J34" s="26"/>
      <c r="L34" s="24"/>
      <c r="M34" s="25" t="s">
        <v>13</v>
      </c>
      <c r="N34" s="25" t="str">
        <f t="shared" si="1"/>
        <v>1x20/ea</v>
      </c>
      <c r="O34" s="26"/>
      <c r="Q34" s="46"/>
      <c r="R34" s="47" t="s">
        <v>13</v>
      </c>
      <c r="S34" s="47" t="str">
        <f>N34</f>
        <v>1x20/ea</v>
      </c>
      <c r="T34" s="48"/>
    </row>
    <row r="35" spans="2:22" s="1" customFormat="1" ht="19.899999999999999" customHeight="1" x14ac:dyDescent="0.25">
      <c r="B35" s="9">
        <v>13</v>
      </c>
      <c r="C35" s="560" t="s">
        <v>415</v>
      </c>
      <c r="D35" s="560"/>
      <c r="E35" s="561"/>
      <c r="G35" s="99"/>
      <c r="H35" s="22" t="s">
        <v>13</v>
      </c>
      <c r="I35" s="22" t="s">
        <v>594</v>
      </c>
      <c r="J35" s="23"/>
      <c r="L35" s="21"/>
      <c r="M35" s="22" t="s">
        <v>13</v>
      </c>
      <c r="N35" s="22" t="str">
        <f t="shared" si="1"/>
        <v>1x15m/ea</v>
      </c>
      <c r="O35" s="23"/>
      <c r="Q35" s="21"/>
      <c r="R35" s="22" t="s">
        <v>13</v>
      </c>
      <c r="S35" s="22" t="str">
        <f>I35</f>
        <v>1x15m/ea</v>
      </c>
      <c r="T35" s="23"/>
    </row>
    <row r="36" spans="2:22" s="1" customFormat="1" ht="19.899999999999999" customHeight="1" x14ac:dyDescent="0.25">
      <c r="B36" s="3">
        <v>14</v>
      </c>
      <c r="C36" s="567" t="s">
        <v>423</v>
      </c>
      <c r="D36" s="567"/>
      <c r="E36" s="568"/>
      <c r="G36" s="96"/>
      <c r="H36" s="28" t="s">
        <v>13</v>
      </c>
      <c r="I36" s="28" t="s">
        <v>292</v>
      </c>
      <c r="J36" s="29"/>
      <c r="L36" s="27"/>
      <c r="M36" s="28" t="s">
        <v>13</v>
      </c>
      <c r="N36" s="28" t="str">
        <f t="shared" si="1"/>
        <v>3x10s/ea</v>
      </c>
      <c r="O36" s="29"/>
      <c r="Q36" s="27"/>
      <c r="R36" s="28" t="s">
        <v>13</v>
      </c>
      <c r="S36" s="28" t="str">
        <f>N36</f>
        <v>3x10s/ea</v>
      </c>
      <c r="T36" s="29"/>
    </row>
    <row r="37" spans="2:22" s="1" customFormat="1" ht="19.899999999999999" customHeight="1" x14ac:dyDescent="0.25">
      <c r="B37" s="3">
        <v>15</v>
      </c>
      <c r="C37" s="567" t="s">
        <v>35</v>
      </c>
      <c r="D37" s="567"/>
      <c r="E37" s="568"/>
      <c r="G37" s="96"/>
      <c r="H37" s="28" t="s">
        <v>13</v>
      </c>
      <c r="I37" s="28" t="s">
        <v>592</v>
      </c>
      <c r="J37" s="29"/>
      <c r="L37" s="27"/>
      <c r="M37" s="28" t="s">
        <v>13</v>
      </c>
      <c r="N37" s="28" t="str">
        <f t="shared" si="1"/>
        <v>1x20/ea</v>
      </c>
      <c r="O37" s="29"/>
      <c r="Q37" s="27"/>
      <c r="R37" s="28" t="s">
        <v>13</v>
      </c>
      <c r="S37" s="28" t="str">
        <f>N37</f>
        <v>1x20/ea</v>
      </c>
      <c r="T37" s="29"/>
    </row>
    <row r="38" spans="2:22" s="1" customFormat="1" ht="19.899999999999999" customHeight="1" thickBot="1" x14ac:dyDescent="0.3">
      <c r="B38" s="4">
        <v>16</v>
      </c>
      <c r="C38" s="565" t="s">
        <v>617</v>
      </c>
      <c r="D38" s="565"/>
      <c r="E38" s="566"/>
      <c r="G38" s="24"/>
      <c r="H38" s="25" t="s">
        <v>13</v>
      </c>
      <c r="I38" s="25" t="s">
        <v>592</v>
      </c>
      <c r="J38" s="26"/>
      <c r="L38" s="24"/>
      <c r="M38" s="25" t="s">
        <v>13</v>
      </c>
      <c r="N38" s="25" t="str">
        <f t="shared" si="1"/>
        <v>1x20/ea</v>
      </c>
      <c r="O38" s="26"/>
      <c r="Q38" s="24"/>
      <c r="R38" s="25" t="s">
        <v>13</v>
      </c>
      <c r="S38" s="25" t="str">
        <f>N38</f>
        <v>1x20/ea</v>
      </c>
      <c r="T38" s="26"/>
    </row>
    <row r="39" spans="2:22" s="2" customFormat="1" ht="16.149999999999999" customHeight="1" thickBot="1" x14ac:dyDescent="0.3">
      <c r="B39" s="573" t="s">
        <v>873</v>
      </c>
      <c r="C39" s="574"/>
      <c r="D39" s="574"/>
      <c r="E39" s="575"/>
      <c r="F39" s="79"/>
      <c r="G39" s="557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9"/>
    </row>
    <row r="40" spans="2:22" s="1" customFormat="1" ht="19.899999999999999" customHeight="1" x14ac:dyDescent="0.25">
      <c r="B40" s="9">
        <v>17</v>
      </c>
      <c r="C40" s="560" t="s">
        <v>182</v>
      </c>
      <c r="D40" s="560"/>
      <c r="E40" s="561"/>
      <c r="G40" s="21"/>
      <c r="H40" s="30" t="s">
        <v>13</v>
      </c>
      <c r="I40" s="22" t="s">
        <v>619</v>
      </c>
      <c r="J40" s="23"/>
      <c r="L40" s="21"/>
      <c r="M40" s="30" t="s">
        <v>13</v>
      </c>
      <c r="N40" s="22" t="str">
        <f>I40</f>
        <v>1x75s/ea</v>
      </c>
      <c r="O40" s="23"/>
      <c r="Q40" s="50"/>
      <c r="R40" s="51" t="s">
        <v>13</v>
      </c>
      <c r="S40" s="52" t="str">
        <f>I40</f>
        <v>1x75s/ea</v>
      </c>
      <c r="T40" s="53"/>
    </row>
    <row r="41" spans="2:22" s="1" customFormat="1" ht="19.899999999999999" customHeight="1" x14ac:dyDescent="0.25">
      <c r="B41" s="3">
        <v>18</v>
      </c>
      <c r="C41" s="569" t="s">
        <v>606</v>
      </c>
      <c r="D41" s="569"/>
      <c r="E41" s="570"/>
      <c r="G41" s="27"/>
      <c r="H41" s="31" t="s">
        <v>13</v>
      </c>
      <c r="I41" s="28" t="s">
        <v>619</v>
      </c>
      <c r="J41" s="29"/>
      <c r="L41" s="27"/>
      <c r="M41" s="31" t="s">
        <v>13</v>
      </c>
      <c r="N41" s="28" t="str">
        <f>I41</f>
        <v>1x75s/ea</v>
      </c>
      <c r="O41" s="29"/>
      <c r="Q41" s="54"/>
      <c r="R41" s="55" t="s">
        <v>13</v>
      </c>
      <c r="S41" s="56" t="str">
        <f>I41</f>
        <v>1x75s/ea</v>
      </c>
      <c r="T41" s="57"/>
    </row>
    <row r="42" spans="2:22" s="1" customFormat="1" ht="19.899999999999999" customHeight="1" thickBot="1" x14ac:dyDescent="0.3">
      <c r="B42" s="4">
        <v>19</v>
      </c>
      <c r="C42" s="571" t="s">
        <v>36</v>
      </c>
      <c r="D42" s="571"/>
      <c r="E42" s="572"/>
      <c r="F42" s="66"/>
      <c r="G42" s="24"/>
      <c r="H42" s="32" t="s">
        <v>13</v>
      </c>
      <c r="I42" s="25" t="s">
        <v>619</v>
      </c>
      <c r="J42" s="26"/>
      <c r="K42" s="66"/>
      <c r="L42" s="24"/>
      <c r="M42" s="32" t="s">
        <v>13</v>
      </c>
      <c r="N42" s="25" t="str">
        <f>I42</f>
        <v>1x75s/ea</v>
      </c>
      <c r="O42" s="26"/>
      <c r="P42" s="66"/>
      <c r="Q42" s="46"/>
      <c r="R42" s="58" t="s">
        <v>13</v>
      </c>
      <c r="S42" s="47" t="str">
        <f>N42</f>
        <v>1x75s/ea</v>
      </c>
      <c r="T42" s="48"/>
    </row>
    <row r="43" spans="2:22" s="2" customFormat="1" ht="4.9000000000000004" customHeight="1" x14ac:dyDescent="0.25">
      <c r="Q43" s="49"/>
      <c r="R43" s="49"/>
      <c r="S43" s="49"/>
      <c r="T43" s="49"/>
    </row>
    <row r="44" spans="2:22" x14ac:dyDescent="0.25">
      <c r="V44" s="1" t="s">
        <v>289</v>
      </c>
    </row>
    <row r="45" spans="2:22" x14ac:dyDescent="0.25">
      <c r="V45" s="1" t="s">
        <v>311</v>
      </c>
    </row>
    <row r="46" spans="2:22" x14ac:dyDescent="0.25">
      <c r="V46" s="1" t="s">
        <v>37</v>
      </c>
    </row>
    <row r="47" spans="2:22" x14ac:dyDescent="0.25">
      <c r="V47" s="1" t="s">
        <v>119</v>
      </c>
    </row>
    <row r="48" spans="2:22" x14ac:dyDescent="0.25">
      <c r="V48" s="1" t="s">
        <v>290</v>
      </c>
    </row>
    <row r="49" spans="22:22" x14ac:dyDescent="0.25">
      <c r="V49" s="1" t="s">
        <v>291</v>
      </c>
    </row>
    <row r="50" spans="22:22" x14ac:dyDescent="0.25">
      <c r="V50" s="1" t="s">
        <v>619</v>
      </c>
    </row>
    <row r="51" spans="22:22" x14ac:dyDescent="0.25">
      <c r="V51" s="1" t="s">
        <v>618</v>
      </c>
    </row>
    <row r="53" spans="22:22" x14ac:dyDescent="0.25">
      <c r="V53" s="1" t="s">
        <v>292</v>
      </c>
    </row>
    <row r="54" spans="22:22" x14ac:dyDescent="0.25">
      <c r="V54" s="1" t="s">
        <v>337</v>
      </c>
    </row>
    <row r="55" spans="22:22" x14ac:dyDescent="0.25">
      <c r="V55" s="1" t="s">
        <v>15</v>
      </c>
    </row>
    <row r="56" spans="22:22" x14ac:dyDescent="0.25">
      <c r="V56" s="1" t="s">
        <v>209</v>
      </c>
    </row>
    <row r="57" spans="22:22" x14ac:dyDescent="0.25">
      <c r="V57" s="1" t="s">
        <v>591</v>
      </c>
    </row>
  </sheetData>
  <mergeCells count="40">
    <mergeCell ref="C41:E41"/>
    <mergeCell ref="C42:E42"/>
    <mergeCell ref="C36:E36"/>
    <mergeCell ref="C37:E37"/>
    <mergeCell ref="C38:E38"/>
    <mergeCell ref="B39:E39"/>
    <mergeCell ref="G39:T39"/>
    <mergeCell ref="C40:E40"/>
    <mergeCell ref="C30:E30"/>
    <mergeCell ref="C31:E31"/>
    <mergeCell ref="C32:E32"/>
    <mergeCell ref="C33:E33"/>
    <mergeCell ref="C34:E34"/>
    <mergeCell ref="C35:E35"/>
    <mergeCell ref="C29:E29"/>
    <mergeCell ref="B17:E17"/>
    <mergeCell ref="C18:E18"/>
    <mergeCell ref="C19:E19"/>
    <mergeCell ref="C20:E20"/>
    <mergeCell ref="B22:E22"/>
    <mergeCell ref="C23:E23"/>
    <mergeCell ref="C24:E24"/>
    <mergeCell ref="C25:E25"/>
    <mergeCell ref="C26:E26"/>
    <mergeCell ref="C27:E27"/>
    <mergeCell ref="C28:E28"/>
    <mergeCell ref="B14:D14"/>
    <mergeCell ref="E14:G14"/>
    <mergeCell ref="O14:Q14"/>
    <mergeCell ref="B15:E16"/>
    <mergeCell ref="G15:T15"/>
    <mergeCell ref="H16:I16"/>
    <mergeCell ref="M16:N16"/>
    <mergeCell ref="R16:S16"/>
    <mergeCell ref="O2:T7"/>
    <mergeCell ref="E10:G10"/>
    <mergeCell ref="I10:L10"/>
    <mergeCell ref="B12:D12"/>
    <mergeCell ref="E12:G12"/>
    <mergeCell ref="O12:Q12"/>
  </mergeCells>
  <dataValidations count="11">
    <dataValidation type="list" allowBlank="1" showInputMessage="1" showErrorMessage="1" sqref="N27 S27" xr:uid="{00000000-0002-0000-0800-000000000000}">
      <formula1>$V$40:$V$48</formula1>
    </dataValidation>
    <dataValidation type="list" allowBlank="1" showInputMessage="1" showErrorMessage="1" sqref="M23:M38 H23:H38 R23:R38" xr:uid="{00000000-0002-0000-0800-000001000000}">
      <formula1>$W$22:$W$24</formula1>
    </dataValidation>
    <dataValidation type="list" allowBlank="1" showInputMessage="1" showErrorMessage="1" sqref="B15:E16" xr:uid="{00000000-0002-0000-0800-000002000000}">
      <formula1>$X$16:$X$20</formula1>
    </dataValidation>
    <dataValidation type="list" allowBlank="1" showInputMessage="1" showErrorMessage="1" sqref="M40 R40 H40" xr:uid="{00000000-0002-0000-0800-000003000000}">
      <formula1>$W$16:$W$20</formula1>
    </dataValidation>
    <dataValidation type="list" allowBlank="1" showInputMessage="1" showErrorMessage="1" sqref="H41:H42 R41:R42 M41:M42" xr:uid="{00000000-0002-0000-0800-000004000000}">
      <formula1>$W$16:$W$18</formula1>
    </dataValidation>
    <dataValidation type="list" allowBlank="1" showInputMessage="1" showErrorMessage="1" sqref="S42 N40:N42" xr:uid="{00000000-0002-0000-0800-000005000000}">
      <formula1>$V$44:$V$49</formula1>
    </dataValidation>
    <dataValidation type="list" allowBlank="1" showInputMessage="1" showErrorMessage="1" sqref="S31" xr:uid="{00000000-0002-0000-0800-000006000000}">
      <formula1>$V$40:$V$53</formula1>
    </dataValidation>
    <dataValidation type="list" allowBlank="1" showInputMessage="1" showErrorMessage="1" sqref="I40:I41" xr:uid="{00000000-0002-0000-0800-000007000000}">
      <formula1>$V$44:$V$58</formula1>
    </dataValidation>
    <dataValidation type="list" allowBlank="1" showInputMessage="1" showErrorMessage="1" sqref="N31" xr:uid="{00000000-0002-0000-0800-000008000000}">
      <formula1>$V$40:$V$54</formula1>
    </dataValidation>
    <dataValidation type="list" allowBlank="1" showInputMessage="1" showErrorMessage="1" sqref="I31" xr:uid="{00000000-0002-0000-0800-000009000000}">
      <formula1>$V$40:$V$58</formula1>
    </dataValidation>
    <dataValidation type="list" allowBlank="1" showInputMessage="1" showErrorMessage="1" sqref="I42" xr:uid="{00000000-0002-0000-0800-00000A000000}">
      <formula1>$V$44:$V$57</formula1>
    </dataValidation>
  </dataValidations>
  <pageMargins left="0.25" right="0.25" top="0.75" bottom="0.75" header="0.3" footer="0.3"/>
  <pageSetup paperSize="9"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4">
        <x14:dataValidation type="list" allowBlank="1" showInputMessage="1" showErrorMessage="1" xr:uid="{00000000-0002-0000-0800-00000B000000}">
          <x14:formula1>
            <xm:f>'BH1-2 Progressionen'!$L:$L</xm:f>
          </x14:formula1>
          <xm:sqref>O14</xm:sqref>
        </x14:dataValidation>
        <x14:dataValidation type="list" allowBlank="1" showInputMessage="1" showErrorMessage="1" xr:uid="{00000000-0002-0000-0800-00000C000000}">
          <x14:formula1>
            <xm:f>'BH1-2 Progressionen'!$B:$B</xm:f>
          </x14:formula1>
          <xm:sqref>B12:B13</xm:sqref>
        </x14:dataValidation>
        <x14:dataValidation type="list" allowBlank="1" showInputMessage="1" showErrorMessage="1" xr:uid="{00000000-0002-0000-0800-00000D000000}">
          <x14:formula1>
            <xm:f>'BH1-2 Progressionen'!$C:$C</xm:f>
          </x14:formula1>
          <xm:sqref>E12:E13</xm:sqref>
        </x14:dataValidation>
        <x14:dataValidation type="list" allowBlank="1" showInputMessage="1" showErrorMessage="1" xr:uid="{00000000-0002-0000-0800-00000E000000}">
          <x14:formula1>
            <xm:f>'BH1-2 Progressionen'!$D:$D</xm:f>
          </x14:formula1>
          <xm:sqref>I12:I13</xm:sqref>
        </x14:dataValidation>
        <x14:dataValidation type="list" allowBlank="1" showInputMessage="1" showErrorMessage="1" xr:uid="{00000000-0002-0000-0800-00000F000000}">
          <x14:formula1>
            <xm:f>'BH1-2 Progressionen'!$E:$E</xm:f>
          </x14:formula1>
          <xm:sqref>M12:M13</xm:sqref>
        </x14:dataValidation>
        <x14:dataValidation type="list" allowBlank="1" showInputMessage="1" showErrorMessage="1" xr:uid="{00000000-0002-0000-0800-000010000000}">
          <x14:formula1>
            <xm:f>'BH1-2 Progressionen'!$F:$F</xm:f>
          </x14:formula1>
          <xm:sqref>O12:O13</xm:sqref>
        </x14:dataValidation>
        <x14:dataValidation type="list" allowBlank="1" showInputMessage="1" showErrorMessage="1" xr:uid="{00000000-0002-0000-0800-000011000000}">
          <x14:formula1>
            <xm:f>'BH1-2 Progressionen'!$G:$G</xm:f>
          </x14:formula1>
          <xm:sqref>S12:S13</xm:sqref>
        </x14:dataValidation>
        <x14:dataValidation type="list" allowBlank="1" showInputMessage="1" showErrorMessage="1" xr:uid="{00000000-0002-0000-0800-000012000000}">
          <x14:formula1>
            <xm:f>'BH1-2 Progressionen'!$H:$H</xm:f>
          </x14:formula1>
          <xm:sqref>B14</xm:sqref>
        </x14:dataValidation>
        <x14:dataValidation type="list" allowBlank="1" showInputMessage="1" showErrorMessage="1" xr:uid="{00000000-0002-0000-0800-000013000000}">
          <x14:formula1>
            <xm:f>'BH1-2 Progressionen'!$I:$I</xm:f>
          </x14:formula1>
          <xm:sqref>E14</xm:sqref>
        </x14:dataValidation>
        <x14:dataValidation type="list" allowBlank="1" showInputMessage="1" showErrorMessage="1" xr:uid="{00000000-0002-0000-0800-000014000000}">
          <x14:formula1>
            <xm:f>'BH1-2 Progressionen'!$J:$J</xm:f>
          </x14:formula1>
          <xm:sqref>I14</xm:sqref>
        </x14:dataValidation>
        <x14:dataValidation type="list" allowBlank="1" showInputMessage="1" showErrorMessage="1" xr:uid="{00000000-0002-0000-0800-000015000000}">
          <x14:formula1>
            <xm:f>'BH1-2 Progressionen'!$K:$K</xm:f>
          </x14:formula1>
          <xm:sqref>M14</xm:sqref>
        </x14:dataValidation>
        <x14:dataValidation type="list" allowBlank="1" showInputMessage="1" showErrorMessage="1" xr:uid="{00000000-0002-0000-0800-000016000000}">
          <x14:formula1>
            <xm:f>'BH1-2 Progressionen'!$M:$M</xm:f>
          </x14:formula1>
          <xm:sqref>S14</xm:sqref>
        </x14:dataValidation>
        <x14:dataValidation type="list" allowBlank="1" showInputMessage="1" showErrorMessage="1" xr:uid="{00000000-0002-0000-0800-000017000000}">
          <x14:formula1>
            <xm:f>' Unterkörper Progressionen '!$C:$C</xm:f>
          </x14:formula1>
          <xm:sqref>C19:E19</xm:sqref>
        </x14:dataValidation>
        <x14:dataValidation type="list" allowBlank="1" showInputMessage="1" showErrorMessage="1" xr:uid="{00000000-0002-0000-0800-000018000000}">
          <x14:formula1>
            <xm:f>' Unterkörper Progressionen '!$B:$B</xm:f>
          </x14:formula1>
          <xm:sqref>C18:E18</xm:sqref>
        </x14:dataValidation>
        <x14:dataValidation type="list" allowBlank="1" showInputMessage="1" showErrorMessage="1" xr:uid="{00000000-0002-0000-0800-000019000000}">
          <x14:formula1>
            <xm:f>' Unterkörper Progressionen '!$G:$G</xm:f>
          </x14:formula1>
          <xm:sqref>C25:E25</xm:sqref>
        </x14:dataValidation>
        <x14:dataValidation type="list" allowBlank="1" showInputMessage="1" showErrorMessage="1" xr:uid="{00000000-0002-0000-0800-00001A000000}">
          <x14:formula1>
            <xm:f>' Unterkörper Progressionen '!$M:$M</xm:f>
          </x14:formula1>
          <xm:sqref>C31:E31</xm:sqref>
        </x14:dataValidation>
        <x14:dataValidation type="list" allowBlank="1" showInputMessage="1" showErrorMessage="1" xr:uid="{00000000-0002-0000-0800-00001B000000}">
          <x14:formula1>
            <xm:f>' Unterkörper Progressionen '!$N:$N</xm:f>
          </x14:formula1>
          <xm:sqref>C32:E32</xm:sqref>
        </x14:dataValidation>
        <x14:dataValidation type="list" allowBlank="1" showInputMessage="1" showErrorMessage="1" xr:uid="{00000000-0002-0000-0800-00001C000000}">
          <x14:formula1>
            <xm:f>' Unterkörper Progressionen '!$R:$R</xm:f>
          </x14:formula1>
          <xm:sqref>C36:E36</xm:sqref>
        </x14:dataValidation>
        <x14:dataValidation type="list" allowBlank="1" showInputMessage="1" showErrorMessage="1" xr:uid="{00000000-0002-0000-0800-00001D000000}">
          <x14:formula1>
            <xm:f>' Unterkörper Progressionen '!$S:$S</xm:f>
          </x14:formula1>
          <xm:sqref>C37:E37</xm:sqref>
        </x14:dataValidation>
        <x14:dataValidation type="list" allowBlank="1" showInputMessage="1" showErrorMessage="1" xr:uid="{00000000-0002-0000-0800-00001E000000}">
          <x14:formula1>
            <xm:f>' Unterkörper Progressionen '!$E:$E</xm:f>
          </x14:formula1>
          <xm:sqref>C23:E23</xm:sqref>
        </x14:dataValidation>
        <x14:dataValidation type="list" allowBlank="1" showInputMessage="1" showErrorMessage="1" xr:uid="{00000000-0002-0000-0800-00001F000000}">
          <x14:formula1>
            <xm:f>' Unterkörper Progressionen '!$D:$D</xm:f>
          </x14:formula1>
          <xm:sqref>C20:E20</xm:sqref>
        </x14:dataValidation>
        <x14:dataValidation type="list" allowBlank="1" showInputMessage="1" showErrorMessage="1" xr:uid="{00000000-0002-0000-0800-000020000000}">
          <x14:formula1>
            <xm:f>' Unterkörper Progressionen '!$U:$U</xm:f>
          </x14:formula1>
          <xm:sqref>C40:E40</xm:sqref>
        </x14:dataValidation>
        <x14:dataValidation type="list" allowBlank="1" showInputMessage="1" showErrorMessage="1" xr:uid="{00000000-0002-0000-0800-000021000000}">
          <x14:formula1>
            <xm:f>' Unterkörper Progressionen '!$T:$T</xm:f>
          </x14:formula1>
          <xm:sqref>C38:E38</xm:sqref>
        </x14:dataValidation>
        <x14:dataValidation type="list" allowBlank="1" showInputMessage="1" showErrorMessage="1" xr:uid="{00000000-0002-0000-0800-000022000000}">
          <x14:formula1>
            <xm:f>' Unterkörper Progressionen '!$W:$W</xm:f>
          </x14:formula1>
          <xm:sqref>C41:E41</xm:sqref>
        </x14:dataValidation>
        <x14:dataValidation type="list" allowBlank="1" showInputMessage="1" showErrorMessage="1" xr:uid="{00000000-0002-0000-0800-000023000000}">
          <x14:formula1>
            <xm:f>' Unterkörper Progressionen '!$V:$V</xm:f>
          </x14:formula1>
          <xm:sqref>C42:E42</xm:sqref>
        </x14:dataValidation>
        <x14:dataValidation type="list" allowBlank="1" showInputMessage="1" showErrorMessage="1" xr:uid="{00000000-0002-0000-0800-000024000000}">
          <x14:formula1>
            <xm:f>' Unterkörper Progressionen '!$I:$I</xm:f>
          </x14:formula1>
          <xm:sqref>C27:E27</xm:sqref>
        </x14:dataValidation>
        <x14:dataValidation type="list" allowBlank="1" showInputMessage="1" showErrorMessage="1" xr:uid="{00000000-0002-0000-0800-000025000000}">
          <x14:formula1>
            <xm:f>' Unterkörper Progressionen '!$H:$H</xm:f>
          </x14:formula1>
          <xm:sqref>C26:E26</xm:sqref>
        </x14:dataValidation>
        <x14:dataValidation type="list" allowBlank="1" showInputMessage="1" showErrorMessage="1" xr:uid="{00000000-0002-0000-0800-000026000000}">
          <x14:formula1>
            <xm:f>' Unterkörper Progressionen '!$J:$J</xm:f>
          </x14:formula1>
          <xm:sqref>C28:E28</xm:sqref>
        </x14:dataValidation>
        <x14:dataValidation type="list" allowBlank="1" showInputMessage="1" showErrorMessage="1" xr:uid="{00000000-0002-0000-0800-000027000000}">
          <x14:formula1>
            <xm:f>' Unterkörper Progressionen '!$L:$L</xm:f>
          </x14:formula1>
          <xm:sqref>C30:E30</xm:sqref>
        </x14:dataValidation>
        <x14:dataValidation type="list" allowBlank="1" showInputMessage="1" showErrorMessage="1" xr:uid="{00000000-0002-0000-0800-000028000000}">
          <x14:formula1>
            <xm:f>' Unterkörper Progressionen '!$K:$K</xm:f>
          </x14:formula1>
          <xm:sqref>C29:E29</xm:sqref>
        </x14:dataValidation>
        <x14:dataValidation type="list" allowBlank="1" showInputMessage="1" showErrorMessage="1" xr:uid="{00000000-0002-0000-0800-000029000000}">
          <x14:formula1>
            <xm:f>' Unterkörper Progressionen '!$O:$O</xm:f>
          </x14:formula1>
          <xm:sqref>C33:E33</xm:sqref>
        </x14:dataValidation>
        <x14:dataValidation type="list" allowBlank="1" showInputMessage="1" showErrorMessage="1" xr:uid="{00000000-0002-0000-0800-00002A000000}">
          <x14:formula1>
            <xm:f>' Unterkörper Progressionen '!$P:$P</xm:f>
          </x14:formula1>
          <xm:sqref>C34:E34</xm:sqref>
        </x14:dataValidation>
        <x14:dataValidation type="list" allowBlank="1" showInputMessage="1" showErrorMessage="1" xr:uid="{00000000-0002-0000-0800-00002B000000}">
          <x14:formula1>
            <xm:f>' Unterkörper Progressionen '!$Q:$Q</xm:f>
          </x14:formula1>
          <xm:sqref>C35:E35</xm:sqref>
        </x14:dataValidation>
        <x14:dataValidation type="list" allowBlank="1" showInputMessage="1" showErrorMessage="1" xr:uid="{00000000-0002-0000-0800-00002C000000}">
          <x14:formula1>
            <xm:f>' Unterkörper Progressionen '!$F:$F</xm:f>
          </x14:formula1>
          <xm:sqref>C24:E24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W50"/>
  <sheetViews>
    <sheetView zoomScale="57" zoomScaleNormal="70" workbookViewId="0">
      <selection activeCell="A15" sqref="A15:XFD15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x14ac:dyDescent="0.25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x14ac:dyDescent="0.25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e">
        <f>UnterkörperA!#REF!</f>
        <v>#REF!</v>
      </c>
      <c r="T10" s="63"/>
    </row>
    <row r="11" spans="2:23" ht="16.5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34" customFormat="1" ht="15.6" customHeight="1" x14ac:dyDescent="0.25">
      <c r="B12" s="598" t="s">
        <v>549</v>
      </c>
      <c r="C12" s="597"/>
      <c r="D12" s="597"/>
      <c r="E12" s="597" t="s">
        <v>148</v>
      </c>
      <c r="F12" s="597"/>
      <c r="G12" s="597"/>
      <c r="H12" s="597" t="s">
        <v>40</v>
      </c>
      <c r="I12" s="597"/>
      <c r="J12" s="597"/>
      <c r="K12" s="65"/>
      <c r="L12" s="597" t="s">
        <v>364</v>
      </c>
      <c r="M12" s="597"/>
      <c r="N12" s="597"/>
      <c r="O12" s="597" t="s">
        <v>396</v>
      </c>
      <c r="P12" s="597"/>
      <c r="Q12" s="597"/>
      <c r="R12" s="597" t="s">
        <v>530</v>
      </c>
      <c r="S12" s="597"/>
      <c r="T12" s="601"/>
    </row>
    <row r="13" spans="2:23" s="34" customFormat="1" ht="15.6" customHeight="1" x14ac:dyDescent="0.25">
      <c r="B13" s="507"/>
      <c r="T13" s="35"/>
    </row>
    <row r="14" spans="2:23" s="34" customFormat="1" ht="15.6" customHeight="1" x14ac:dyDescent="0.25">
      <c r="B14" s="600" t="s">
        <v>132</v>
      </c>
      <c r="C14" s="599"/>
      <c r="D14" s="599"/>
      <c r="E14" s="599" t="s">
        <v>128</v>
      </c>
      <c r="F14" s="599"/>
      <c r="G14" s="599"/>
      <c r="H14" s="599" t="s">
        <v>135</v>
      </c>
      <c r="I14" s="599"/>
      <c r="J14" s="599"/>
      <c r="L14" s="599" t="s">
        <v>136</v>
      </c>
      <c r="M14" s="599"/>
      <c r="N14" s="599"/>
      <c r="O14" s="599" t="s">
        <v>553</v>
      </c>
      <c r="P14" s="599"/>
      <c r="Q14" s="599"/>
      <c r="R14" s="599" t="s">
        <v>555</v>
      </c>
      <c r="S14" s="599"/>
      <c r="T14" s="603"/>
    </row>
    <row r="15" spans="2:23" ht="16.5" thickBot="1" x14ac:dyDescent="0.3">
      <c r="B15" s="576" t="str">
        <f>UnterkörperE!B15</f>
        <v>Level E</v>
      </c>
      <c r="C15" s="577"/>
      <c r="D15" s="577"/>
      <c r="E15" s="578"/>
      <c r="F15" s="1"/>
      <c r="G15" s="592" t="s">
        <v>352</v>
      </c>
      <c r="H15" s="593"/>
      <c r="I15" s="593"/>
      <c r="J15" s="593"/>
      <c r="K15" s="593"/>
      <c r="L15" s="593"/>
      <c r="M15" s="593"/>
      <c r="N15" s="593"/>
      <c r="O15" s="593"/>
      <c r="P15" s="593"/>
      <c r="Q15" s="593"/>
      <c r="R15" s="593"/>
      <c r="S15" s="593"/>
      <c r="T15" s="594"/>
    </row>
    <row r="16" spans="2:23" ht="21.6" customHeight="1" thickBot="1" x14ac:dyDescent="0.3">
      <c r="B16" s="579"/>
      <c r="C16" s="580"/>
      <c r="D16" s="580"/>
      <c r="E16" s="581"/>
      <c r="F16" s="1"/>
      <c r="G16" s="70" t="s">
        <v>865</v>
      </c>
      <c r="H16" s="582" t="s">
        <v>877</v>
      </c>
      <c r="I16" s="583"/>
      <c r="J16" s="71" t="s">
        <v>866</v>
      </c>
      <c r="K16" s="64"/>
      <c r="L16" s="70" t="s">
        <v>867</v>
      </c>
      <c r="M16" s="582" t="s">
        <v>878</v>
      </c>
      <c r="N16" s="583"/>
      <c r="O16" s="71" t="s">
        <v>868</v>
      </c>
      <c r="P16" s="64"/>
      <c r="Q16" s="70" t="s">
        <v>869</v>
      </c>
      <c r="R16" s="595" t="s">
        <v>879</v>
      </c>
      <c r="S16" s="596"/>
      <c r="T16" s="71" t="s">
        <v>870</v>
      </c>
    </row>
    <row r="17" spans="2:23" ht="16.5" thickBot="1" x14ac:dyDescent="0.3">
      <c r="B17" s="589" t="s">
        <v>8</v>
      </c>
      <c r="C17" s="590"/>
      <c r="D17" s="590"/>
      <c r="E17" s="591"/>
      <c r="F17" s="72"/>
      <c r="G17" s="15" t="s">
        <v>9</v>
      </c>
      <c r="H17" s="16" t="s">
        <v>10</v>
      </c>
      <c r="I17" s="16" t="s">
        <v>11</v>
      </c>
      <c r="J17" s="17" t="s">
        <v>880</v>
      </c>
      <c r="K17" s="1"/>
      <c r="L17" s="15" t="s">
        <v>9</v>
      </c>
      <c r="M17" s="16" t="s">
        <v>10</v>
      </c>
      <c r="N17" s="16" t="s">
        <v>11</v>
      </c>
      <c r="O17" s="17" t="s">
        <v>880</v>
      </c>
      <c r="P17" s="1"/>
      <c r="Q17" s="40" t="s">
        <v>9</v>
      </c>
      <c r="R17" s="41" t="s">
        <v>10</v>
      </c>
      <c r="S17" s="41" t="s">
        <v>11</v>
      </c>
      <c r="T17" s="42" t="s">
        <v>880</v>
      </c>
    </row>
    <row r="18" spans="2:23" s="1" customFormat="1" ht="19.899999999999999" customHeight="1" x14ac:dyDescent="0.25">
      <c r="B18" s="9">
        <v>1</v>
      </c>
      <c r="C18" s="560" t="s">
        <v>155</v>
      </c>
      <c r="D18" s="560"/>
      <c r="E18" s="561"/>
      <c r="G18" s="18" t="s">
        <v>12</v>
      </c>
      <c r="H18" s="19"/>
      <c r="I18" s="19" t="s">
        <v>14</v>
      </c>
      <c r="J18" s="20" t="s">
        <v>16</v>
      </c>
      <c r="L18" s="18" t="s">
        <v>12</v>
      </c>
      <c r="M18" s="19"/>
      <c r="N18" s="19" t="s">
        <v>14</v>
      </c>
      <c r="O18" s="20" t="s">
        <v>16</v>
      </c>
      <c r="Q18" s="43" t="s">
        <v>12</v>
      </c>
      <c r="R18" s="44"/>
      <c r="S18" s="44" t="s">
        <v>14</v>
      </c>
      <c r="T18" s="45" t="s">
        <v>16</v>
      </c>
    </row>
    <row r="19" spans="2:23" s="1" customFormat="1" ht="19.899999999999999" customHeight="1" x14ac:dyDescent="0.25">
      <c r="B19" s="3">
        <v>2</v>
      </c>
      <c r="C19" s="567" t="s">
        <v>599</v>
      </c>
      <c r="D19" s="567"/>
      <c r="E19" s="568"/>
      <c r="G19" s="67" t="s">
        <v>12</v>
      </c>
      <c r="H19" s="68"/>
      <c r="I19" s="68" t="s">
        <v>14</v>
      </c>
      <c r="J19" s="69" t="s">
        <v>560</v>
      </c>
      <c r="L19" s="67" t="s">
        <v>12</v>
      </c>
      <c r="M19" s="68"/>
      <c r="N19" s="68" t="s">
        <v>14</v>
      </c>
      <c r="O19" s="69" t="s">
        <v>560</v>
      </c>
      <c r="Q19" s="75" t="s">
        <v>12</v>
      </c>
      <c r="R19" s="76"/>
      <c r="S19" s="76" t="s">
        <v>14</v>
      </c>
      <c r="T19" s="77" t="s">
        <v>560</v>
      </c>
    </row>
    <row r="20" spans="2:23" s="1" customFormat="1" ht="19.899999999999999" customHeight="1" thickBot="1" x14ac:dyDescent="0.3">
      <c r="B20" s="4">
        <v>3</v>
      </c>
      <c r="C20" s="565" t="s">
        <v>604</v>
      </c>
      <c r="D20" s="565"/>
      <c r="E20" s="566"/>
      <c r="G20" s="24" t="s">
        <v>12</v>
      </c>
      <c r="H20" s="25"/>
      <c r="I20" s="25" t="s">
        <v>14</v>
      </c>
      <c r="J20" s="26" t="s">
        <v>560</v>
      </c>
      <c r="L20" s="24" t="s">
        <v>12</v>
      </c>
      <c r="M20" s="25"/>
      <c r="N20" s="25" t="s">
        <v>14</v>
      </c>
      <c r="O20" s="26" t="s">
        <v>560</v>
      </c>
      <c r="Q20" s="46" t="s">
        <v>12</v>
      </c>
      <c r="R20" s="47"/>
      <c r="S20" s="47" t="s">
        <v>14</v>
      </c>
      <c r="T20" s="48" t="s">
        <v>560</v>
      </c>
    </row>
    <row r="21" spans="2:23" s="2" customFormat="1" ht="4.9000000000000004" customHeight="1" thickBot="1" x14ac:dyDescent="0.3">
      <c r="B21" s="73"/>
      <c r="Q21" s="49"/>
      <c r="R21" s="49"/>
      <c r="S21" s="49"/>
      <c r="T21" s="74"/>
    </row>
    <row r="22" spans="2:23" s="1" customFormat="1" ht="16.5" thickBot="1" x14ac:dyDescent="0.3">
      <c r="B22" s="793" t="s">
        <v>871</v>
      </c>
      <c r="C22" s="563"/>
      <c r="D22" s="563"/>
      <c r="E22" s="564"/>
      <c r="G22" s="80" t="s">
        <v>880</v>
      </c>
      <c r="H22" s="81" t="s">
        <v>10</v>
      </c>
      <c r="I22" s="81" t="s">
        <v>11</v>
      </c>
      <c r="J22" s="82" t="s">
        <v>880</v>
      </c>
      <c r="K22" s="72"/>
      <c r="L22" s="80" t="str">
        <f>G22</f>
        <v>GEWICHT</v>
      </c>
      <c r="M22" s="81" t="s">
        <v>10</v>
      </c>
      <c r="N22" s="81" t="s">
        <v>11</v>
      </c>
      <c r="O22" s="82" t="s">
        <v>880</v>
      </c>
      <c r="P22" s="72"/>
      <c r="Q22" s="83" t="str">
        <f>L22</f>
        <v>GEWICHT</v>
      </c>
      <c r="R22" s="84" t="s">
        <v>10</v>
      </c>
      <c r="S22" s="84" t="s">
        <v>11</v>
      </c>
      <c r="T22" s="85" t="s">
        <v>880</v>
      </c>
      <c r="W22" s="36"/>
    </row>
    <row r="23" spans="2:23" s="1" customFormat="1" ht="19.899999999999999" customHeight="1" x14ac:dyDescent="0.25">
      <c r="B23" s="9">
        <v>1</v>
      </c>
      <c r="C23" s="560" t="s">
        <v>486</v>
      </c>
      <c r="D23" s="560"/>
      <c r="E23" s="561"/>
      <c r="G23" s="21"/>
      <c r="H23" s="22" t="s">
        <v>13</v>
      </c>
      <c r="I23" s="22" t="s">
        <v>623</v>
      </c>
      <c r="J23" s="23"/>
      <c r="L23" s="21"/>
      <c r="M23" s="22" t="s">
        <v>13</v>
      </c>
      <c r="N23" s="22" t="str">
        <f t="shared" ref="N23:N31" si="0">I23</f>
        <v>1x10</v>
      </c>
      <c r="O23" s="23"/>
      <c r="Q23" s="50"/>
      <c r="R23" s="52" t="s">
        <v>13</v>
      </c>
      <c r="S23" s="52" t="str">
        <f>N23</f>
        <v>1x10</v>
      </c>
      <c r="T23" s="53"/>
      <c r="W23" s="36"/>
    </row>
    <row r="24" spans="2:23" s="1" customFormat="1" ht="19.899999999999999" customHeight="1" x14ac:dyDescent="0.25">
      <c r="B24" s="3">
        <v>2</v>
      </c>
      <c r="C24" s="567" t="s">
        <v>253</v>
      </c>
      <c r="D24" s="567"/>
      <c r="E24" s="568"/>
      <c r="G24" s="27"/>
      <c r="H24" s="28" t="s">
        <v>13</v>
      </c>
      <c r="I24" s="28" t="s">
        <v>624</v>
      </c>
      <c r="J24" s="29"/>
      <c r="L24" s="27"/>
      <c r="M24" s="28" t="s">
        <v>13</v>
      </c>
      <c r="N24" s="28" t="str">
        <f t="shared" si="0"/>
        <v>1x8</v>
      </c>
      <c r="O24" s="29"/>
      <c r="Q24" s="54"/>
      <c r="R24" s="56" t="s">
        <v>13</v>
      </c>
      <c r="S24" s="56" t="str">
        <f>N24</f>
        <v>1x8</v>
      </c>
      <c r="T24" s="57"/>
      <c r="W24" s="36"/>
    </row>
    <row r="25" spans="2:23" s="1" customFormat="1" ht="19.899999999999999" customHeight="1" thickBot="1" x14ac:dyDescent="0.3">
      <c r="B25" s="4">
        <v>3</v>
      </c>
      <c r="C25" s="565" t="s">
        <v>200</v>
      </c>
      <c r="D25" s="565"/>
      <c r="E25" s="566"/>
      <c r="G25" s="24"/>
      <c r="H25" s="25" t="s">
        <v>13</v>
      </c>
      <c r="I25" s="25" t="s">
        <v>561</v>
      </c>
      <c r="J25" s="26"/>
      <c r="L25" s="24"/>
      <c r="M25" s="25" t="s">
        <v>13</v>
      </c>
      <c r="N25" s="25" t="str">
        <f t="shared" si="0"/>
        <v>1x10ea</v>
      </c>
      <c r="O25" s="26"/>
      <c r="Q25" s="46"/>
      <c r="R25" s="47" t="s">
        <v>13</v>
      </c>
      <c r="S25" s="47" t="str">
        <f>N25</f>
        <v>1x10ea</v>
      </c>
      <c r="T25" s="48"/>
    </row>
    <row r="26" spans="2:23" s="1" customFormat="1" ht="19.899999999999999" customHeight="1" x14ac:dyDescent="0.25">
      <c r="B26" s="9">
        <v>4</v>
      </c>
      <c r="C26" s="560" t="s">
        <v>492</v>
      </c>
      <c r="D26" s="560"/>
      <c r="E26" s="561"/>
      <c r="G26" s="21"/>
      <c r="H26" s="22" t="s">
        <v>13</v>
      </c>
      <c r="I26" s="22" t="s">
        <v>7</v>
      </c>
      <c r="J26" s="23"/>
      <c r="L26" s="21"/>
      <c r="M26" s="22" t="s">
        <v>13</v>
      </c>
      <c r="N26" s="22" t="str">
        <f t="shared" si="0"/>
        <v>1x20</v>
      </c>
      <c r="O26" s="23"/>
      <c r="Q26" s="50"/>
      <c r="R26" s="52" t="s">
        <v>13</v>
      </c>
      <c r="S26" s="52" t="s">
        <v>7</v>
      </c>
      <c r="T26" s="53"/>
    </row>
    <row r="27" spans="2:23" s="1" customFormat="1" ht="19.899999999999999" customHeight="1" x14ac:dyDescent="0.25">
      <c r="B27" s="3">
        <v>5</v>
      </c>
      <c r="C27" s="567" t="s">
        <v>495</v>
      </c>
      <c r="D27" s="567"/>
      <c r="E27" s="568"/>
      <c r="G27" s="27"/>
      <c r="H27" s="28" t="s">
        <v>13</v>
      </c>
      <c r="I27" s="28" t="s">
        <v>592</v>
      </c>
      <c r="J27" s="29"/>
      <c r="L27" s="27"/>
      <c r="M27" s="28" t="s">
        <v>13</v>
      </c>
      <c r="N27" s="28" t="str">
        <f t="shared" si="0"/>
        <v>1x20/ea</v>
      </c>
      <c r="O27" s="29"/>
      <c r="Q27" s="54"/>
      <c r="R27" s="56" t="s">
        <v>13</v>
      </c>
      <c r="S27" s="28" t="str">
        <f>I27</f>
        <v>1x20/ea</v>
      </c>
      <c r="T27" s="57"/>
    </row>
    <row r="28" spans="2:23" s="1" customFormat="1" ht="19.899999999999999" customHeight="1" thickBot="1" x14ac:dyDescent="0.3">
      <c r="B28" s="4">
        <v>6</v>
      </c>
      <c r="C28" s="565" t="s">
        <v>408</v>
      </c>
      <c r="D28" s="565"/>
      <c r="E28" s="566"/>
      <c r="G28" s="24"/>
      <c r="H28" s="25" t="s">
        <v>13</v>
      </c>
      <c r="I28" s="25" t="s">
        <v>292</v>
      </c>
      <c r="J28" s="26"/>
      <c r="L28" s="24"/>
      <c r="M28" s="25" t="s">
        <v>13</v>
      </c>
      <c r="N28" s="25" t="str">
        <f t="shared" si="0"/>
        <v>3x10s/ea</v>
      </c>
      <c r="O28" s="26"/>
      <c r="Q28" s="46"/>
      <c r="R28" s="47" t="s">
        <v>13</v>
      </c>
      <c r="S28" s="47" t="str">
        <f>N28</f>
        <v>3x10s/ea</v>
      </c>
      <c r="T28" s="48"/>
    </row>
    <row r="29" spans="2:23" s="1" customFormat="1" ht="19.899999999999999" customHeight="1" x14ac:dyDescent="0.25">
      <c r="B29" s="9">
        <v>7</v>
      </c>
      <c r="C29" s="560" t="s">
        <v>504</v>
      </c>
      <c r="D29" s="560"/>
      <c r="E29" s="561"/>
      <c r="G29" s="21"/>
      <c r="H29" s="22" t="s">
        <v>13</v>
      </c>
      <c r="I29" s="22" t="s">
        <v>7</v>
      </c>
      <c r="J29" s="23"/>
      <c r="L29" s="21"/>
      <c r="M29" s="22" t="s">
        <v>13</v>
      </c>
      <c r="N29" s="22" t="str">
        <f t="shared" si="0"/>
        <v>1x20</v>
      </c>
      <c r="O29" s="23"/>
      <c r="Q29" s="50"/>
      <c r="R29" s="52" t="s">
        <v>13</v>
      </c>
      <c r="S29" s="52" t="str">
        <f>N29</f>
        <v>1x20</v>
      </c>
      <c r="T29" s="53"/>
    </row>
    <row r="30" spans="2:23" s="1" customFormat="1" ht="19.899999999999999" customHeight="1" x14ac:dyDescent="0.25">
      <c r="B30" s="3">
        <v>8</v>
      </c>
      <c r="C30" s="567" t="s">
        <v>262</v>
      </c>
      <c r="D30" s="567"/>
      <c r="E30" s="568"/>
      <c r="G30" s="27"/>
      <c r="H30" s="28" t="s">
        <v>13</v>
      </c>
      <c r="I30" s="28" t="s">
        <v>7</v>
      </c>
      <c r="J30" s="29"/>
      <c r="L30" s="27"/>
      <c r="M30" s="28" t="s">
        <v>13</v>
      </c>
      <c r="N30" s="28" t="str">
        <f t="shared" si="0"/>
        <v>1x20</v>
      </c>
      <c r="O30" s="29"/>
      <c r="Q30" s="54"/>
      <c r="R30" s="56" t="s">
        <v>13</v>
      </c>
      <c r="S30" s="56" t="str">
        <f>N30</f>
        <v>1x20</v>
      </c>
      <c r="T30" s="57"/>
    </row>
    <row r="31" spans="2:23" s="1" customFormat="1" ht="19.899999999999999" customHeight="1" thickBot="1" x14ac:dyDescent="0.3">
      <c r="B31" s="4">
        <v>9</v>
      </c>
      <c r="C31" s="565" t="s">
        <v>265</v>
      </c>
      <c r="D31" s="565"/>
      <c r="E31" s="566"/>
      <c r="G31" s="24"/>
      <c r="H31" s="25" t="s">
        <v>13</v>
      </c>
      <c r="I31" s="25" t="s">
        <v>7</v>
      </c>
      <c r="J31" s="26"/>
      <c r="L31" s="24"/>
      <c r="M31" s="25" t="s">
        <v>13</v>
      </c>
      <c r="N31" s="25" t="str">
        <f t="shared" si="0"/>
        <v>1x20</v>
      </c>
      <c r="O31" s="26"/>
      <c r="Q31" s="46"/>
      <c r="R31" s="47" t="s">
        <v>13</v>
      </c>
      <c r="S31" s="25" t="str">
        <f>N31</f>
        <v>1x20</v>
      </c>
      <c r="T31" s="48"/>
    </row>
    <row r="32" spans="2:23" s="1" customFormat="1" ht="19.899999999999999" customHeight="1" x14ac:dyDescent="0.25">
      <c r="B32" s="9">
        <v>10</v>
      </c>
      <c r="C32" s="560" t="s">
        <v>148</v>
      </c>
      <c r="D32" s="560"/>
      <c r="E32" s="561"/>
      <c r="G32" s="21"/>
      <c r="H32" s="22" t="s">
        <v>13</v>
      </c>
      <c r="I32" s="22" t="s">
        <v>562</v>
      </c>
      <c r="J32" s="23"/>
      <c r="L32" s="21"/>
      <c r="M32" s="22" t="s">
        <v>13</v>
      </c>
      <c r="N32" s="22" t="s">
        <v>563</v>
      </c>
      <c r="O32" s="23"/>
      <c r="Q32" s="21"/>
      <c r="R32" s="22" t="s">
        <v>13</v>
      </c>
      <c r="S32" s="22" t="s">
        <v>564</v>
      </c>
      <c r="T32" s="23"/>
    </row>
    <row r="33" spans="2:22" s="1" customFormat="1" ht="19.899999999999999" customHeight="1" x14ac:dyDescent="0.25">
      <c r="B33" s="3">
        <v>11</v>
      </c>
      <c r="C33" s="567" t="s">
        <v>263</v>
      </c>
      <c r="D33" s="567"/>
      <c r="E33" s="568"/>
      <c r="G33" s="27"/>
      <c r="H33" s="28" t="s">
        <v>13</v>
      </c>
      <c r="I33" s="28" t="s">
        <v>592</v>
      </c>
      <c r="J33" s="29"/>
      <c r="L33" s="27"/>
      <c r="M33" s="28" t="s">
        <v>13</v>
      </c>
      <c r="N33" s="28" t="str">
        <f>I33</f>
        <v>1x20/ea</v>
      </c>
      <c r="O33" s="29"/>
      <c r="Q33" s="27"/>
      <c r="R33" s="28" t="s">
        <v>13</v>
      </c>
      <c r="S33" s="28" t="str">
        <f>N33</f>
        <v>1x20/ea</v>
      </c>
      <c r="T33" s="29"/>
    </row>
    <row r="34" spans="2:22" s="1" customFormat="1" ht="19.899999999999999" customHeight="1" thickBot="1" x14ac:dyDescent="0.3">
      <c r="B34" s="4">
        <v>12</v>
      </c>
      <c r="C34" s="565" t="s">
        <v>513</v>
      </c>
      <c r="D34" s="565"/>
      <c r="E34" s="566"/>
      <c r="G34" s="24"/>
      <c r="H34" s="25" t="s">
        <v>13</v>
      </c>
      <c r="I34" s="25" t="s">
        <v>592</v>
      </c>
      <c r="J34" s="26"/>
      <c r="L34" s="24"/>
      <c r="M34" s="25" t="s">
        <v>13</v>
      </c>
      <c r="N34" s="25" t="str">
        <f>I34</f>
        <v>1x20/ea</v>
      </c>
      <c r="O34" s="26"/>
      <c r="Q34" s="46"/>
      <c r="R34" s="47" t="s">
        <v>13</v>
      </c>
      <c r="S34" s="47" t="str">
        <f>N34</f>
        <v>1x20/ea</v>
      </c>
      <c r="T34" s="48"/>
    </row>
    <row r="35" spans="2:22" s="2" customFormat="1" ht="16.149999999999999" customHeight="1" thickBot="1" x14ac:dyDescent="0.3">
      <c r="B35" s="562" t="s">
        <v>874</v>
      </c>
      <c r="C35" s="563"/>
      <c r="D35" s="563"/>
      <c r="E35" s="564"/>
      <c r="F35" s="79"/>
      <c r="G35" s="557"/>
      <c r="H35" s="55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9"/>
    </row>
    <row r="36" spans="2:22" s="1" customFormat="1" ht="19.899999999999999" customHeight="1" x14ac:dyDescent="0.25">
      <c r="B36" s="9">
        <v>13</v>
      </c>
      <c r="C36" s="560" t="s">
        <v>521</v>
      </c>
      <c r="D36" s="560"/>
      <c r="E36" s="561"/>
      <c r="G36" s="21"/>
      <c r="H36" s="22" t="s">
        <v>13</v>
      </c>
      <c r="I36" s="22" t="s">
        <v>209</v>
      </c>
      <c r="J36" s="23"/>
      <c r="L36" s="21"/>
      <c r="M36" s="22" t="s">
        <v>13</v>
      </c>
      <c r="N36" s="22" t="s">
        <v>209</v>
      </c>
      <c r="O36" s="23"/>
      <c r="Q36" s="21"/>
      <c r="R36" s="22" t="s">
        <v>13</v>
      </c>
      <c r="S36" s="22" t="str">
        <f>N36</f>
        <v>1x45s</v>
      </c>
      <c r="T36" s="23"/>
    </row>
    <row r="37" spans="2:22" s="1" customFormat="1" ht="19.899999999999999" customHeight="1" x14ac:dyDescent="0.25">
      <c r="B37" s="3">
        <v>14</v>
      </c>
      <c r="C37" s="567" t="s">
        <v>524</v>
      </c>
      <c r="D37" s="567"/>
      <c r="E37" s="568"/>
      <c r="G37" s="18"/>
      <c r="H37" s="28" t="s">
        <v>13</v>
      </c>
      <c r="I37" s="19" t="s">
        <v>209</v>
      </c>
      <c r="J37" s="20"/>
      <c r="L37" s="18"/>
      <c r="M37" s="19" t="str">
        <f>H37</f>
        <v>8-9</v>
      </c>
      <c r="N37" s="19" t="str">
        <f>I37</f>
        <v>1x45s</v>
      </c>
      <c r="O37" s="20"/>
      <c r="Q37" s="18"/>
      <c r="R37" s="19" t="str">
        <f>M37</f>
        <v>8-9</v>
      </c>
      <c r="S37" s="19" t="str">
        <f>N37</f>
        <v>1x45s</v>
      </c>
      <c r="T37" s="20"/>
    </row>
    <row r="38" spans="2:22" s="1" customFormat="1" ht="19.899999999999999" customHeight="1" x14ac:dyDescent="0.25">
      <c r="B38" s="3">
        <v>15</v>
      </c>
      <c r="C38" s="567" t="s">
        <v>517</v>
      </c>
      <c r="D38" s="567"/>
      <c r="E38" s="568"/>
      <c r="G38" s="27"/>
      <c r="H38" s="28" t="s">
        <v>13</v>
      </c>
      <c r="I38" s="28" t="s">
        <v>209</v>
      </c>
      <c r="J38" s="29"/>
      <c r="L38" s="27"/>
      <c r="M38" s="28" t="s">
        <v>13</v>
      </c>
      <c r="N38" s="28" t="str">
        <f>I38</f>
        <v>1x45s</v>
      </c>
      <c r="O38" s="29"/>
      <c r="Q38" s="27"/>
      <c r="R38" s="28" t="s">
        <v>13</v>
      </c>
      <c r="S38" s="28" t="str">
        <f>N36</f>
        <v>1x45s</v>
      </c>
      <c r="T38" s="29"/>
    </row>
    <row r="39" spans="2:22" s="1" customFormat="1" ht="19.899999999999999" customHeight="1" thickBot="1" x14ac:dyDescent="0.3">
      <c r="B39" s="4">
        <v>16</v>
      </c>
      <c r="C39" s="571" t="s">
        <v>609</v>
      </c>
      <c r="D39" s="571"/>
      <c r="E39" s="572"/>
      <c r="F39" s="66"/>
      <c r="G39" s="24"/>
      <c r="H39" s="25" t="s">
        <v>13</v>
      </c>
      <c r="I39" s="25" t="s">
        <v>290</v>
      </c>
      <c r="J39" s="26"/>
      <c r="K39" s="66"/>
      <c r="L39" s="24"/>
      <c r="M39" s="25" t="s">
        <v>13</v>
      </c>
      <c r="N39" s="25" t="str">
        <f>I39</f>
        <v>1x45s/ea</v>
      </c>
      <c r="O39" s="26"/>
      <c r="P39" s="66"/>
      <c r="Q39" s="24"/>
      <c r="R39" s="25" t="s">
        <v>13</v>
      </c>
      <c r="S39" s="25" t="str">
        <f>I39</f>
        <v>1x45s/ea</v>
      </c>
      <c r="T39" s="26"/>
    </row>
    <row r="40" spans="2:22" x14ac:dyDescent="0.25">
      <c r="V40" s="1" t="s">
        <v>288</v>
      </c>
    </row>
    <row r="41" spans="2:22" x14ac:dyDescent="0.25">
      <c r="V41" s="1" t="s">
        <v>17</v>
      </c>
    </row>
    <row r="42" spans="2:22" x14ac:dyDescent="0.25">
      <c r="V42" s="1" t="s">
        <v>18</v>
      </c>
    </row>
    <row r="43" spans="2:22" x14ac:dyDescent="0.25">
      <c r="V43" s="1" t="s">
        <v>15</v>
      </c>
    </row>
    <row r="44" spans="2:22" x14ac:dyDescent="0.25">
      <c r="V44" s="1" t="s">
        <v>209</v>
      </c>
    </row>
    <row r="45" spans="2:22" x14ac:dyDescent="0.25">
      <c r="V45" s="1" t="s">
        <v>210</v>
      </c>
    </row>
    <row r="46" spans="2:22" x14ac:dyDescent="0.25">
      <c r="V46" s="1" t="s">
        <v>624</v>
      </c>
    </row>
    <row r="47" spans="2:22" x14ac:dyDescent="0.25">
      <c r="V47" s="1" t="s">
        <v>623</v>
      </c>
    </row>
    <row r="48" spans="2:22" x14ac:dyDescent="0.25">
      <c r="V48" s="1" t="s">
        <v>273</v>
      </c>
    </row>
    <row r="49" spans="22:22" x14ac:dyDescent="0.25">
      <c r="V49" s="1" t="s">
        <v>7</v>
      </c>
    </row>
    <row r="50" spans="22:22" x14ac:dyDescent="0.25">
      <c r="V50" s="1" t="s">
        <v>574</v>
      </c>
    </row>
  </sheetData>
  <mergeCells count="42">
    <mergeCell ref="C36:E36"/>
    <mergeCell ref="C37:E37"/>
    <mergeCell ref="C38:E38"/>
    <mergeCell ref="C39:E39"/>
    <mergeCell ref="C31:E31"/>
    <mergeCell ref="C32:E32"/>
    <mergeCell ref="C33:E33"/>
    <mergeCell ref="C34:E34"/>
    <mergeCell ref="B35:E35"/>
    <mergeCell ref="G35:T35"/>
    <mergeCell ref="C25:E25"/>
    <mergeCell ref="C26:E26"/>
    <mergeCell ref="C27:E27"/>
    <mergeCell ref="C28:E28"/>
    <mergeCell ref="C29:E29"/>
    <mergeCell ref="C30:E30"/>
    <mergeCell ref="C24:E24"/>
    <mergeCell ref="B15:E16"/>
    <mergeCell ref="G15:T15"/>
    <mergeCell ref="H16:I16"/>
    <mergeCell ref="M16:N16"/>
    <mergeCell ref="R16:S16"/>
    <mergeCell ref="B17:E17"/>
    <mergeCell ref="C18:E18"/>
    <mergeCell ref="C19:E19"/>
    <mergeCell ref="C20:E20"/>
    <mergeCell ref="B22:E22"/>
    <mergeCell ref="C23:E23"/>
    <mergeCell ref="R14:T14"/>
    <mergeCell ref="O2:T7"/>
    <mergeCell ref="M10:N10"/>
    <mergeCell ref="B12:D12"/>
    <mergeCell ref="E12:G12"/>
    <mergeCell ref="H12:J12"/>
    <mergeCell ref="L12:N12"/>
    <mergeCell ref="O12:Q12"/>
    <mergeCell ref="R12:T12"/>
    <mergeCell ref="B14:D14"/>
    <mergeCell ref="E14:G14"/>
    <mergeCell ref="H14:J14"/>
    <mergeCell ref="L14:N14"/>
    <mergeCell ref="O14:Q14"/>
  </mergeCells>
  <dataValidations count="5">
    <dataValidation type="list" allowBlank="1" showInputMessage="1" showErrorMessage="1" sqref="I31" xr:uid="{00000000-0002-0000-0900-000000000000}">
      <formula1>$V$40:$V$47</formula1>
    </dataValidation>
    <dataValidation type="list" allowBlank="1" showInputMessage="1" showErrorMessage="1" sqref="N31" xr:uid="{00000000-0002-0000-0900-000001000000}">
      <formula1>$V$40:$V$51</formula1>
    </dataValidation>
    <dataValidation type="list" allowBlank="1" showInputMessage="1" showErrorMessage="1" sqref="I23:I24 S31 N27" xr:uid="{00000000-0002-0000-0900-000002000000}">
      <formula1>$V$40:$V$50</formula1>
    </dataValidation>
    <dataValidation type="list" allowBlank="1" showInputMessage="1" showErrorMessage="1" sqref="M23:M34 H23:H34 R23:R34 R38:R39 H36:H39 R36 M36 M38:M39" xr:uid="{00000000-0002-0000-0900-000003000000}">
      <formula1>$W$22:$W$24</formula1>
    </dataValidation>
    <dataValidation type="list" allowBlank="1" showInputMessage="1" showErrorMessage="1" sqref="N38:N39 I36:I38 S36 N36 S38" xr:uid="{00000000-0002-0000-0900-000004000000}">
      <formula1>$V$40:$V$45</formula1>
    </dataValidation>
  </dataValidation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 xr:uid="{00000000-0002-0000-0900-000005000000}">
          <x14:formula1>
            <xm:f>'Oberkörper Progressionen '!$P:$P</xm:f>
          </x14:formula1>
          <xm:sqref>C34:E34</xm:sqref>
        </x14:dataValidation>
        <x14:dataValidation type="list" allowBlank="1" showInputMessage="1" showErrorMessage="1" xr:uid="{00000000-0002-0000-0900-000007000000}">
          <x14:formula1>
            <xm:f>'Oberkörper Progressionen '!$B:$B</xm:f>
          </x14:formula1>
          <xm:sqref>C18:E18</xm:sqref>
        </x14:dataValidation>
        <x14:dataValidation type="list" allowBlank="1" showInputMessage="1" showErrorMessage="1" xr:uid="{00000000-0002-0000-0900-000008000000}">
          <x14:formula1>
            <xm:f>'Oberkörper Progressionen '!$S:$S</xm:f>
          </x14:formula1>
          <xm:sqref>C39:E39</xm:sqref>
        </x14:dataValidation>
        <x14:dataValidation type="list" allowBlank="1" showInputMessage="1" showErrorMessage="1" xr:uid="{00000000-0002-0000-0900-000009000000}">
          <x14:formula1>
            <xm:f>'Oberkörper Progressionen '!$R:$R</xm:f>
          </x14:formula1>
          <xm:sqref>C36:E36</xm:sqref>
        </x14:dataValidation>
        <x14:dataValidation type="list" allowBlank="1" showInputMessage="1" showErrorMessage="1" xr:uid="{00000000-0002-0000-0900-00000A000000}">
          <x14:formula1>
            <xm:f>'Oberkörper Progressionen '!$Q:$Q</xm:f>
          </x14:formula1>
          <xm:sqref>C38:E38</xm:sqref>
        </x14:dataValidation>
        <x14:dataValidation type="list" allowBlank="1" showInputMessage="1" showErrorMessage="1" xr:uid="{00000000-0002-0000-0900-00000B000000}">
          <x14:formula1>
            <xm:f>'Oberkörper Progressionen '!$O:$O</xm:f>
          </x14:formula1>
          <xm:sqref>C33:E33</xm:sqref>
        </x14:dataValidation>
        <x14:dataValidation type="list" allowBlank="1" showInputMessage="1" showErrorMessage="1" xr:uid="{00000000-0002-0000-0900-00000C000000}">
          <x14:formula1>
            <xm:f>'Oberkörper Progressionen '!$N:$N</xm:f>
          </x14:formula1>
          <xm:sqref>C32:E32</xm:sqref>
        </x14:dataValidation>
        <x14:dataValidation type="list" allowBlank="1" showInputMessage="1" showErrorMessage="1" xr:uid="{00000000-0002-0000-0900-00000D000000}">
          <x14:formula1>
            <xm:f>'Oberkörper Progressionen '!$L:$L</xm:f>
          </x14:formula1>
          <xm:sqref>C30:E30</xm:sqref>
        </x14:dataValidation>
        <x14:dataValidation type="list" allowBlank="1" showInputMessage="1" showErrorMessage="1" xr:uid="{00000000-0002-0000-0900-00000E000000}">
          <x14:formula1>
            <xm:f>'Oberkörper Progressionen '!$K:$K</xm:f>
          </x14:formula1>
          <xm:sqref>C29:E29</xm:sqref>
        </x14:dataValidation>
        <x14:dataValidation type="list" allowBlank="1" showInputMessage="1" showErrorMessage="1" xr:uid="{00000000-0002-0000-0900-00000F000000}">
          <x14:formula1>
            <xm:f>'Oberkörper Progressionen '!$F:$F</xm:f>
          </x14:formula1>
          <xm:sqref>C24:E24</xm:sqref>
        </x14:dataValidation>
        <x14:dataValidation type="list" allowBlank="1" showInputMessage="1" showErrorMessage="1" xr:uid="{00000000-0002-0000-0900-000010000000}">
          <x14:formula1>
            <xm:f>'Oberkörper Progressionen '!$E:$E</xm:f>
          </x14:formula1>
          <xm:sqref>C23:E23</xm:sqref>
        </x14:dataValidation>
        <x14:dataValidation type="list" allowBlank="1" showInputMessage="1" showErrorMessage="1" xr:uid="{00000000-0002-0000-0900-000012000000}">
          <x14:formula1>
            <xm:f>'Oberkörper Progressionen '!$T:$T</xm:f>
          </x14:formula1>
          <xm:sqref>C37:E37</xm:sqref>
        </x14:dataValidation>
        <x14:dataValidation type="list" allowBlank="1" showInputMessage="1" showErrorMessage="1" xr:uid="{00000000-0002-0000-0900-000013000000}">
          <x14:formula1>
            <xm:f>'Oberkörper Progressionen '!$H:$H</xm:f>
          </x14:formula1>
          <xm:sqref>C26:E26</xm:sqref>
        </x14:dataValidation>
        <x14:dataValidation type="list" allowBlank="1" showInputMessage="1" showErrorMessage="1" xr:uid="{00000000-0002-0000-0900-000014000000}">
          <x14:formula1>
            <xm:f>'Oberkörper Progressionen '!$J:$J</xm:f>
          </x14:formula1>
          <xm:sqref>C28:E28</xm:sqref>
        </x14:dataValidation>
        <x14:dataValidation type="list" allowBlank="1" showInputMessage="1" showErrorMessage="1" xr:uid="{00000000-0002-0000-0900-000015000000}">
          <x14:formula1>
            <xm:f>'Oberkörper Progressionen '!$M:$M</xm:f>
          </x14:formula1>
          <xm:sqref>C31:E31</xm:sqref>
        </x14:dataValidation>
        <x14:dataValidation type="list" allowBlank="1" showInputMessage="1" showErrorMessage="1" xr:uid="{00000000-0002-0000-0900-000016000000}">
          <x14:formula1>
            <xm:f>'Oberkörper Progressionen '!$G:$G</xm:f>
          </x14:formula1>
          <xm:sqref>C25:E25</xm:sqref>
        </x14:dataValidation>
        <x14:dataValidation type="list" allowBlank="1" showInputMessage="1" showErrorMessage="1" xr:uid="{00000000-0002-0000-0900-000017000000}">
          <x14:formula1>
            <xm:f>'Oberkörper Progressionen '!$I:$I</xm:f>
          </x14:formula1>
          <xm:sqref>C27:E27</xm:sqref>
        </x14:dataValidation>
        <x14:dataValidation type="list" allowBlank="1" showInputMessage="1" showErrorMessage="1" xr:uid="{00000000-0002-0000-0900-000006000000}">
          <x14:formula1>
            <xm:f>'Oberkörper Progressionen '!$C:$C</xm:f>
          </x14:formula1>
          <xm:sqref>C19:E19</xm:sqref>
        </x14:dataValidation>
        <x14:dataValidation type="list" allowBlank="1" showInputMessage="1" showErrorMessage="1" xr:uid="{00000000-0002-0000-0900-000011000000}">
          <x14:formula1>
            <xm:f>'Oberkörper Progressionen '!$D:$D</xm:f>
          </x14:formula1>
          <xm:sqref>C20:E20</xm:sqref>
        </x14:dataValidation>
        <x14:dataValidation type="list" allowBlank="1" showInputMessage="1" showErrorMessage="1" xr:uid="{00000000-0002-0000-0900-000018000000}">
          <x14:formula1>
            <xm:f>'BH1-2 Progressionen'!$D:$D</xm:f>
          </x14:formula1>
          <xm:sqref>H12:H13</xm:sqref>
        </x14:dataValidation>
        <x14:dataValidation type="list" allowBlank="1" showInputMessage="1" showErrorMessage="1" xr:uid="{00000000-0002-0000-0900-000019000000}">
          <x14:formula1>
            <xm:f>'BH1-2 Progressionen'!$C:$C</xm:f>
          </x14:formula1>
          <xm:sqref>E12:E13</xm:sqref>
        </x14:dataValidation>
        <x14:dataValidation type="list" allowBlank="1" showInputMessage="1" showErrorMessage="1" xr:uid="{00000000-0002-0000-0900-00001A000000}">
          <x14:formula1>
            <xm:f>'BH1-2 Progressionen'!$B:$B</xm:f>
          </x14:formula1>
          <xm:sqref>B12:B13</xm:sqref>
        </x14:dataValidation>
        <x14:dataValidation type="list" allowBlank="1" showInputMessage="1" showErrorMessage="1" xr:uid="{00000000-0002-0000-0900-00001B000000}">
          <x14:formula1>
            <xm:f>'BH1-2 Progressionen'!$E:$E</xm:f>
          </x14:formula1>
          <xm:sqref>L12:N13</xm:sqref>
        </x14:dataValidation>
        <x14:dataValidation type="list" allowBlank="1" showInputMessage="1" showErrorMessage="1" xr:uid="{00000000-0002-0000-0900-00001C000000}">
          <x14:formula1>
            <xm:f>'BH1-2 Progressionen'!$F:$F</xm:f>
          </x14:formula1>
          <xm:sqref>O12:Q13</xm:sqref>
        </x14:dataValidation>
        <x14:dataValidation type="list" allowBlank="1" showInputMessage="1" showErrorMessage="1" xr:uid="{00000000-0002-0000-0900-00001D000000}">
          <x14:formula1>
            <xm:f>'BH1-2 Progressionen'!$G:$G</xm:f>
          </x14:formula1>
          <xm:sqref>R12:T13</xm:sqref>
        </x14:dataValidation>
        <x14:dataValidation type="list" allowBlank="1" showInputMessage="1" showErrorMessage="1" xr:uid="{00000000-0002-0000-0900-00001E000000}">
          <x14:formula1>
            <xm:f>'BH1-2 Progressionen'!$H:$H</xm:f>
          </x14:formula1>
          <xm:sqref>B14:D14</xm:sqref>
        </x14:dataValidation>
        <x14:dataValidation type="list" allowBlank="1" showInputMessage="1" showErrorMessage="1" xr:uid="{00000000-0002-0000-0900-00001F000000}">
          <x14:formula1>
            <xm:f>'BH1-2 Progressionen'!$I:$I</xm:f>
          </x14:formula1>
          <xm:sqref>E14:G14</xm:sqref>
        </x14:dataValidation>
        <x14:dataValidation type="list" allowBlank="1" showInputMessage="1" showErrorMessage="1" xr:uid="{00000000-0002-0000-0900-000020000000}">
          <x14:formula1>
            <xm:f>'BH1-2 Progressionen'!$J:$J</xm:f>
          </x14:formula1>
          <xm:sqref>H14:J14</xm:sqref>
        </x14:dataValidation>
        <x14:dataValidation type="list" allowBlank="1" showInputMessage="1" showErrorMessage="1" xr:uid="{00000000-0002-0000-0900-000021000000}">
          <x14:formula1>
            <xm:f>'BH1-2 Progressionen'!$K:$K</xm:f>
          </x14:formula1>
          <xm:sqref>L14:N14</xm:sqref>
        </x14:dataValidation>
        <x14:dataValidation type="list" allowBlank="1" showInputMessage="1" showErrorMessage="1" xr:uid="{00000000-0002-0000-0900-000022000000}">
          <x14:formula1>
            <xm:f>'BH1-2 Progressionen'!$L:$L</xm:f>
          </x14:formula1>
          <xm:sqref>O14:Q14</xm:sqref>
        </x14:dataValidation>
        <x14:dataValidation type="list" allowBlank="1" showInputMessage="1" showErrorMessage="1" xr:uid="{00000000-0002-0000-0900-000023000000}">
          <x14:formula1>
            <xm:f>'BH1-2 Progressionen'!$M:$M</xm:f>
          </x14:formula1>
          <xm:sqref>R14:T14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X57"/>
  <sheetViews>
    <sheetView zoomScale="78" zoomScaleNormal="110" workbookViewId="0">
      <selection activeCell="A15" sqref="A15:XFD15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4" ht="16.5" thickBot="1" x14ac:dyDescent="0.3"/>
    <row r="2" spans="2:24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4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4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4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4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4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4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4" x14ac:dyDescent="0.25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4" x14ac:dyDescent="0.25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</v>
      </c>
      <c r="T10" s="63"/>
    </row>
    <row r="11" spans="2:24" ht="16.5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4" s="34" customFormat="1" ht="15.6" customHeight="1" x14ac:dyDescent="0.25">
      <c r="B12" s="598" t="s">
        <v>550</v>
      </c>
      <c r="C12" s="597"/>
      <c r="D12" s="597"/>
      <c r="E12" s="597" t="s">
        <v>489</v>
      </c>
      <c r="F12" s="597"/>
      <c r="G12" s="597"/>
      <c r="H12" s="65"/>
      <c r="I12" s="65" t="s">
        <v>41</v>
      </c>
      <c r="J12" s="65"/>
      <c r="K12" s="65"/>
      <c r="L12" s="65"/>
      <c r="M12" s="65" t="s">
        <v>388</v>
      </c>
      <c r="N12" s="65"/>
      <c r="O12" s="597" t="s">
        <v>387</v>
      </c>
      <c r="P12" s="597"/>
      <c r="Q12" s="597"/>
      <c r="R12" s="65"/>
      <c r="S12" s="65" t="s">
        <v>532</v>
      </c>
      <c r="T12" s="33"/>
    </row>
    <row r="13" spans="2:24" s="34" customFormat="1" ht="15.6" customHeight="1" x14ac:dyDescent="0.25">
      <c r="B13" s="507"/>
      <c r="T13" s="35"/>
    </row>
    <row r="14" spans="2:24" s="34" customFormat="1" ht="15.6" customHeight="1" thickBot="1" x14ac:dyDescent="0.3">
      <c r="B14" s="600" t="s">
        <v>159</v>
      </c>
      <c r="C14" s="599"/>
      <c r="D14" s="599"/>
      <c r="E14" s="599" t="s">
        <v>151</v>
      </c>
      <c r="F14" s="599"/>
      <c r="G14" s="599"/>
      <c r="I14" s="34" t="s">
        <v>154</v>
      </c>
      <c r="M14" s="34" t="s">
        <v>137</v>
      </c>
      <c r="O14" s="599" t="s">
        <v>554</v>
      </c>
      <c r="P14" s="599"/>
      <c r="Q14" s="599"/>
      <c r="S14" s="34" t="s">
        <v>156</v>
      </c>
      <c r="T14" s="35"/>
    </row>
    <row r="15" spans="2:24" ht="16.5" thickBot="1" x14ac:dyDescent="0.3">
      <c r="B15" s="576" t="s">
        <v>622</v>
      </c>
      <c r="C15" s="577"/>
      <c r="D15" s="577"/>
      <c r="E15" s="578"/>
      <c r="F15" s="1"/>
      <c r="G15" s="562" t="s">
        <v>116</v>
      </c>
      <c r="H15" s="563"/>
      <c r="I15" s="563"/>
      <c r="J15" s="563"/>
      <c r="K15" s="563"/>
      <c r="L15" s="563"/>
      <c r="M15" s="563"/>
      <c r="N15" s="563"/>
      <c r="O15" s="563"/>
      <c r="P15" s="563"/>
      <c r="Q15" s="563"/>
      <c r="R15" s="563"/>
      <c r="S15" s="563"/>
      <c r="T15" s="564"/>
      <c r="X15" t="s">
        <v>286</v>
      </c>
    </row>
    <row r="16" spans="2:24" ht="21.6" customHeight="1" thickBot="1" x14ac:dyDescent="0.3">
      <c r="B16" s="579"/>
      <c r="C16" s="580"/>
      <c r="D16" s="580"/>
      <c r="E16" s="581"/>
      <c r="F16" s="1"/>
      <c r="G16" s="70" t="s">
        <v>865</v>
      </c>
      <c r="H16" s="582" t="s">
        <v>877</v>
      </c>
      <c r="I16" s="583"/>
      <c r="J16" s="71" t="s">
        <v>866</v>
      </c>
      <c r="K16" s="64"/>
      <c r="L16" s="70" t="s">
        <v>867</v>
      </c>
      <c r="M16" s="582" t="s">
        <v>878</v>
      </c>
      <c r="N16" s="583"/>
      <c r="O16" s="71" t="s">
        <v>868</v>
      </c>
      <c r="P16" s="64"/>
      <c r="Q16" s="71" t="s">
        <v>869</v>
      </c>
      <c r="R16" s="582" t="s">
        <v>879</v>
      </c>
      <c r="S16" s="583"/>
      <c r="T16" s="71" t="s">
        <v>870</v>
      </c>
      <c r="W16" s="36"/>
      <c r="X16" s="1" t="s">
        <v>556</v>
      </c>
    </row>
    <row r="17" spans="2:24" ht="16.5" thickBot="1" x14ac:dyDescent="0.3">
      <c r="B17" s="562" t="s">
        <v>8</v>
      </c>
      <c r="C17" s="563"/>
      <c r="D17" s="563"/>
      <c r="E17" s="564"/>
      <c r="F17" s="72"/>
      <c r="G17" s="15" t="s">
        <v>9</v>
      </c>
      <c r="H17" s="16" t="s">
        <v>10</v>
      </c>
      <c r="I17" s="16" t="s">
        <v>11</v>
      </c>
      <c r="J17" s="17" t="s">
        <v>880</v>
      </c>
      <c r="K17" s="1"/>
      <c r="L17" s="15" t="s">
        <v>9</v>
      </c>
      <c r="M17" s="16" t="s">
        <v>10</v>
      </c>
      <c r="N17" s="16" t="s">
        <v>11</v>
      </c>
      <c r="O17" s="17" t="s">
        <v>880</v>
      </c>
      <c r="P17" s="1"/>
      <c r="Q17" s="40" t="s">
        <v>9</v>
      </c>
      <c r="R17" s="41" t="s">
        <v>10</v>
      </c>
      <c r="S17" s="41" t="s">
        <v>11</v>
      </c>
      <c r="T17" s="42" t="s">
        <v>880</v>
      </c>
      <c r="W17" s="37"/>
      <c r="X17" s="1" t="s">
        <v>573</v>
      </c>
    </row>
    <row r="18" spans="2:24" s="1" customFormat="1" ht="19.899999999999999" customHeight="1" x14ac:dyDescent="0.25">
      <c r="B18" s="9">
        <v>1</v>
      </c>
      <c r="C18" s="560" t="s">
        <v>93</v>
      </c>
      <c r="D18" s="560"/>
      <c r="E18" s="561"/>
      <c r="G18" s="18" t="s">
        <v>12</v>
      </c>
      <c r="H18" s="19"/>
      <c r="I18" s="19" t="s">
        <v>611</v>
      </c>
      <c r="J18" s="20" t="s">
        <v>16</v>
      </c>
      <c r="L18" s="18" t="s">
        <v>12</v>
      </c>
      <c r="M18" s="19"/>
      <c r="N18" s="19" t="s">
        <v>612</v>
      </c>
      <c r="O18" s="20" t="s">
        <v>16</v>
      </c>
      <c r="Q18" s="43" t="s">
        <v>12</v>
      </c>
      <c r="R18" s="44"/>
      <c r="S18" s="44" t="s">
        <v>610</v>
      </c>
      <c r="T18" s="45" t="s">
        <v>16</v>
      </c>
      <c r="W18" s="36"/>
      <c r="X18" s="1" t="s">
        <v>575</v>
      </c>
    </row>
    <row r="19" spans="2:24" s="1" customFormat="1" ht="19.899999999999999" customHeight="1" x14ac:dyDescent="0.25">
      <c r="B19" s="3">
        <v>2</v>
      </c>
      <c r="C19" s="567" t="s">
        <v>580</v>
      </c>
      <c r="D19" s="567"/>
      <c r="E19" s="568"/>
      <c r="G19" s="67" t="s">
        <v>12</v>
      </c>
      <c r="H19" s="68"/>
      <c r="I19" s="68" t="s">
        <v>14</v>
      </c>
      <c r="J19" s="69"/>
      <c r="L19" s="67" t="s">
        <v>12</v>
      </c>
      <c r="M19" s="68"/>
      <c r="N19" s="68" t="s">
        <v>14</v>
      </c>
      <c r="O19" s="69"/>
      <c r="Q19" s="67" t="s">
        <v>12</v>
      </c>
      <c r="R19" s="68"/>
      <c r="S19" s="68" t="s">
        <v>14</v>
      </c>
      <c r="T19" s="69"/>
      <c r="W19" s="36"/>
      <c r="X19" s="1" t="s">
        <v>613</v>
      </c>
    </row>
    <row r="20" spans="2:24" s="1" customFormat="1" ht="19.899999999999999" customHeight="1" thickBot="1" x14ac:dyDescent="0.3">
      <c r="B20" s="4">
        <v>3</v>
      </c>
      <c r="C20" s="565" t="s">
        <v>583</v>
      </c>
      <c r="D20" s="565"/>
      <c r="E20" s="566"/>
      <c r="G20" s="24" t="s">
        <v>12</v>
      </c>
      <c r="H20" s="25"/>
      <c r="I20" s="25" t="s">
        <v>14</v>
      </c>
      <c r="J20" s="26"/>
      <c r="L20" s="24" t="s">
        <v>12</v>
      </c>
      <c r="M20" s="25"/>
      <c r="N20" s="25" t="s">
        <v>14</v>
      </c>
      <c r="O20" s="26"/>
      <c r="Q20" s="46" t="s">
        <v>12</v>
      </c>
      <c r="R20" s="47"/>
      <c r="S20" s="47" t="s">
        <v>14</v>
      </c>
      <c r="T20" s="48"/>
      <c r="X20" s="1" t="s">
        <v>616</v>
      </c>
    </row>
    <row r="21" spans="2:24" s="2" customFormat="1" ht="4.9000000000000004" customHeight="1" thickBot="1" x14ac:dyDescent="0.3">
      <c r="B21" s="73"/>
      <c r="Q21" s="49"/>
      <c r="R21" s="49"/>
      <c r="S21" s="49"/>
      <c r="T21" s="74"/>
      <c r="X21" s="1" t="s">
        <v>622</v>
      </c>
    </row>
    <row r="22" spans="2:24" s="1" customFormat="1" ht="16.5" thickBot="1" x14ac:dyDescent="0.3">
      <c r="B22" s="562" t="s">
        <v>882</v>
      </c>
      <c r="C22" s="563"/>
      <c r="D22" s="563"/>
      <c r="E22" s="564"/>
      <c r="G22" s="80" t="s">
        <v>880</v>
      </c>
      <c r="H22" s="81" t="s">
        <v>10</v>
      </c>
      <c r="I22" s="81" t="s">
        <v>11</v>
      </c>
      <c r="J22" s="82" t="s">
        <v>880</v>
      </c>
      <c r="K22" s="72"/>
      <c r="L22" s="80" t="str">
        <f>G22</f>
        <v>GEWICHT</v>
      </c>
      <c r="M22" s="81" t="s">
        <v>10</v>
      </c>
      <c r="N22" s="81" t="s">
        <v>11</v>
      </c>
      <c r="O22" s="82" t="s">
        <v>880</v>
      </c>
      <c r="P22" s="72"/>
      <c r="Q22" s="83" t="str">
        <f>L22</f>
        <v>GEWICHT</v>
      </c>
      <c r="R22" s="84" t="s">
        <v>10</v>
      </c>
      <c r="S22" s="84" t="s">
        <v>11</v>
      </c>
      <c r="T22" s="85" t="s">
        <v>880</v>
      </c>
    </row>
    <row r="23" spans="2:24" s="1" customFormat="1" ht="19.899999999999999" customHeight="1" x14ac:dyDescent="0.25">
      <c r="B23" s="9">
        <v>1</v>
      </c>
      <c r="C23" s="560" t="s">
        <v>388</v>
      </c>
      <c r="D23" s="560"/>
      <c r="E23" s="561"/>
      <c r="G23" s="21"/>
      <c r="H23" s="22" t="s">
        <v>13</v>
      </c>
      <c r="I23" s="22" t="s">
        <v>625</v>
      </c>
      <c r="J23" s="23"/>
      <c r="L23" s="21"/>
      <c r="M23" s="22" t="s">
        <v>13</v>
      </c>
      <c r="N23" s="22" t="str">
        <f t="shared" ref="N23:N31" si="0">I23</f>
        <v>1x10/ea</v>
      </c>
      <c r="O23" s="23"/>
      <c r="Q23" s="50"/>
      <c r="R23" s="52" t="s">
        <v>13</v>
      </c>
      <c r="S23" s="52" t="str">
        <f>N23</f>
        <v>1x10/ea</v>
      </c>
      <c r="T23" s="53"/>
    </row>
    <row r="24" spans="2:24" s="1" customFormat="1" ht="19.899999999999999" customHeight="1" x14ac:dyDescent="0.25">
      <c r="B24" s="3">
        <v>2</v>
      </c>
      <c r="C24" s="567" t="s">
        <v>532</v>
      </c>
      <c r="D24" s="567"/>
      <c r="E24" s="568"/>
      <c r="G24" s="27"/>
      <c r="H24" s="28" t="s">
        <v>13</v>
      </c>
      <c r="I24" s="28" t="s">
        <v>592</v>
      </c>
      <c r="J24" s="29"/>
      <c r="L24" s="27"/>
      <c r="M24" s="28" t="s">
        <v>13</v>
      </c>
      <c r="N24" s="28" t="str">
        <f t="shared" si="0"/>
        <v>1x20/ea</v>
      </c>
      <c r="O24" s="29"/>
      <c r="Q24" s="54"/>
      <c r="R24" s="56" t="s">
        <v>13</v>
      </c>
      <c r="S24" s="56" t="str">
        <f>N24</f>
        <v>1x20/ea</v>
      </c>
      <c r="T24" s="57"/>
    </row>
    <row r="25" spans="2:24" s="1" customFormat="1" ht="19.899999999999999" customHeight="1" thickBot="1" x14ac:dyDescent="0.3">
      <c r="B25" s="4">
        <v>3</v>
      </c>
      <c r="C25" s="565" t="s">
        <v>50</v>
      </c>
      <c r="D25" s="565"/>
      <c r="E25" s="566"/>
      <c r="G25" s="24"/>
      <c r="H25" s="25" t="s">
        <v>13</v>
      </c>
      <c r="I25" s="25" t="s">
        <v>625</v>
      </c>
      <c r="J25" s="26"/>
      <c r="L25" s="24"/>
      <c r="M25" s="25" t="s">
        <v>13</v>
      </c>
      <c r="N25" s="25" t="str">
        <f t="shared" si="0"/>
        <v>1x10/ea</v>
      </c>
      <c r="O25" s="26"/>
      <c r="Q25" s="46"/>
      <c r="R25" s="47" t="s">
        <v>13</v>
      </c>
      <c r="S25" s="47" t="str">
        <f>N25</f>
        <v>1x10/ea</v>
      </c>
      <c r="T25" s="48"/>
    </row>
    <row r="26" spans="2:24" s="1" customFormat="1" ht="19.899999999999999" customHeight="1" x14ac:dyDescent="0.25">
      <c r="B26" s="9">
        <v>4</v>
      </c>
      <c r="C26" s="560" t="s">
        <v>387</v>
      </c>
      <c r="D26" s="560"/>
      <c r="E26" s="561"/>
      <c r="G26" s="21"/>
      <c r="H26" s="22" t="s">
        <v>13</v>
      </c>
      <c r="I26" s="22" t="s">
        <v>592</v>
      </c>
      <c r="J26" s="23"/>
      <c r="L26" s="21"/>
      <c r="M26" s="22" t="s">
        <v>13</v>
      </c>
      <c r="N26" s="22" t="str">
        <f t="shared" si="0"/>
        <v>1x20/ea</v>
      </c>
      <c r="O26" s="23"/>
      <c r="Q26" s="50"/>
      <c r="R26" s="52" t="s">
        <v>13</v>
      </c>
      <c r="S26" s="52" t="s">
        <v>7</v>
      </c>
      <c r="T26" s="53"/>
    </row>
    <row r="27" spans="2:24" s="1" customFormat="1" ht="19.899999999999999" customHeight="1" x14ac:dyDescent="0.25">
      <c r="B27" s="3">
        <v>5</v>
      </c>
      <c r="C27" s="567" t="s">
        <v>393</v>
      </c>
      <c r="D27" s="567"/>
      <c r="E27" s="568"/>
      <c r="G27" s="27"/>
      <c r="H27" s="28" t="s">
        <v>13</v>
      </c>
      <c r="I27" s="28" t="s">
        <v>592</v>
      </c>
      <c r="J27" s="29"/>
      <c r="L27" s="27"/>
      <c r="M27" s="28" t="s">
        <v>13</v>
      </c>
      <c r="N27" s="28" t="str">
        <f t="shared" si="0"/>
        <v>1x20/ea</v>
      </c>
      <c r="O27" s="29"/>
      <c r="Q27" s="54"/>
      <c r="R27" s="56" t="s">
        <v>13</v>
      </c>
      <c r="S27" s="28" t="s">
        <v>7</v>
      </c>
      <c r="T27" s="57"/>
    </row>
    <row r="28" spans="2:24" s="1" customFormat="1" ht="19.899999999999999" customHeight="1" thickBot="1" x14ac:dyDescent="0.3">
      <c r="B28" s="4">
        <v>6</v>
      </c>
      <c r="C28" s="565" t="s">
        <v>402</v>
      </c>
      <c r="D28" s="565"/>
      <c r="E28" s="566"/>
      <c r="G28" s="24"/>
      <c r="H28" s="25" t="s">
        <v>13</v>
      </c>
      <c r="I28" s="25" t="s">
        <v>273</v>
      </c>
      <c r="J28" s="26"/>
      <c r="L28" s="24"/>
      <c r="M28" s="25" t="s">
        <v>13</v>
      </c>
      <c r="N28" s="25" t="str">
        <f t="shared" si="0"/>
        <v>3x10s</v>
      </c>
      <c r="O28" s="26"/>
      <c r="Q28" s="46"/>
      <c r="R28" s="47" t="s">
        <v>13</v>
      </c>
      <c r="S28" s="47" t="str">
        <f>N28</f>
        <v>3x10s</v>
      </c>
      <c r="T28" s="48"/>
    </row>
    <row r="29" spans="2:24" s="1" customFormat="1" ht="19.899999999999999" customHeight="1" x14ac:dyDescent="0.25">
      <c r="B29" s="9">
        <v>7</v>
      </c>
      <c r="C29" s="560" t="s">
        <v>470</v>
      </c>
      <c r="D29" s="560"/>
      <c r="E29" s="561"/>
      <c r="G29" s="21"/>
      <c r="H29" s="22" t="s">
        <v>13</v>
      </c>
      <c r="I29" s="22" t="s">
        <v>592</v>
      </c>
      <c r="J29" s="23"/>
      <c r="L29" s="21"/>
      <c r="M29" s="22" t="s">
        <v>13</v>
      </c>
      <c r="N29" s="22" t="str">
        <f t="shared" si="0"/>
        <v>1x20/ea</v>
      </c>
      <c r="O29" s="23"/>
      <c r="Q29" s="50"/>
      <c r="R29" s="52" t="s">
        <v>13</v>
      </c>
      <c r="S29" s="52" t="str">
        <f>N29</f>
        <v>1x20/ea</v>
      </c>
      <c r="T29" s="53"/>
    </row>
    <row r="30" spans="2:24" s="1" customFormat="1" ht="19.899999999999999" customHeight="1" x14ac:dyDescent="0.25">
      <c r="B30" s="3">
        <v>8</v>
      </c>
      <c r="C30" s="567" t="s">
        <v>167</v>
      </c>
      <c r="D30" s="567"/>
      <c r="E30" s="568"/>
      <c r="G30" s="27"/>
      <c r="H30" s="28" t="s">
        <v>13</v>
      </c>
      <c r="I30" s="28" t="s">
        <v>119</v>
      </c>
      <c r="J30" s="29"/>
      <c r="L30" s="27"/>
      <c r="M30" s="28" t="s">
        <v>13</v>
      </c>
      <c r="N30" s="28" t="str">
        <f t="shared" si="0"/>
        <v>1x30s/ea</v>
      </c>
      <c r="O30" s="29"/>
      <c r="Q30" s="54"/>
      <c r="R30" s="56" t="s">
        <v>13</v>
      </c>
      <c r="S30" s="56" t="str">
        <f>N30</f>
        <v>1x30s/ea</v>
      </c>
      <c r="T30" s="57"/>
    </row>
    <row r="31" spans="2:24" s="1" customFormat="1" ht="19.899999999999999" customHeight="1" thickBot="1" x14ac:dyDescent="0.3">
      <c r="B31" s="4">
        <v>9</v>
      </c>
      <c r="C31" s="565" t="s">
        <v>427</v>
      </c>
      <c r="D31" s="565"/>
      <c r="E31" s="566"/>
      <c r="G31" s="24"/>
      <c r="H31" s="25" t="s">
        <v>13</v>
      </c>
      <c r="I31" s="25" t="s">
        <v>591</v>
      </c>
      <c r="J31" s="26"/>
      <c r="L31" s="24"/>
      <c r="M31" s="25" t="s">
        <v>13</v>
      </c>
      <c r="N31" s="25" t="str">
        <f t="shared" si="0"/>
        <v>2x12/ea</v>
      </c>
      <c r="O31" s="26"/>
      <c r="Q31" s="46"/>
      <c r="R31" s="47" t="s">
        <v>13</v>
      </c>
      <c r="S31" s="25" t="str">
        <f>N31</f>
        <v>2x12/ea</v>
      </c>
      <c r="T31" s="48"/>
    </row>
    <row r="32" spans="2:24" s="1" customFormat="1" ht="19.899999999999999" customHeight="1" x14ac:dyDescent="0.25">
      <c r="B32" s="9">
        <v>10</v>
      </c>
      <c r="C32" s="560" t="s">
        <v>477</v>
      </c>
      <c r="D32" s="560"/>
      <c r="E32" s="561"/>
      <c r="G32" s="21"/>
      <c r="H32" s="22" t="s">
        <v>13</v>
      </c>
      <c r="I32" s="22" t="s">
        <v>625</v>
      </c>
      <c r="J32" s="23"/>
      <c r="L32" s="21"/>
      <c r="M32" s="22" t="s">
        <v>13</v>
      </c>
      <c r="N32" s="22" t="s">
        <v>563</v>
      </c>
      <c r="O32" s="23"/>
      <c r="Q32" s="21"/>
      <c r="R32" s="22" t="s">
        <v>13</v>
      </c>
      <c r="S32" s="22" t="s">
        <v>564</v>
      </c>
      <c r="T32" s="23"/>
    </row>
    <row r="33" spans="2:22" s="1" customFormat="1" ht="19.899999999999999" customHeight="1" x14ac:dyDescent="0.25">
      <c r="B33" s="3">
        <v>11</v>
      </c>
      <c r="C33" s="567" t="s">
        <v>401</v>
      </c>
      <c r="D33" s="567"/>
      <c r="E33" s="568"/>
      <c r="G33" s="27"/>
      <c r="H33" s="28" t="s">
        <v>13</v>
      </c>
      <c r="I33" s="28" t="s">
        <v>626</v>
      </c>
      <c r="J33" s="29"/>
      <c r="L33" s="27"/>
      <c r="M33" s="28" t="s">
        <v>13</v>
      </c>
      <c r="N33" s="28" t="str">
        <f t="shared" ref="N33:N38" si="1">I33</f>
        <v xml:space="preserve">1x20 </v>
      </c>
      <c r="O33" s="29"/>
      <c r="Q33" s="27"/>
      <c r="R33" s="28" t="s">
        <v>13</v>
      </c>
      <c r="S33" s="28" t="str">
        <f>N33</f>
        <v xml:space="preserve">1x20 </v>
      </c>
      <c r="T33" s="29"/>
    </row>
    <row r="34" spans="2:22" s="1" customFormat="1" ht="19.899999999999999" customHeight="1" thickBot="1" x14ac:dyDescent="0.3">
      <c r="B34" s="3">
        <v>12</v>
      </c>
      <c r="C34" s="567" t="s">
        <v>183</v>
      </c>
      <c r="D34" s="567"/>
      <c r="E34" s="568"/>
      <c r="G34" s="24"/>
      <c r="H34" s="25" t="s">
        <v>13</v>
      </c>
      <c r="I34" s="25" t="s">
        <v>592</v>
      </c>
      <c r="J34" s="26"/>
      <c r="L34" s="24"/>
      <c r="M34" s="25" t="s">
        <v>13</v>
      </c>
      <c r="N34" s="25" t="str">
        <f t="shared" si="1"/>
        <v>1x20/ea</v>
      </c>
      <c r="O34" s="26"/>
      <c r="Q34" s="46"/>
      <c r="R34" s="47" t="s">
        <v>13</v>
      </c>
      <c r="S34" s="47" t="str">
        <f>N34</f>
        <v>1x20/ea</v>
      </c>
      <c r="T34" s="48"/>
    </row>
    <row r="35" spans="2:22" s="1" customFormat="1" ht="19.899999999999999" customHeight="1" x14ac:dyDescent="0.25">
      <c r="B35" s="9">
        <v>13</v>
      </c>
      <c r="C35" s="560" t="s">
        <v>416</v>
      </c>
      <c r="D35" s="560"/>
      <c r="E35" s="561"/>
      <c r="G35" s="99"/>
      <c r="H35" s="22" t="s">
        <v>13</v>
      </c>
      <c r="I35" s="22" t="s">
        <v>594</v>
      </c>
      <c r="J35" s="23"/>
      <c r="L35" s="21"/>
      <c r="M35" s="22" t="s">
        <v>13</v>
      </c>
      <c r="N35" s="22" t="str">
        <f t="shared" si="1"/>
        <v>1x15m/ea</v>
      </c>
      <c r="O35" s="23"/>
      <c r="Q35" s="21"/>
      <c r="R35" s="22" t="s">
        <v>13</v>
      </c>
      <c r="S35" s="22" t="str">
        <f>I35</f>
        <v>1x15m/ea</v>
      </c>
      <c r="T35" s="23"/>
    </row>
    <row r="36" spans="2:22" s="1" customFormat="1" ht="19.899999999999999" customHeight="1" x14ac:dyDescent="0.25">
      <c r="B36" s="3">
        <v>14</v>
      </c>
      <c r="C36" s="567" t="s">
        <v>424</v>
      </c>
      <c r="D36" s="567"/>
      <c r="E36" s="568"/>
      <c r="G36" s="96"/>
      <c r="H36" s="28" t="s">
        <v>13</v>
      </c>
      <c r="I36" s="28" t="s">
        <v>292</v>
      </c>
      <c r="J36" s="29"/>
      <c r="L36" s="27"/>
      <c r="M36" s="28" t="s">
        <v>13</v>
      </c>
      <c r="N36" s="28" t="str">
        <f t="shared" si="1"/>
        <v>3x10s/ea</v>
      </c>
      <c r="O36" s="29"/>
      <c r="Q36" s="27"/>
      <c r="R36" s="28" t="s">
        <v>13</v>
      </c>
      <c r="S36" s="28" t="str">
        <f>N36</f>
        <v>3x10s/ea</v>
      </c>
      <c r="T36" s="29"/>
    </row>
    <row r="37" spans="2:22" s="1" customFormat="1" ht="19.899999999999999" customHeight="1" x14ac:dyDescent="0.25">
      <c r="B37" s="3">
        <v>15</v>
      </c>
      <c r="C37" s="567" t="s">
        <v>35</v>
      </c>
      <c r="D37" s="567"/>
      <c r="E37" s="568"/>
      <c r="G37" s="96"/>
      <c r="H37" s="28" t="s">
        <v>13</v>
      </c>
      <c r="I37" s="28" t="s">
        <v>592</v>
      </c>
      <c r="J37" s="29"/>
      <c r="L37" s="27"/>
      <c r="M37" s="28" t="s">
        <v>13</v>
      </c>
      <c r="N37" s="28" t="str">
        <f t="shared" si="1"/>
        <v>1x20/ea</v>
      </c>
      <c r="O37" s="29"/>
      <c r="Q37" s="27"/>
      <c r="R37" s="28" t="s">
        <v>13</v>
      </c>
      <c r="S37" s="28" t="str">
        <f>N37</f>
        <v>1x20/ea</v>
      </c>
      <c r="T37" s="29"/>
    </row>
    <row r="38" spans="2:22" s="1" customFormat="1" ht="19.899999999999999" customHeight="1" thickBot="1" x14ac:dyDescent="0.3">
      <c r="B38" s="4">
        <v>16</v>
      </c>
      <c r="C38" s="565" t="s">
        <v>617</v>
      </c>
      <c r="D38" s="565"/>
      <c r="E38" s="566"/>
      <c r="G38" s="24"/>
      <c r="H38" s="25" t="s">
        <v>13</v>
      </c>
      <c r="I38" s="25" t="s">
        <v>592</v>
      </c>
      <c r="J38" s="26"/>
      <c r="L38" s="24"/>
      <c r="M38" s="25" t="s">
        <v>13</v>
      </c>
      <c r="N38" s="25" t="str">
        <f t="shared" si="1"/>
        <v>1x20/ea</v>
      </c>
      <c r="O38" s="26"/>
      <c r="Q38" s="24"/>
      <c r="R38" s="25" t="s">
        <v>13</v>
      </c>
      <c r="S38" s="25" t="str">
        <f>N38</f>
        <v>1x20/ea</v>
      </c>
      <c r="T38" s="26"/>
    </row>
    <row r="39" spans="2:22" s="2" customFormat="1" ht="16.149999999999999" customHeight="1" thickBot="1" x14ac:dyDescent="0.3">
      <c r="B39" s="573" t="s">
        <v>873</v>
      </c>
      <c r="C39" s="574"/>
      <c r="D39" s="574"/>
      <c r="E39" s="575"/>
      <c r="F39" s="79"/>
      <c r="G39" s="557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9"/>
    </row>
    <row r="40" spans="2:22" s="1" customFormat="1" ht="19.899999999999999" customHeight="1" x14ac:dyDescent="0.25">
      <c r="B40" s="9">
        <v>17</v>
      </c>
      <c r="C40" s="560" t="s">
        <v>182</v>
      </c>
      <c r="D40" s="560"/>
      <c r="E40" s="561"/>
      <c r="G40" s="21"/>
      <c r="H40" s="30" t="s">
        <v>13</v>
      </c>
      <c r="I40" s="22" t="s">
        <v>618</v>
      </c>
      <c r="J40" s="23"/>
      <c r="L40" s="21"/>
      <c r="M40" s="30" t="s">
        <v>13</v>
      </c>
      <c r="N40" s="22" t="str">
        <f>I40</f>
        <v>1x90s/ea</v>
      </c>
      <c r="O40" s="23"/>
      <c r="Q40" s="50"/>
      <c r="R40" s="51" t="s">
        <v>13</v>
      </c>
      <c r="S40" s="52" t="str">
        <f>I40</f>
        <v>1x90s/ea</v>
      </c>
      <c r="T40" s="53"/>
    </row>
    <row r="41" spans="2:22" s="1" customFormat="1" ht="19.899999999999999" customHeight="1" x14ac:dyDescent="0.25">
      <c r="B41" s="3">
        <v>18</v>
      </c>
      <c r="C41" s="569" t="s">
        <v>606</v>
      </c>
      <c r="D41" s="569"/>
      <c r="E41" s="570"/>
      <c r="G41" s="27"/>
      <c r="H41" s="31" t="s">
        <v>13</v>
      </c>
      <c r="I41" s="28" t="s">
        <v>618</v>
      </c>
      <c r="J41" s="29"/>
      <c r="L41" s="27"/>
      <c r="M41" s="31" t="s">
        <v>13</v>
      </c>
      <c r="N41" s="28" t="str">
        <f>I41</f>
        <v>1x90s/ea</v>
      </c>
      <c r="O41" s="29"/>
      <c r="Q41" s="54"/>
      <c r="R41" s="55" t="s">
        <v>13</v>
      </c>
      <c r="S41" s="56" t="str">
        <f>I41</f>
        <v>1x90s/ea</v>
      </c>
      <c r="T41" s="57"/>
    </row>
    <row r="42" spans="2:22" s="1" customFormat="1" ht="19.899999999999999" customHeight="1" thickBot="1" x14ac:dyDescent="0.3">
      <c r="B42" s="4">
        <v>19</v>
      </c>
      <c r="C42" s="571" t="s">
        <v>36</v>
      </c>
      <c r="D42" s="571"/>
      <c r="E42" s="572"/>
      <c r="F42" s="66"/>
      <c r="G42" s="24"/>
      <c r="H42" s="32" t="s">
        <v>13</v>
      </c>
      <c r="I42" s="25" t="s">
        <v>618</v>
      </c>
      <c r="J42" s="26"/>
      <c r="K42" s="66"/>
      <c r="L42" s="24"/>
      <c r="M42" s="32" t="s">
        <v>13</v>
      </c>
      <c r="N42" s="25" t="str">
        <f>I42</f>
        <v>1x90s/ea</v>
      </c>
      <c r="O42" s="26"/>
      <c r="P42" s="66"/>
      <c r="Q42" s="46"/>
      <c r="R42" s="58" t="s">
        <v>13</v>
      </c>
      <c r="S42" s="47" t="str">
        <f>N42</f>
        <v>1x90s/ea</v>
      </c>
      <c r="T42" s="48"/>
    </row>
    <row r="43" spans="2:22" s="2" customFormat="1" ht="4.9000000000000004" customHeight="1" x14ac:dyDescent="0.25">
      <c r="Q43" s="49"/>
      <c r="R43" s="49"/>
      <c r="S43" s="49"/>
      <c r="T43" s="49"/>
    </row>
    <row r="44" spans="2:22" x14ac:dyDescent="0.25">
      <c r="V44" s="1" t="s">
        <v>289</v>
      </c>
    </row>
    <row r="45" spans="2:22" x14ac:dyDescent="0.25">
      <c r="V45" s="1" t="s">
        <v>311</v>
      </c>
    </row>
    <row r="46" spans="2:22" x14ac:dyDescent="0.25">
      <c r="V46" s="1" t="s">
        <v>37</v>
      </c>
    </row>
    <row r="47" spans="2:22" x14ac:dyDescent="0.25">
      <c r="V47" s="1" t="s">
        <v>119</v>
      </c>
    </row>
    <row r="48" spans="2:22" x14ac:dyDescent="0.25">
      <c r="V48" s="1" t="s">
        <v>290</v>
      </c>
    </row>
    <row r="49" spans="22:22" x14ac:dyDescent="0.25">
      <c r="V49" s="1" t="s">
        <v>291</v>
      </c>
    </row>
    <row r="50" spans="22:22" x14ac:dyDescent="0.25">
      <c r="V50" s="1" t="s">
        <v>619</v>
      </c>
    </row>
    <row r="51" spans="22:22" x14ac:dyDescent="0.25">
      <c r="V51" s="1" t="s">
        <v>618</v>
      </c>
    </row>
    <row r="53" spans="22:22" x14ac:dyDescent="0.25">
      <c r="V53" s="1" t="s">
        <v>292</v>
      </c>
    </row>
    <row r="54" spans="22:22" x14ac:dyDescent="0.25">
      <c r="V54" s="1" t="s">
        <v>337</v>
      </c>
    </row>
    <row r="55" spans="22:22" x14ac:dyDescent="0.25">
      <c r="V55" s="1" t="s">
        <v>15</v>
      </c>
    </row>
    <row r="56" spans="22:22" x14ac:dyDescent="0.25">
      <c r="V56" s="1" t="s">
        <v>209</v>
      </c>
    </row>
    <row r="57" spans="22:22" x14ac:dyDescent="0.25">
      <c r="V57" s="1" t="s">
        <v>591</v>
      </c>
    </row>
  </sheetData>
  <mergeCells count="40">
    <mergeCell ref="C41:E41"/>
    <mergeCell ref="C42:E42"/>
    <mergeCell ref="C36:E36"/>
    <mergeCell ref="C37:E37"/>
    <mergeCell ref="C38:E38"/>
    <mergeCell ref="B39:E39"/>
    <mergeCell ref="G39:T39"/>
    <mergeCell ref="C40:E40"/>
    <mergeCell ref="C30:E30"/>
    <mergeCell ref="C31:E31"/>
    <mergeCell ref="C32:E32"/>
    <mergeCell ref="C33:E33"/>
    <mergeCell ref="C34:E34"/>
    <mergeCell ref="C35:E35"/>
    <mergeCell ref="C29:E29"/>
    <mergeCell ref="B17:E17"/>
    <mergeCell ref="C18:E18"/>
    <mergeCell ref="C19:E19"/>
    <mergeCell ref="C20:E20"/>
    <mergeCell ref="B22:E22"/>
    <mergeCell ref="C23:E23"/>
    <mergeCell ref="C24:E24"/>
    <mergeCell ref="C25:E25"/>
    <mergeCell ref="C26:E26"/>
    <mergeCell ref="C27:E27"/>
    <mergeCell ref="C28:E28"/>
    <mergeCell ref="B14:D14"/>
    <mergeCell ref="E14:G14"/>
    <mergeCell ref="O14:Q14"/>
    <mergeCell ref="B15:E16"/>
    <mergeCell ref="G15:T15"/>
    <mergeCell ref="H16:I16"/>
    <mergeCell ref="M16:N16"/>
    <mergeCell ref="R16:S16"/>
    <mergeCell ref="O2:T7"/>
    <mergeCell ref="E10:G10"/>
    <mergeCell ref="I10:L10"/>
    <mergeCell ref="B12:D12"/>
    <mergeCell ref="E12:G12"/>
    <mergeCell ref="O12:Q12"/>
  </mergeCells>
  <dataValidations count="11">
    <dataValidation type="list" allowBlank="1" showInputMessage="1" showErrorMessage="1" sqref="I42" xr:uid="{00000000-0002-0000-0A00-000000000000}">
      <formula1>$V$44:$V$57</formula1>
    </dataValidation>
    <dataValidation type="list" allowBlank="1" showInputMessage="1" showErrorMessage="1" sqref="I31" xr:uid="{00000000-0002-0000-0A00-000001000000}">
      <formula1>$V$40:$V$58</formula1>
    </dataValidation>
    <dataValidation type="list" allowBlank="1" showInputMessage="1" showErrorMessage="1" sqref="N31" xr:uid="{00000000-0002-0000-0A00-000002000000}">
      <formula1>$V$40:$V$54</formula1>
    </dataValidation>
    <dataValidation type="list" allowBlank="1" showInputMessage="1" showErrorMessage="1" sqref="I40:I41" xr:uid="{00000000-0002-0000-0A00-000003000000}">
      <formula1>$V$44:$V$58</formula1>
    </dataValidation>
    <dataValidation type="list" allowBlank="1" showInputMessage="1" showErrorMessage="1" sqref="S31" xr:uid="{00000000-0002-0000-0A00-000004000000}">
      <formula1>$V$40:$V$53</formula1>
    </dataValidation>
    <dataValidation type="list" allowBlank="1" showInputMessage="1" showErrorMessage="1" sqref="S42 N40:N42" xr:uid="{00000000-0002-0000-0A00-000005000000}">
      <formula1>$V$44:$V$49</formula1>
    </dataValidation>
    <dataValidation type="list" allowBlank="1" showInputMessage="1" showErrorMessage="1" sqref="H41:H42 R41:R42 M41:M42" xr:uid="{00000000-0002-0000-0A00-000006000000}">
      <formula1>$W$16:$W$18</formula1>
    </dataValidation>
    <dataValidation type="list" allowBlank="1" showInputMessage="1" showErrorMessage="1" sqref="M40 R40 H40" xr:uid="{00000000-0002-0000-0A00-000007000000}">
      <formula1>$W$16:$W$20</formula1>
    </dataValidation>
    <dataValidation type="list" allowBlank="1" showInputMessage="1" showErrorMessage="1" sqref="B15:E16" xr:uid="{00000000-0002-0000-0A00-000008000000}">
      <formula1>$X$16:$X$24</formula1>
    </dataValidation>
    <dataValidation type="list" allowBlank="1" showInputMessage="1" showErrorMessage="1" sqref="M23:M38 H23:H38 R23:R38" xr:uid="{00000000-0002-0000-0A00-000009000000}">
      <formula1>$W$22:$W$24</formula1>
    </dataValidation>
    <dataValidation type="list" allowBlank="1" showInputMessage="1" showErrorMessage="1" sqref="N27 S27" xr:uid="{00000000-0002-0000-0A00-00000A000000}">
      <formula1>$V$40:$V$48</formula1>
    </dataValidation>
  </dataValidations>
  <pageMargins left="0.25" right="0.25" top="0.75" bottom="0.75" header="0.3" footer="0.3"/>
  <pageSetup paperSize="9"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4">
        <x14:dataValidation type="list" allowBlank="1" showInputMessage="1" showErrorMessage="1" xr:uid="{00000000-0002-0000-0A00-00000B000000}">
          <x14:formula1>
            <xm:f>'BH1-2 Progressionen'!$M:$M</xm:f>
          </x14:formula1>
          <xm:sqref>S14</xm:sqref>
        </x14:dataValidation>
        <x14:dataValidation type="list" allowBlank="1" showInputMessage="1" showErrorMessage="1" xr:uid="{00000000-0002-0000-0A00-00000C000000}">
          <x14:formula1>
            <xm:f>'BH1-2 Progressionen'!$K:$K</xm:f>
          </x14:formula1>
          <xm:sqref>M14</xm:sqref>
        </x14:dataValidation>
        <x14:dataValidation type="list" allowBlank="1" showInputMessage="1" showErrorMessage="1" xr:uid="{00000000-0002-0000-0A00-00000D000000}">
          <x14:formula1>
            <xm:f>'BH1-2 Progressionen'!$J:$J</xm:f>
          </x14:formula1>
          <xm:sqref>I14</xm:sqref>
        </x14:dataValidation>
        <x14:dataValidation type="list" allowBlank="1" showInputMessage="1" showErrorMessage="1" xr:uid="{00000000-0002-0000-0A00-00000E000000}">
          <x14:formula1>
            <xm:f>'BH1-2 Progressionen'!$I:$I</xm:f>
          </x14:formula1>
          <xm:sqref>E14</xm:sqref>
        </x14:dataValidation>
        <x14:dataValidation type="list" allowBlank="1" showInputMessage="1" showErrorMessage="1" xr:uid="{00000000-0002-0000-0A00-00000F000000}">
          <x14:formula1>
            <xm:f>'BH1-2 Progressionen'!$H:$H</xm:f>
          </x14:formula1>
          <xm:sqref>B14</xm:sqref>
        </x14:dataValidation>
        <x14:dataValidation type="list" allowBlank="1" showInputMessage="1" showErrorMessage="1" xr:uid="{00000000-0002-0000-0A00-000010000000}">
          <x14:formula1>
            <xm:f>'BH1-2 Progressionen'!$G:$G</xm:f>
          </x14:formula1>
          <xm:sqref>S12:S13</xm:sqref>
        </x14:dataValidation>
        <x14:dataValidation type="list" allowBlank="1" showInputMessage="1" showErrorMessage="1" xr:uid="{00000000-0002-0000-0A00-000011000000}">
          <x14:formula1>
            <xm:f>'BH1-2 Progressionen'!$F:$F</xm:f>
          </x14:formula1>
          <xm:sqref>O12:O13</xm:sqref>
        </x14:dataValidation>
        <x14:dataValidation type="list" allowBlank="1" showInputMessage="1" showErrorMessage="1" xr:uid="{00000000-0002-0000-0A00-000012000000}">
          <x14:formula1>
            <xm:f>'BH1-2 Progressionen'!$E:$E</xm:f>
          </x14:formula1>
          <xm:sqref>M12:M13</xm:sqref>
        </x14:dataValidation>
        <x14:dataValidation type="list" allowBlank="1" showInputMessage="1" showErrorMessage="1" xr:uid="{00000000-0002-0000-0A00-000013000000}">
          <x14:formula1>
            <xm:f>'BH1-2 Progressionen'!$D:$D</xm:f>
          </x14:formula1>
          <xm:sqref>I12:I13</xm:sqref>
        </x14:dataValidation>
        <x14:dataValidation type="list" allowBlank="1" showInputMessage="1" showErrorMessage="1" xr:uid="{00000000-0002-0000-0A00-000014000000}">
          <x14:formula1>
            <xm:f>'BH1-2 Progressionen'!$C:$C</xm:f>
          </x14:formula1>
          <xm:sqref>E12:E13</xm:sqref>
        </x14:dataValidation>
        <x14:dataValidation type="list" allowBlank="1" showInputMessage="1" showErrorMessage="1" xr:uid="{00000000-0002-0000-0A00-000015000000}">
          <x14:formula1>
            <xm:f>'BH1-2 Progressionen'!$B:$B</xm:f>
          </x14:formula1>
          <xm:sqref>B12:B13</xm:sqref>
        </x14:dataValidation>
        <x14:dataValidation type="list" allowBlank="1" showInputMessage="1" showErrorMessage="1" xr:uid="{00000000-0002-0000-0A00-000016000000}">
          <x14:formula1>
            <xm:f>'BH1-2 Progressionen'!$L:$L</xm:f>
          </x14:formula1>
          <xm:sqref>O14</xm:sqref>
        </x14:dataValidation>
        <x14:dataValidation type="list" allowBlank="1" showInputMessage="1" showErrorMessage="1" xr:uid="{00000000-0002-0000-0A00-000017000000}">
          <x14:formula1>
            <xm:f>' Unterkörper Progressionen '!$F:$F</xm:f>
          </x14:formula1>
          <xm:sqref>C24:E24</xm:sqref>
        </x14:dataValidation>
        <x14:dataValidation type="list" allowBlank="1" showInputMessage="1" showErrorMessage="1" xr:uid="{00000000-0002-0000-0A00-000018000000}">
          <x14:formula1>
            <xm:f>' Unterkörper Progressionen '!$Q:$Q</xm:f>
          </x14:formula1>
          <xm:sqref>C35:E35</xm:sqref>
        </x14:dataValidation>
        <x14:dataValidation type="list" allowBlank="1" showInputMessage="1" showErrorMessage="1" xr:uid="{00000000-0002-0000-0A00-000019000000}">
          <x14:formula1>
            <xm:f>' Unterkörper Progressionen '!$P:$P</xm:f>
          </x14:formula1>
          <xm:sqref>C34:E34</xm:sqref>
        </x14:dataValidation>
        <x14:dataValidation type="list" allowBlank="1" showInputMessage="1" showErrorMessage="1" xr:uid="{00000000-0002-0000-0A00-00001A000000}">
          <x14:formula1>
            <xm:f>' Unterkörper Progressionen '!$O:$O</xm:f>
          </x14:formula1>
          <xm:sqref>C33:E33</xm:sqref>
        </x14:dataValidation>
        <x14:dataValidation type="list" allowBlank="1" showInputMessage="1" showErrorMessage="1" xr:uid="{00000000-0002-0000-0A00-00001B000000}">
          <x14:formula1>
            <xm:f>' Unterkörper Progressionen '!$K:$K</xm:f>
          </x14:formula1>
          <xm:sqref>C29:E29</xm:sqref>
        </x14:dataValidation>
        <x14:dataValidation type="list" allowBlank="1" showInputMessage="1" showErrorMessage="1" xr:uid="{00000000-0002-0000-0A00-00001C000000}">
          <x14:formula1>
            <xm:f>' Unterkörper Progressionen '!$L:$L</xm:f>
          </x14:formula1>
          <xm:sqref>C30:E30</xm:sqref>
        </x14:dataValidation>
        <x14:dataValidation type="list" allowBlank="1" showInputMessage="1" showErrorMessage="1" xr:uid="{00000000-0002-0000-0A00-00001D000000}">
          <x14:formula1>
            <xm:f>' Unterkörper Progressionen '!$J:$J</xm:f>
          </x14:formula1>
          <xm:sqref>C28:E28</xm:sqref>
        </x14:dataValidation>
        <x14:dataValidation type="list" allowBlank="1" showInputMessage="1" showErrorMessage="1" xr:uid="{00000000-0002-0000-0A00-00001E000000}">
          <x14:formula1>
            <xm:f>' Unterkörper Progressionen '!$H:$H</xm:f>
          </x14:formula1>
          <xm:sqref>C26:E26</xm:sqref>
        </x14:dataValidation>
        <x14:dataValidation type="list" allowBlank="1" showInputMessage="1" showErrorMessage="1" xr:uid="{00000000-0002-0000-0A00-00001F000000}">
          <x14:formula1>
            <xm:f>' Unterkörper Progressionen '!$I:$I</xm:f>
          </x14:formula1>
          <xm:sqref>C27:E27</xm:sqref>
        </x14:dataValidation>
        <x14:dataValidation type="list" allowBlank="1" showInputMessage="1" showErrorMessage="1" xr:uid="{00000000-0002-0000-0A00-000020000000}">
          <x14:formula1>
            <xm:f>' Unterkörper Progressionen '!$V:$V</xm:f>
          </x14:formula1>
          <xm:sqref>C42:E42</xm:sqref>
        </x14:dataValidation>
        <x14:dataValidation type="list" allowBlank="1" showInputMessage="1" showErrorMessage="1" xr:uid="{00000000-0002-0000-0A00-000021000000}">
          <x14:formula1>
            <xm:f>' Unterkörper Progressionen '!$W:$W</xm:f>
          </x14:formula1>
          <xm:sqref>C41:E41</xm:sqref>
        </x14:dataValidation>
        <x14:dataValidation type="list" allowBlank="1" showInputMessage="1" showErrorMessage="1" xr:uid="{00000000-0002-0000-0A00-000022000000}">
          <x14:formula1>
            <xm:f>' Unterkörper Progressionen '!$T:$T</xm:f>
          </x14:formula1>
          <xm:sqref>C38:E38</xm:sqref>
        </x14:dataValidation>
        <x14:dataValidation type="list" allowBlank="1" showInputMessage="1" showErrorMessage="1" xr:uid="{00000000-0002-0000-0A00-000023000000}">
          <x14:formula1>
            <xm:f>' Unterkörper Progressionen '!$U:$U</xm:f>
          </x14:formula1>
          <xm:sqref>C40:E40</xm:sqref>
        </x14:dataValidation>
        <x14:dataValidation type="list" allowBlank="1" showInputMessage="1" showErrorMessage="1" xr:uid="{00000000-0002-0000-0A00-000024000000}">
          <x14:formula1>
            <xm:f>' Unterkörper Progressionen '!$D:$D</xm:f>
          </x14:formula1>
          <xm:sqref>C20:E20</xm:sqref>
        </x14:dataValidation>
        <x14:dataValidation type="list" allowBlank="1" showInputMessage="1" showErrorMessage="1" xr:uid="{00000000-0002-0000-0A00-000025000000}">
          <x14:formula1>
            <xm:f>' Unterkörper Progressionen '!$E:$E</xm:f>
          </x14:formula1>
          <xm:sqref>C23:E23</xm:sqref>
        </x14:dataValidation>
        <x14:dataValidation type="list" allowBlank="1" showInputMessage="1" showErrorMessage="1" xr:uid="{00000000-0002-0000-0A00-000026000000}">
          <x14:formula1>
            <xm:f>' Unterkörper Progressionen '!$S:$S</xm:f>
          </x14:formula1>
          <xm:sqref>C37:E37</xm:sqref>
        </x14:dataValidation>
        <x14:dataValidation type="list" allowBlank="1" showInputMessage="1" showErrorMessage="1" xr:uid="{00000000-0002-0000-0A00-000027000000}">
          <x14:formula1>
            <xm:f>' Unterkörper Progressionen '!$R:$R</xm:f>
          </x14:formula1>
          <xm:sqref>C36:E36</xm:sqref>
        </x14:dataValidation>
        <x14:dataValidation type="list" allowBlank="1" showInputMessage="1" showErrorMessage="1" xr:uid="{00000000-0002-0000-0A00-000028000000}">
          <x14:formula1>
            <xm:f>' Unterkörper Progressionen '!$N:$N</xm:f>
          </x14:formula1>
          <xm:sqref>C32:E32</xm:sqref>
        </x14:dataValidation>
        <x14:dataValidation type="list" allowBlank="1" showInputMessage="1" showErrorMessage="1" xr:uid="{00000000-0002-0000-0A00-000029000000}">
          <x14:formula1>
            <xm:f>' Unterkörper Progressionen '!$M:$M</xm:f>
          </x14:formula1>
          <xm:sqref>C31:E31</xm:sqref>
        </x14:dataValidation>
        <x14:dataValidation type="list" allowBlank="1" showInputMessage="1" showErrorMessage="1" xr:uid="{00000000-0002-0000-0A00-00002A000000}">
          <x14:formula1>
            <xm:f>' Unterkörper Progressionen '!$G:$G</xm:f>
          </x14:formula1>
          <xm:sqref>C25:E25</xm:sqref>
        </x14:dataValidation>
        <x14:dataValidation type="list" allowBlank="1" showInputMessage="1" showErrorMessage="1" xr:uid="{00000000-0002-0000-0A00-00002B000000}">
          <x14:formula1>
            <xm:f>' Unterkörper Progressionen '!$B:$B</xm:f>
          </x14:formula1>
          <xm:sqref>C18:E18</xm:sqref>
        </x14:dataValidation>
        <x14:dataValidation type="list" allowBlank="1" showInputMessage="1" showErrorMessage="1" xr:uid="{00000000-0002-0000-0A00-00002C000000}">
          <x14:formula1>
            <xm:f>' Unterkörper Progressionen '!$C:$C</xm:f>
          </x14:formula1>
          <xm:sqref>C19:E19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W50"/>
  <sheetViews>
    <sheetView zoomScale="72" zoomScaleNormal="70" workbookViewId="0">
      <selection activeCell="A15" sqref="A15:XFD15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x14ac:dyDescent="0.25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x14ac:dyDescent="0.25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e">
        <f>UnterkörperA!#REF!</f>
        <v>#REF!</v>
      </c>
      <c r="T10" s="63"/>
    </row>
    <row r="11" spans="2:23" ht="16.5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34" customFormat="1" ht="15.6" customHeight="1" x14ac:dyDescent="0.25">
      <c r="B12" s="598" t="s">
        <v>550</v>
      </c>
      <c r="C12" s="597"/>
      <c r="D12" s="597"/>
      <c r="E12" s="597" t="s">
        <v>489</v>
      </c>
      <c r="F12" s="597"/>
      <c r="G12" s="597"/>
      <c r="H12" s="597" t="s">
        <v>41</v>
      </c>
      <c r="I12" s="597"/>
      <c r="J12" s="597"/>
      <c r="K12" s="65"/>
      <c r="L12" s="597" t="s">
        <v>388</v>
      </c>
      <c r="M12" s="597"/>
      <c r="N12" s="597"/>
      <c r="O12" s="597" t="s">
        <v>387</v>
      </c>
      <c r="P12" s="597"/>
      <c r="Q12" s="597"/>
      <c r="R12" s="597" t="s">
        <v>532</v>
      </c>
      <c r="S12" s="597"/>
      <c r="T12" s="601"/>
    </row>
    <row r="13" spans="2:23" s="34" customFormat="1" ht="15.6" customHeight="1" x14ac:dyDescent="0.25">
      <c r="B13" s="507"/>
      <c r="T13" s="35"/>
    </row>
    <row r="14" spans="2:23" s="34" customFormat="1" ht="15.6" customHeight="1" x14ac:dyDescent="0.25">
      <c r="B14" s="600" t="s">
        <v>159</v>
      </c>
      <c r="C14" s="599"/>
      <c r="D14" s="599"/>
      <c r="E14" s="599" t="s">
        <v>151</v>
      </c>
      <c r="F14" s="599"/>
      <c r="G14" s="599"/>
      <c r="H14" s="599" t="s">
        <v>154</v>
      </c>
      <c r="I14" s="599"/>
      <c r="J14" s="599"/>
      <c r="L14" s="599" t="s">
        <v>137</v>
      </c>
      <c r="M14" s="599"/>
      <c r="N14" s="599"/>
      <c r="O14" s="599" t="s">
        <v>554</v>
      </c>
      <c r="P14" s="599"/>
      <c r="Q14" s="599"/>
      <c r="R14" s="599"/>
      <c r="S14" s="599" t="s">
        <v>156</v>
      </c>
      <c r="T14" s="603"/>
    </row>
    <row r="15" spans="2:23" ht="16.5" thickBot="1" x14ac:dyDescent="0.3">
      <c r="B15" s="576" t="str">
        <f>UnterkörperF!B15</f>
        <v>Level F</v>
      </c>
      <c r="C15" s="577"/>
      <c r="D15" s="577"/>
      <c r="E15" s="578"/>
      <c r="F15" s="1"/>
      <c r="G15" s="592" t="s">
        <v>352</v>
      </c>
      <c r="H15" s="593"/>
      <c r="I15" s="593"/>
      <c r="J15" s="593"/>
      <c r="K15" s="593"/>
      <c r="L15" s="593"/>
      <c r="M15" s="593"/>
      <c r="N15" s="593"/>
      <c r="O15" s="593"/>
      <c r="P15" s="593"/>
      <c r="Q15" s="593"/>
      <c r="R15" s="593"/>
      <c r="S15" s="593"/>
      <c r="T15" s="594"/>
    </row>
    <row r="16" spans="2:23" ht="21.6" customHeight="1" thickBot="1" x14ac:dyDescent="0.3">
      <c r="B16" s="579"/>
      <c r="C16" s="580"/>
      <c r="D16" s="580"/>
      <c r="E16" s="581"/>
      <c r="F16" s="1"/>
      <c r="G16" s="70" t="s">
        <v>865</v>
      </c>
      <c r="H16" s="582" t="s">
        <v>877</v>
      </c>
      <c r="I16" s="583"/>
      <c r="J16" s="71" t="s">
        <v>866</v>
      </c>
      <c r="K16" s="64"/>
      <c r="L16" s="70" t="s">
        <v>867</v>
      </c>
      <c r="M16" s="582" t="s">
        <v>878</v>
      </c>
      <c r="N16" s="583"/>
      <c r="O16" s="71" t="s">
        <v>868</v>
      </c>
      <c r="P16" s="64"/>
      <c r="Q16" s="70" t="s">
        <v>869</v>
      </c>
      <c r="R16" s="595" t="s">
        <v>879</v>
      </c>
      <c r="S16" s="596"/>
      <c r="T16" s="71" t="s">
        <v>870</v>
      </c>
    </row>
    <row r="17" spans="2:23" ht="16.5" thickBot="1" x14ac:dyDescent="0.3">
      <c r="B17" s="589" t="s">
        <v>8</v>
      </c>
      <c r="C17" s="590"/>
      <c r="D17" s="590"/>
      <c r="E17" s="591"/>
      <c r="F17" s="72"/>
      <c r="G17" s="15" t="s">
        <v>9</v>
      </c>
      <c r="H17" s="16" t="s">
        <v>10</v>
      </c>
      <c r="I17" s="16" t="s">
        <v>11</v>
      </c>
      <c r="J17" s="17" t="s">
        <v>880</v>
      </c>
      <c r="K17" s="1"/>
      <c r="L17" s="15" t="s">
        <v>9</v>
      </c>
      <c r="M17" s="16" t="s">
        <v>10</v>
      </c>
      <c r="N17" s="16" t="s">
        <v>11</v>
      </c>
      <c r="O17" s="17" t="s">
        <v>880</v>
      </c>
      <c r="P17" s="1"/>
      <c r="Q17" s="40" t="s">
        <v>9</v>
      </c>
      <c r="R17" s="41" t="s">
        <v>10</v>
      </c>
      <c r="S17" s="41" t="s">
        <v>11</v>
      </c>
      <c r="T17" s="42" t="s">
        <v>880</v>
      </c>
    </row>
    <row r="18" spans="2:23" s="1" customFormat="1" ht="19.899999999999999" customHeight="1" x14ac:dyDescent="0.25">
      <c r="B18" s="9">
        <v>1</v>
      </c>
      <c r="C18" s="560" t="s">
        <v>478</v>
      </c>
      <c r="D18" s="560"/>
      <c r="E18" s="561"/>
      <c r="G18" s="18" t="s">
        <v>12</v>
      </c>
      <c r="H18" s="19"/>
      <c r="I18" s="19" t="s">
        <v>14</v>
      </c>
      <c r="J18" s="20" t="s">
        <v>16</v>
      </c>
      <c r="L18" s="18" t="s">
        <v>12</v>
      </c>
      <c r="M18" s="19"/>
      <c r="N18" s="19" t="s">
        <v>14</v>
      </c>
      <c r="O18" s="20" t="s">
        <v>16</v>
      </c>
      <c r="Q18" s="43" t="s">
        <v>12</v>
      </c>
      <c r="R18" s="44"/>
      <c r="S18" s="44" t="s">
        <v>14</v>
      </c>
      <c r="T18" s="45" t="s">
        <v>16</v>
      </c>
    </row>
    <row r="19" spans="2:23" s="1" customFormat="1" ht="19.899999999999999" customHeight="1" x14ac:dyDescent="0.25">
      <c r="B19" s="3">
        <v>2</v>
      </c>
      <c r="C19" s="567" t="s">
        <v>621</v>
      </c>
      <c r="D19" s="567"/>
      <c r="E19" s="568"/>
      <c r="G19" s="67" t="s">
        <v>12</v>
      </c>
      <c r="H19" s="68"/>
      <c r="I19" s="68" t="s">
        <v>14</v>
      </c>
      <c r="J19" s="69" t="s">
        <v>560</v>
      </c>
      <c r="L19" s="67" t="s">
        <v>12</v>
      </c>
      <c r="M19" s="68"/>
      <c r="N19" s="68" t="s">
        <v>14</v>
      </c>
      <c r="O19" s="69" t="s">
        <v>560</v>
      </c>
      <c r="Q19" s="75" t="s">
        <v>12</v>
      </c>
      <c r="R19" s="76"/>
      <c r="S19" s="76" t="s">
        <v>14</v>
      </c>
      <c r="T19" s="77" t="s">
        <v>560</v>
      </c>
    </row>
    <row r="20" spans="2:23" s="1" customFormat="1" ht="19.899999999999999" customHeight="1" thickBot="1" x14ac:dyDescent="0.3">
      <c r="B20" s="4">
        <v>3</v>
      </c>
      <c r="C20" s="565" t="s">
        <v>620</v>
      </c>
      <c r="D20" s="565"/>
      <c r="E20" s="566"/>
      <c r="G20" s="24" t="s">
        <v>12</v>
      </c>
      <c r="H20" s="25"/>
      <c r="I20" s="25" t="s">
        <v>14</v>
      </c>
      <c r="J20" s="26" t="s">
        <v>560</v>
      </c>
      <c r="L20" s="24" t="s">
        <v>12</v>
      </c>
      <c r="M20" s="25"/>
      <c r="N20" s="25" t="s">
        <v>14</v>
      </c>
      <c r="O20" s="26" t="s">
        <v>560</v>
      </c>
      <c r="Q20" s="46" t="s">
        <v>12</v>
      </c>
      <c r="R20" s="47"/>
      <c r="S20" s="47" t="s">
        <v>14</v>
      </c>
      <c r="T20" s="48" t="s">
        <v>560</v>
      </c>
    </row>
    <row r="21" spans="2:23" s="2" customFormat="1" ht="4.9000000000000004" customHeight="1" thickBot="1" x14ac:dyDescent="0.3">
      <c r="B21" s="73"/>
      <c r="Q21" s="49"/>
      <c r="R21" s="49"/>
      <c r="S21" s="49"/>
      <c r="T21" s="74"/>
    </row>
    <row r="22" spans="2:23" s="1" customFormat="1" ht="16.5" thickBot="1" x14ac:dyDescent="0.3">
      <c r="B22" s="793" t="s">
        <v>871</v>
      </c>
      <c r="C22" s="563"/>
      <c r="D22" s="563"/>
      <c r="E22" s="564"/>
      <c r="G22" s="80" t="s">
        <v>880</v>
      </c>
      <c r="H22" s="81" t="s">
        <v>10</v>
      </c>
      <c r="I22" s="81" t="s">
        <v>11</v>
      </c>
      <c r="J22" s="82" t="s">
        <v>880</v>
      </c>
      <c r="K22" s="72"/>
      <c r="L22" s="80" t="str">
        <f>G22</f>
        <v>GEWICHT</v>
      </c>
      <c r="M22" s="81" t="s">
        <v>10</v>
      </c>
      <c r="N22" s="81" t="s">
        <v>11</v>
      </c>
      <c r="O22" s="82" t="s">
        <v>880</v>
      </c>
      <c r="P22" s="72"/>
      <c r="Q22" s="83" t="str">
        <f>L22</f>
        <v>GEWICHT</v>
      </c>
      <c r="R22" s="84" t="s">
        <v>10</v>
      </c>
      <c r="S22" s="84" t="s">
        <v>11</v>
      </c>
      <c r="T22" s="85" t="s">
        <v>880</v>
      </c>
      <c r="W22" s="36"/>
    </row>
    <row r="23" spans="2:23" s="1" customFormat="1" ht="19.899999999999999" customHeight="1" x14ac:dyDescent="0.25">
      <c r="B23" s="9">
        <v>1</v>
      </c>
      <c r="C23" s="560" t="s">
        <v>254</v>
      </c>
      <c r="D23" s="560"/>
      <c r="E23" s="561"/>
      <c r="G23" s="21"/>
      <c r="H23" s="22" t="s">
        <v>13</v>
      </c>
      <c r="I23" s="22" t="s">
        <v>623</v>
      </c>
      <c r="J23" s="23"/>
      <c r="L23" s="21"/>
      <c r="M23" s="22" t="s">
        <v>13</v>
      </c>
      <c r="N23" s="22" t="str">
        <f t="shared" ref="N23:N31" si="0">I23</f>
        <v>1x10</v>
      </c>
      <c r="O23" s="23"/>
      <c r="Q23" s="50"/>
      <c r="R23" s="52" t="s">
        <v>13</v>
      </c>
      <c r="S23" s="52" t="str">
        <f>N23</f>
        <v>1x10</v>
      </c>
      <c r="T23" s="53"/>
      <c r="W23" s="36"/>
    </row>
    <row r="24" spans="2:23" s="1" customFormat="1" ht="19.899999999999999" customHeight="1" x14ac:dyDescent="0.25">
      <c r="B24" s="3">
        <v>2</v>
      </c>
      <c r="C24" s="567" t="s">
        <v>279</v>
      </c>
      <c r="D24" s="567"/>
      <c r="E24" s="568"/>
      <c r="G24" s="27"/>
      <c r="H24" s="28" t="s">
        <v>13</v>
      </c>
      <c r="I24" s="28" t="s">
        <v>624</v>
      </c>
      <c r="J24" s="29"/>
      <c r="L24" s="27"/>
      <c r="M24" s="28" t="s">
        <v>13</v>
      </c>
      <c r="N24" s="28" t="str">
        <f t="shared" si="0"/>
        <v>1x8</v>
      </c>
      <c r="O24" s="29"/>
      <c r="Q24" s="54"/>
      <c r="R24" s="56" t="s">
        <v>13</v>
      </c>
      <c r="S24" s="56" t="str">
        <f>N24</f>
        <v>1x8</v>
      </c>
      <c r="T24" s="57"/>
      <c r="W24" s="36"/>
    </row>
    <row r="25" spans="2:23" s="1" customFormat="1" ht="19.899999999999999" customHeight="1" thickBot="1" x14ac:dyDescent="0.3">
      <c r="B25" s="4">
        <v>3</v>
      </c>
      <c r="C25" s="565" t="s">
        <v>389</v>
      </c>
      <c r="D25" s="565"/>
      <c r="E25" s="566"/>
      <c r="G25" s="24"/>
      <c r="H25" s="25" t="s">
        <v>13</v>
      </c>
      <c r="I25" s="25" t="s">
        <v>561</v>
      </c>
      <c r="J25" s="26"/>
      <c r="L25" s="24"/>
      <c r="M25" s="25" t="s">
        <v>13</v>
      </c>
      <c r="N25" s="25" t="str">
        <f t="shared" si="0"/>
        <v>1x10ea</v>
      </c>
      <c r="O25" s="26"/>
      <c r="Q25" s="46"/>
      <c r="R25" s="47" t="s">
        <v>13</v>
      </c>
      <c r="S25" s="47" t="str">
        <f>N25</f>
        <v>1x10ea</v>
      </c>
      <c r="T25" s="48"/>
    </row>
    <row r="26" spans="2:23" s="1" customFormat="1" ht="19.899999999999999" customHeight="1" x14ac:dyDescent="0.25">
      <c r="B26" s="9">
        <v>4</v>
      </c>
      <c r="C26" s="560" t="s">
        <v>494</v>
      </c>
      <c r="D26" s="560"/>
      <c r="E26" s="561"/>
      <c r="G26" s="21"/>
      <c r="H26" s="22" t="s">
        <v>13</v>
      </c>
      <c r="I26" s="22" t="s">
        <v>7</v>
      </c>
      <c r="J26" s="23"/>
      <c r="L26" s="21"/>
      <c r="M26" s="22" t="s">
        <v>13</v>
      </c>
      <c r="N26" s="22" t="str">
        <f t="shared" si="0"/>
        <v>1x20</v>
      </c>
      <c r="O26" s="23"/>
      <c r="Q26" s="50"/>
      <c r="R26" s="52" t="s">
        <v>13</v>
      </c>
      <c r="S26" s="52" t="s">
        <v>7</v>
      </c>
      <c r="T26" s="53"/>
    </row>
    <row r="27" spans="2:23" s="1" customFormat="1" ht="19.899999999999999" customHeight="1" x14ac:dyDescent="0.25">
      <c r="B27" s="3">
        <v>5</v>
      </c>
      <c r="C27" s="567" t="s">
        <v>501</v>
      </c>
      <c r="D27" s="567"/>
      <c r="E27" s="568"/>
      <c r="G27" s="27"/>
      <c r="H27" s="28" t="s">
        <v>13</v>
      </c>
      <c r="I27" s="28" t="s">
        <v>592</v>
      </c>
      <c r="J27" s="29"/>
      <c r="L27" s="27"/>
      <c r="M27" s="28" t="s">
        <v>13</v>
      </c>
      <c r="N27" s="28" t="str">
        <f t="shared" si="0"/>
        <v>1x20/ea</v>
      </c>
      <c r="O27" s="29"/>
      <c r="Q27" s="54"/>
      <c r="R27" s="56" t="s">
        <v>13</v>
      </c>
      <c r="S27" s="28" t="str">
        <f>I27</f>
        <v>1x20/ea</v>
      </c>
      <c r="T27" s="57"/>
    </row>
    <row r="28" spans="2:23" s="1" customFormat="1" ht="19.899999999999999" customHeight="1" thickBot="1" x14ac:dyDescent="0.3">
      <c r="B28" s="4">
        <v>6</v>
      </c>
      <c r="C28" s="565" t="s">
        <v>402</v>
      </c>
      <c r="D28" s="565"/>
      <c r="E28" s="566"/>
      <c r="G28" s="24"/>
      <c r="H28" s="25" t="s">
        <v>13</v>
      </c>
      <c r="I28" s="25" t="s">
        <v>292</v>
      </c>
      <c r="J28" s="26"/>
      <c r="L28" s="24"/>
      <c r="M28" s="25" t="s">
        <v>13</v>
      </c>
      <c r="N28" s="25" t="str">
        <f t="shared" si="0"/>
        <v>3x10s/ea</v>
      </c>
      <c r="O28" s="26"/>
      <c r="Q28" s="46"/>
      <c r="R28" s="47" t="s">
        <v>13</v>
      </c>
      <c r="S28" s="47" t="str">
        <f>N28</f>
        <v>3x10s/ea</v>
      </c>
      <c r="T28" s="48"/>
    </row>
    <row r="29" spans="2:23" s="1" customFormat="1" ht="19.899999999999999" customHeight="1" x14ac:dyDescent="0.25">
      <c r="B29" s="9">
        <v>7</v>
      </c>
      <c r="C29" s="560" t="s">
        <v>505</v>
      </c>
      <c r="D29" s="560"/>
      <c r="E29" s="561"/>
      <c r="G29" s="21"/>
      <c r="H29" s="22" t="s">
        <v>13</v>
      </c>
      <c r="I29" s="22" t="s">
        <v>7</v>
      </c>
      <c r="J29" s="23"/>
      <c r="L29" s="21"/>
      <c r="M29" s="22" t="s">
        <v>13</v>
      </c>
      <c r="N29" s="22" t="str">
        <f t="shared" si="0"/>
        <v>1x20</v>
      </c>
      <c r="O29" s="23"/>
      <c r="Q29" s="50"/>
      <c r="R29" s="52" t="s">
        <v>13</v>
      </c>
      <c r="S29" s="52" t="str">
        <f>N29</f>
        <v>1x20</v>
      </c>
      <c r="T29" s="53"/>
    </row>
    <row r="30" spans="2:23" s="1" customFormat="1" ht="19.899999999999999" customHeight="1" x14ac:dyDescent="0.25">
      <c r="B30" s="3">
        <v>8</v>
      </c>
      <c r="C30" s="567" t="s">
        <v>262</v>
      </c>
      <c r="D30" s="567"/>
      <c r="E30" s="568"/>
      <c r="G30" s="27"/>
      <c r="H30" s="28" t="s">
        <v>13</v>
      </c>
      <c r="I30" s="28" t="s">
        <v>7</v>
      </c>
      <c r="J30" s="29"/>
      <c r="L30" s="27"/>
      <c r="M30" s="28" t="s">
        <v>13</v>
      </c>
      <c r="N30" s="28" t="str">
        <f t="shared" si="0"/>
        <v>1x20</v>
      </c>
      <c r="O30" s="29"/>
      <c r="Q30" s="54"/>
      <c r="R30" s="56" t="s">
        <v>13</v>
      </c>
      <c r="S30" s="56" t="str">
        <f>N30</f>
        <v>1x20</v>
      </c>
      <c r="T30" s="57"/>
    </row>
    <row r="31" spans="2:23" s="1" customFormat="1" ht="19.899999999999999" customHeight="1" thickBot="1" x14ac:dyDescent="0.3">
      <c r="B31" s="4">
        <v>9</v>
      </c>
      <c r="C31" s="565" t="s">
        <v>265</v>
      </c>
      <c r="D31" s="565"/>
      <c r="E31" s="566"/>
      <c r="G31" s="24"/>
      <c r="H31" s="25" t="s">
        <v>13</v>
      </c>
      <c r="I31" s="25" t="s">
        <v>7</v>
      </c>
      <c r="J31" s="26"/>
      <c r="L31" s="24"/>
      <c r="M31" s="25" t="s">
        <v>13</v>
      </c>
      <c r="N31" s="25" t="str">
        <f t="shared" si="0"/>
        <v>1x20</v>
      </c>
      <c r="O31" s="26"/>
      <c r="Q31" s="46"/>
      <c r="R31" s="47" t="s">
        <v>13</v>
      </c>
      <c r="S31" s="25" t="str">
        <f>N31</f>
        <v>1x20</v>
      </c>
      <c r="T31" s="48"/>
    </row>
    <row r="32" spans="2:23" s="1" customFormat="1" ht="19.899999999999999" customHeight="1" x14ac:dyDescent="0.25">
      <c r="B32" s="9">
        <v>10</v>
      </c>
      <c r="C32" s="560" t="s">
        <v>489</v>
      </c>
      <c r="D32" s="560"/>
      <c r="E32" s="561"/>
      <c r="G32" s="21"/>
      <c r="H32" s="22" t="s">
        <v>13</v>
      </c>
      <c r="I32" s="22" t="s">
        <v>562</v>
      </c>
      <c r="J32" s="23"/>
      <c r="L32" s="21"/>
      <c r="M32" s="22" t="s">
        <v>13</v>
      </c>
      <c r="N32" s="22" t="s">
        <v>563</v>
      </c>
      <c r="O32" s="23"/>
      <c r="Q32" s="21"/>
      <c r="R32" s="22" t="s">
        <v>13</v>
      </c>
      <c r="S32" s="22" t="s">
        <v>564</v>
      </c>
      <c r="T32" s="23"/>
    </row>
    <row r="33" spans="2:22" s="1" customFormat="1" ht="19.899999999999999" customHeight="1" x14ac:dyDescent="0.25">
      <c r="B33" s="3">
        <v>11</v>
      </c>
      <c r="C33" s="567" t="s">
        <v>263</v>
      </c>
      <c r="D33" s="567"/>
      <c r="E33" s="568"/>
      <c r="G33" s="27"/>
      <c r="H33" s="28" t="s">
        <v>13</v>
      </c>
      <c r="I33" s="28" t="s">
        <v>592</v>
      </c>
      <c r="J33" s="29"/>
      <c r="L33" s="27"/>
      <c r="M33" s="28" t="s">
        <v>13</v>
      </c>
      <c r="N33" s="28" t="str">
        <f>I33</f>
        <v>1x20/ea</v>
      </c>
      <c r="O33" s="29"/>
      <c r="Q33" s="27"/>
      <c r="R33" s="28" t="s">
        <v>13</v>
      </c>
      <c r="S33" s="28" t="str">
        <f>N33</f>
        <v>1x20/ea</v>
      </c>
      <c r="T33" s="29"/>
    </row>
    <row r="34" spans="2:22" s="1" customFormat="1" ht="19.899999999999999" customHeight="1" thickBot="1" x14ac:dyDescent="0.3">
      <c r="B34" s="4">
        <v>12</v>
      </c>
      <c r="C34" s="565" t="s">
        <v>514</v>
      </c>
      <c r="D34" s="565"/>
      <c r="E34" s="566"/>
      <c r="G34" s="24"/>
      <c r="H34" s="25" t="s">
        <v>13</v>
      </c>
      <c r="I34" s="25" t="s">
        <v>592</v>
      </c>
      <c r="J34" s="26"/>
      <c r="L34" s="24"/>
      <c r="M34" s="25" t="s">
        <v>13</v>
      </c>
      <c r="N34" s="25" t="str">
        <f>I34</f>
        <v>1x20/ea</v>
      </c>
      <c r="O34" s="26"/>
      <c r="Q34" s="46"/>
      <c r="R34" s="47" t="s">
        <v>13</v>
      </c>
      <c r="S34" s="47" t="str">
        <f>N34</f>
        <v>1x20/ea</v>
      </c>
      <c r="T34" s="48"/>
    </row>
    <row r="35" spans="2:22" s="2" customFormat="1" ht="16.149999999999999" customHeight="1" thickBot="1" x14ac:dyDescent="0.3">
      <c r="B35" s="562" t="s">
        <v>874</v>
      </c>
      <c r="C35" s="563"/>
      <c r="D35" s="563"/>
      <c r="E35" s="564"/>
      <c r="F35" s="79"/>
      <c r="G35" s="557"/>
      <c r="H35" s="55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9"/>
    </row>
    <row r="36" spans="2:22" s="1" customFormat="1" ht="19.899999999999999" customHeight="1" x14ac:dyDescent="0.25">
      <c r="B36" s="9">
        <v>13</v>
      </c>
      <c r="C36" s="560" t="s">
        <v>521</v>
      </c>
      <c r="D36" s="560"/>
      <c r="E36" s="561"/>
      <c r="G36" s="21"/>
      <c r="H36" s="22" t="s">
        <v>13</v>
      </c>
      <c r="I36" s="22" t="s">
        <v>210</v>
      </c>
      <c r="J36" s="23"/>
      <c r="L36" s="21"/>
      <c r="M36" s="22" t="s">
        <v>13</v>
      </c>
      <c r="N36" s="22" t="s">
        <v>210</v>
      </c>
      <c r="O36" s="23"/>
      <c r="Q36" s="21"/>
      <c r="R36" s="22" t="s">
        <v>13</v>
      </c>
      <c r="S36" s="22" t="str">
        <f>N36</f>
        <v>1x60s</v>
      </c>
      <c r="T36" s="23"/>
    </row>
    <row r="37" spans="2:22" s="1" customFormat="1" ht="19.899999999999999" customHeight="1" x14ac:dyDescent="0.25">
      <c r="B37" s="3">
        <v>14</v>
      </c>
      <c r="C37" s="567" t="s">
        <v>524</v>
      </c>
      <c r="D37" s="567"/>
      <c r="E37" s="568"/>
      <c r="G37" s="18"/>
      <c r="H37" s="28" t="s">
        <v>13</v>
      </c>
      <c r="I37" s="19" t="s">
        <v>210</v>
      </c>
      <c r="J37" s="20"/>
      <c r="L37" s="18"/>
      <c r="M37" s="19" t="str">
        <f>H37</f>
        <v>8-9</v>
      </c>
      <c r="N37" s="19" t="str">
        <f>I37</f>
        <v>1x60s</v>
      </c>
      <c r="O37" s="20"/>
      <c r="Q37" s="18"/>
      <c r="R37" s="19" t="str">
        <f>M37</f>
        <v>8-9</v>
      </c>
      <c r="S37" s="19" t="str">
        <f>N37</f>
        <v>1x60s</v>
      </c>
      <c r="T37" s="20"/>
    </row>
    <row r="38" spans="2:22" s="1" customFormat="1" ht="19.899999999999999" customHeight="1" x14ac:dyDescent="0.25">
      <c r="B38" s="3">
        <v>15</v>
      </c>
      <c r="C38" s="567" t="s">
        <v>517</v>
      </c>
      <c r="D38" s="567"/>
      <c r="E38" s="568"/>
      <c r="G38" s="27"/>
      <c r="H38" s="28" t="s">
        <v>13</v>
      </c>
      <c r="I38" s="28" t="s">
        <v>210</v>
      </c>
      <c r="J38" s="29"/>
      <c r="L38" s="27"/>
      <c r="M38" s="28" t="s">
        <v>13</v>
      </c>
      <c r="N38" s="28" t="str">
        <f>I38</f>
        <v>1x60s</v>
      </c>
      <c r="O38" s="29"/>
      <c r="Q38" s="27"/>
      <c r="R38" s="28" t="s">
        <v>13</v>
      </c>
      <c r="S38" s="28" t="str">
        <f>N36</f>
        <v>1x60s</v>
      </c>
      <c r="T38" s="29"/>
    </row>
    <row r="39" spans="2:22" s="1" customFormat="1" ht="19.899999999999999" customHeight="1" thickBot="1" x14ac:dyDescent="0.3">
      <c r="B39" s="4">
        <v>16</v>
      </c>
      <c r="C39" s="571" t="s">
        <v>609</v>
      </c>
      <c r="D39" s="571"/>
      <c r="E39" s="572"/>
      <c r="F39" s="66"/>
      <c r="G39" s="24"/>
      <c r="H39" s="25" t="s">
        <v>13</v>
      </c>
      <c r="I39" s="25" t="s">
        <v>291</v>
      </c>
      <c r="J39" s="26"/>
      <c r="K39" s="66"/>
      <c r="L39" s="24"/>
      <c r="M39" s="25" t="s">
        <v>13</v>
      </c>
      <c r="N39" s="25" t="str">
        <f>I39</f>
        <v>1x60s/ea</v>
      </c>
      <c r="O39" s="26"/>
      <c r="P39" s="66"/>
      <c r="Q39" s="24"/>
      <c r="R39" s="25" t="s">
        <v>13</v>
      </c>
      <c r="S39" s="25" t="str">
        <f>I39</f>
        <v>1x60s/ea</v>
      </c>
      <c r="T39" s="26"/>
    </row>
    <row r="40" spans="2:22" x14ac:dyDescent="0.25">
      <c r="V40" s="1" t="s">
        <v>288</v>
      </c>
    </row>
    <row r="41" spans="2:22" x14ac:dyDescent="0.25">
      <c r="V41" s="1" t="s">
        <v>17</v>
      </c>
    </row>
    <row r="42" spans="2:22" x14ac:dyDescent="0.25">
      <c r="V42" s="1" t="s">
        <v>18</v>
      </c>
    </row>
    <row r="43" spans="2:22" x14ac:dyDescent="0.25">
      <c r="V43" s="1" t="s">
        <v>15</v>
      </c>
    </row>
    <row r="44" spans="2:22" x14ac:dyDescent="0.25">
      <c r="V44" s="1" t="s">
        <v>209</v>
      </c>
    </row>
    <row r="45" spans="2:22" x14ac:dyDescent="0.25">
      <c r="V45" s="1" t="s">
        <v>210</v>
      </c>
    </row>
    <row r="46" spans="2:22" x14ac:dyDescent="0.25">
      <c r="V46" s="1" t="s">
        <v>624</v>
      </c>
    </row>
    <row r="47" spans="2:22" x14ac:dyDescent="0.25">
      <c r="V47" s="1" t="s">
        <v>623</v>
      </c>
    </row>
    <row r="48" spans="2:22" x14ac:dyDescent="0.25">
      <c r="V48" s="1" t="s">
        <v>273</v>
      </c>
    </row>
    <row r="49" spans="22:22" x14ac:dyDescent="0.25">
      <c r="V49" s="1" t="s">
        <v>7</v>
      </c>
    </row>
    <row r="50" spans="22:22" x14ac:dyDescent="0.25">
      <c r="V50" s="1" t="s">
        <v>574</v>
      </c>
    </row>
  </sheetData>
  <mergeCells count="42">
    <mergeCell ref="C36:E36"/>
    <mergeCell ref="C37:E37"/>
    <mergeCell ref="C38:E38"/>
    <mergeCell ref="C39:E39"/>
    <mergeCell ref="S14:T14"/>
    <mergeCell ref="O14:R14"/>
    <mergeCell ref="C31:E31"/>
    <mergeCell ref="C32:E32"/>
    <mergeCell ref="C33:E33"/>
    <mergeCell ref="C34:E34"/>
    <mergeCell ref="B35:E35"/>
    <mergeCell ref="G35:T35"/>
    <mergeCell ref="C25:E25"/>
    <mergeCell ref="C26:E26"/>
    <mergeCell ref="C27:E27"/>
    <mergeCell ref="C28:E28"/>
    <mergeCell ref="C29:E29"/>
    <mergeCell ref="C30:E30"/>
    <mergeCell ref="C18:E18"/>
    <mergeCell ref="C19:E19"/>
    <mergeCell ref="C20:E20"/>
    <mergeCell ref="B22:E22"/>
    <mergeCell ref="C23:E23"/>
    <mergeCell ref="C24:E24"/>
    <mergeCell ref="B17:E17"/>
    <mergeCell ref="B14:D14"/>
    <mergeCell ref="E14:G14"/>
    <mergeCell ref="H14:J14"/>
    <mergeCell ref="L14:N14"/>
    <mergeCell ref="B15:E16"/>
    <mergeCell ref="G15:T15"/>
    <mergeCell ref="H16:I16"/>
    <mergeCell ref="M16:N16"/>
    <mergeCell ref="R16:S16"/>
    <mergeCell ref="O2:T7"/>
    <mergeCell ref="M10:N10"/>
    <mergeCell ref="B12:D12"/>
    <mergeCell ref="E12:G12"/>
    <mergeCell ref="H12:J12"/>
    <mergeCell ref="L12:N12"/>
    <mergeCell ref="O12:Q12"/>
    <mergeCell ref="R12:T12"/>
  </mergeCells>
  <dataValidations count="5">
    <dataValidation type="list" allowBlank="1" showInputMessage="1" showErrorMessage="1" sqref="N38:N39 I36:I38 S36 N36 S38" xr:uid="{00000000-0002-0000-0B00-000000000000}">
      <formula1>$V$40:$V$45</formula1>
    </dataValidation>
    <dataValidation type="list" allowBlank="1" showInputMessage="1" showErrorMessage="1" sqref="M23:M34 H23:H34 R23:R34 R38:R39 H36:H39 R36 M36 M38:M39" xr:uid="{00000000-0002-0000-0B00-000001000000}">
      <formula1>$W$22:$W$24</formula1>
    </dataValidation>
    <dataValidation type="list" allowBlank="1" showInputMessage="1" showErrorMessage="1" sqref="I24 N27 S31" xr:uid="{00000000-0002-0000-0B00-000002000000}">
      <formula1>$V$40:$V$50</formula1>
    </dataValidation>
    <dataValidation type="list" allowBlank="1" showInputMessage="1" showErrorMessage="1" sqref="N31" xr:uid="{00000000-0002-0000-0B00-000003000000}">
      <formula1>$V$40:$V$51</formula1>
    </dataValidation>
    <dataValidation type="list" allowBlank="1" showInputMessage="1" showErrorMessage="1" sqref="I31" xr:uid="{00000000-0002-0000-0B00-000004000000}">
      <formula1>$V$40:$V$47</formula1>
    </dataValidation>
  </dataValidation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1">
        <x14:dataValidation type="list" allowBlank="1" showInputMessage="1" showErrorMessage="1" xr:uid="{00000000-0002-0000-0B00-000005000000}">
          <x14:formula1>
            <xm:f>'Oberkörper Progressionen '!$I:$I</xm:f>
          </x14:formula1>
          <xm:sqref>C27:E27</xm:sqref>
        </x14:dataValidation>
        <x14:dataValidation type="list" allowBlank="1" showInputMessage="1" showErrorMessage="1" xr:uid="{00000000-0002-0000-0B00-000006000000}">
          <x14:formula1>
            <xm:f>'Oberkörper Progressionen '!$G:$G</xm:f>
          </x14:formula1>
          <xm:sqref>C25:E25</xm:sqref>
        </x14:dataValidation>
        <x14:dataValidation type="list" allowBlank="1" showInputMessage="1" showErrorMessage="1" xr:uid="{00000000-0002-0000-0B00-000007000000}">
          <x14:formula1>
            <xm:f>'Oberkörper Progressionen '!$M:$M</xm:f>
          </x14:formula1>
          <xm:sqref>C31:E31</xm:sqref>
        </x14:dataValidation>
        <x14:dataValidation type="list" allowBlank="1" showInputMessage="1" showErrorMessage="1" xr:uid="{00000000-0002-0000-0B00-000008000000}">
          <x14:formula1>
            <xm:f>'Oberkörper Progressionen '!$J:$J</xm:f>
          </x14:formula1>
          <xm:sqref>C28:E28</xm:sqref>
        </x14:dataValidation>
        <x14:dataValidation type="list" allowBlank="1" showInputMessage="1" showErrorMessage="1" xr:uid="{00000000-0002-0000-0B00-000009000000}">
          <x14:formula1>
            <xm:f>'Oberkörper Progressionen '!$H:$H</xm:f>
          </x14:formula1>
          <xm:sqref>C26:E26</xm:sqref>
        </x14:dataValidation>
        <x14:dataValidation type="list" allowBlank="1" showInputMessage="1" showErrorMessage="1" xr:uid="{00000000-0002-0000-0B00-00000A000000}">
          <x14:formula1>
            <xm:f>'Oberkörper Progressionen '!$T:$T</xm:f>
          </x14:formula1>
          <xm:sqref>C37:E37</xm:sqref>
        </x14:dataValidation>
        <x14:dataValidation type="list" allowBlank="1" showInputMessage="1" showErrorMessage="1" xr:uid="{00000000-0002-0000-0B00-00000C000000}">
          <x14:formula1>
            <xm:f>'Oberkörper Progressionen '!$E:$E</xm:f>
          </x14:formula1>
          <xm:sqref>C23:E23</xm:sqref>
        </x14:dataValidation>
        <x14:dataValidation type="list" allowBlank="1" showInputMessage="1" showErrorMessage="1" xr:uid="{00000000-0002-0000-0B00-00000D000000}">
          <x14:formula1>
            <xm:f>'Oberkörper Progressionen '!$F:$F</xm:f>
          </x14:formula1>
          <xm:sqref>C24:E24</xm:sqref>
        </x14:dataValidation>
        <x14:dataValidation type="list" allowBlank="1" showInputMessage="1" showErrorMessage="1" xr:uid="{00000000-0002-0000-0B00-00000E000000}">
          <x14:formula1>
            <xm:f>'Oberkörper Progressionen '!$K:$K</xm:f>
          </x14:formula1>
          <xm:sqref>C29:E29</xm:sqref>
        </x14:dataValidation>
        <x14:dataValidation type="list" allowBlank="1" showInputMessage="1" showErrorMessage="1" xr:uid="{00000000-0002-0000-0B00-00000F000000}">
          <x14:formula1>
            <xm:f>'Oberkörper Progressionen '!$L:$L</xm:f>
          </x14:formula1>
          <xm:sqref>C30:E30</xm:sqref>
        </x14:dataValidation>
        <x14:dataValidation type="list" allowBlank="1" showInputMessage="1" showErrorMessage="1" xr:uid="{00000000-0002-0000-0B00-000010000000}">
          <x14:formula1>
            <xm:f>'Oberkörper Progressionen '!$N:$N</xm:f>
          </x14:formula1>
          <xm:sqref>C32:E32</xm:sqref>
        </x14:dataValidation>
        <x14:dataValidation type="list" allowBlank="1" showInputMessage="1" showErrorMessage="1" xr:uid="{00000000-0002-0000-0B00-000011000000}">
          <x14:formula1>
            <xm:f>'Oberkörper Progressionen '!$O:$O</xm:f>
          </x14:formula1>
          <xm:sqref>C33:E33</xm:sqref>
        </x14:dataValidation>
        <x14:dataValidation type="list" allowBlank="1" showInputMessage="1" showErrorMessage="1" xr:uid="{00000000-0002-0000-0B00-000012000000}">
          <x14:formula1>
            <xm:f>'Oberkörper Progressionen '!$Q:$Q</xm:f>
          </x14:formula1>
          <xm:sqref>C38:E38</xm:sqref>
        </x14:dataValidation>
        <x14:dataValidation type="list" allowBlank="1" showInputMessage="1" showErrorMessage="1" xr:uid="{00000000-0002-0000-0B00-000013000000}">
          <x14:formula1>
            <xm:f>'Oberkörper Progressionen '!$R:$R</xm:f>
          </x14:formula1>
          <xm:sqref>C36:E36</xm:sqref>
        </x14:dataValidation>
        <x14:dataValidation type="list" allowBlank="1" showInputMessage="1" showErrorMessage="1" xr:uid="{00000000-0002-0000-0B00-000014000000}">
          <x14:formula1>
            <xm:f>'Oberkörper Progressionen '!$S:$S</xm:f>
          </x14:formula1>
          <xm:sqref>C39:E39</xm:sqref>
        </x14:dataValidation>
        <x14:dataValidation type="list" allowBlank="1" showInputMessage="1" showErrorMessage="1" xr:uid="{00000000-0002-0000-0B00-000015000000}">
          <x14:formula1>
            <xm:f>'Oberkörper Progressionen '!$B:$B</xm:f>
          </x14:formula1>
          <xm:sqref>C18:E18</xm:sqref>
        </x14:dataValidation>
        <x14:dataValidation type="list" allowBlank="1" showInputMessage="1" showErrorMessage="1" xr:uid="{00000000-0002-0000-0B00-000017000000}">
          <x14:formula1>
            <xm:f>'Oberkörper Progressionen '!$P:$P</xm:f>
          </x14:formula1>
          <xm:sqref>C34:E34</xm:sqref>
        </x14:dataValidation>
        <x14:dataValidation type="list" allowBlank="1" showInputMessage="1" showErrorMessage="1" xr:uid="{00000000-0002-0000-0B00-00000B000000}">
          <x14:formula1>
            <xm:f>'Oberkörper Progressionen '!$D:$D</xm:f>
          </x14:formula1>
          <xm:sqref>C20:E20</xm:sqref>
        </x14:dataValidation>
        <x14:dataValidation type="list" allowBlank="1" showInputMessage="1" showErrorMessage="1" xr:uid="{00000000-0002-0000-0B00-000016000000}">
          <x14:formula1>
            <xm:f>'Oberkörper Progressionen '!$C:$C</xm:f>
          </x14:formula1>
          <xm:sqref>C19:E19</xm:sqref>
        </x14:dataValidation>
        <x14:dataValidation type="list" allowBlank="1" showInputMessage="1" showErrorMessage="1" xr:uid="{00000000-0002-0000-0B00-000018000000}">
          <x14:formula1>
            <xm:f>'BH1-2 Progressionen'!$M:$M</xm:f>
          </x14:formula1>
          <xm:sqref>S14</xm:sqref>
        </x14:dataValidation>
        <x14:dataValidation type="list" allowBlank="1" showInputMessage="1" showErrorMessage="1" xr:uid="{00000000-0002-0000-0B00-000019000000}">
          <x14:formula1>
            <xm:f>'BH1-2 Progressionen'!$L:$L</xm:f>
          </x14:formula1>
          <xm:sqref>O14</xm:sqref>
        </x14:dataValidation>
        <x14:dataValidation type="list" allowBlank="1" showInputMessage="1" showErrorMessage="1" xr:uid="{00000000-0002-0000-0B00-00001A000000}">
          <x14:formula1>
            <xm:f>'BH1-2 Progressionen'!$K:$K</xm:f>
          </x14:formula1>
          <xm:sqref>L14:N14</xm:sqref>
        </x14:dataValidation>
        <x14:dataValidation type="list" allowBlank="1" showInputMessage="1" showErrorMessage="1" xr:uid="{00000000-0002-0000-0B00-00001B000000}">
          <x14:formula1>
            <xm:f>'BH1-2 Progressionen'!$J:$J</xm:f>
          </x14:formula1>
          <xm:sqref>H14:J14</xm:sqref>
        </x14:dataValidation>
        <x14:dataValidation type="list" allowBlank="1" showInputMessage="1" showErrorMessage="1" xr:uid="{00000000-0002-0000-0B00-00001C000000}">
          <x14:formula1>
            <xm:f>'BH1-2 Progressionen'!$I:$I</xm:f>
          </x14:formula1>
          <xm:sqref>E14:G14</xm:sqref>
        </x14:dataValidation>
        <x14:dataValidation type="list" allowBlank="1" showInputMessage="1" showErrorMessage="1" xr:uid="{00000000-0002-0000-0B00-00001D000000}">
          <x14:formula1>
            <xm:f>'BH1-2 Progressionen'!$H:$H</xm:f>
          </x14:formula1>
          <xm:sqref>B14:D14</xm:sqref>
        </x14:dataValidation>
        <x14:dataValidation type="list" allowBlank="1" showInputMessage="1" showErrorMessage="1" xr:uid="{00000000-0002-0000-0B00-00001E000000}">
          <x14:formula1>
            <xm:f>'BH1-2 Progressionen'!$G:$G</xm:f>
          </x14:formula1>
          <xm:sqref>R12:T13</xm:sqref>
        </x14:dataValidation>
        <x14:dataValidation type="list" allowBlank="1" showInputMessage="1" showErrorMessage="1" xr:uid="{00000000-0002-0000-0B00-00001F000000}">
          <x14:formula1>
            <xm:f>'BH1-2 Progressionen'!$F:$F</xm:f>
          </x14:formula1>
          <xm:sqref>O12:Q13</xm:sqref>
        </x14:dataValidation>
        <x14:dataValidation type="list" allowBlank="1" showInputMessage="1" showErrorMessage="1" xr:uid="{00000000-0002-0000-0B00-000020000000}">
          <x14:formula1>
            <xm:f>'BH1-2 Progressionen'!$E:$E</xm:f>
          </x14:formula1>
          <xm:sqref>L12:N13</xm:sqref>
        </x14:dataValidation>
        <x14:dataValidation type="list" allowBlank="1" showInputMessage="1" showErrorMessage="1" xr:uid="{00000000-0002-0000-0B00-000021000000}">
          <x14:formula1>
            <xm:f>'BH1-2 Progressionen'!$B:$B</xm:f>
          </x14:formula1>
          <xm:sqref>B12:B13</xm:sqref>
        </x14:dataValidation>
        <x14:dataValidation type="list" allowBlank="1" showInputMessage="1" showErrorMessage="1" xr:uid="{00000000-0002-0000-0B00-000022000000}">
          <x14:formula1>
            <xm:f>'BH1-2 Progressionen'!$C:$C</xm:f>
          </x14:formula1>
          <xm:sqref>E12:E13</xm:sqref>
        </x14:dataValidation>
        <x14:dataValidation type="list" allowBlank="1" showInputMessage="1" showErrorMessage="1" xr:uid="{00000000-0002-0000-0B00-000023000000}">
          <x14:formula1>
            <xm:f>'BH1-2 Progressionen'!$D:$D</xm:f>
          </x14:formula1>
          <xm:sqref>H12:H13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X54"/>
  <sheetViews>
    <sheetView topLeftCell="A18" zoomScale="98" zoomScaleNormal="90" workbookViewId="0">
      <selection activeCell="I38" sqref="I38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ht="16.5" hidden="1" thickBot="1" x14ac:dyDescent="0.3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">
        <v>144</v>
      </c>
      <c r="C13" s="631"/>
      <c r="D13" s="631"/>
      <c r="E13" s="633" t="s">
        <v>295</v>
      </c>
      <c r="F13" s="634"/>
      <c r="G13" s="631" t="s">
        <v>20</v>
      </c>
      <c r="H13" s="631"/>
      <c r="I13" s="631"/>
      <c r="J13" s="631" t="s">
        <v>26</v>
      </c>
      <c r="K13" s="631"/>
      <c r="L13" s="631"/>
      <c r="M13" s="631"/>
      <c r="N13" s="631" t="s">
        <v>690</v>
      </c>
      <c r="O13" s="631"/>
      <c r="P13" s="631"/>
      <c r="Q13" s="631"/>
      <c r="R13" s="631" t="s">
        <v>346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">
        <v>150</v>
      </c>
      <c r="C15" s="553"/>
      <c r="D15" s="553"/>
      <c r="E15" s="625" t="s">
        <v>152</v>
      </c>
      <c r="F15" s="626"/>
      <c r="G15" s="553" t="s">
        <v>298</v>
      </c>
      <c r="H15" s="553"/>
      <c r="I15" s="553"/>
      <c r="J15" s="553" t="s">
        <v>138</v>
      </c>
      <c r="K15" s="553"/>
      <c r="L15" s="553"/>
      <c r="M15" s="553"/>
      <c r="N15" s="553" t="s">
        <v>67</v>
      </c>
      <c r="O15" s="553"/>
      <c r="P15" s="553"/>
      <c r="Q15" s="553"/>
      <c r="R15" s="553" t="s">
        <v>749</v>
      </c>
      <c r="S15" s="553"/>
      <c r="T15" s="556"/>
    </row>
    <row r="16" spans="2:23" ht="4.9000000000000004" hidden="1" customHeight="1" thickBot="1" x14ac:dyDescent="0.3"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2:24" ht="18" customHeight="1" thickBot="1" x14ac:dyDescent="0.3">
      <c r="B17" s="619" t="s">
        <v>366</v>
      </c>
      <c r="C17" s="620"/>
      <c r="D17" s="620"/>
      <c r="E17" s="621"/>
      <c r="F17" s="310"/>
      <c r="G17" s="562" t="s">
        <v>116</v>
      </c>
      <c r="H17" s="563"/>
      <c r="I17" s="563"/>
      <c r="J17" s="563"/>
      <c r="K17" s="563"/>
      <c r="L17" s="563"/>
      <c r="M17" s="563"/>
      <c r="N17" s="563"/>
      <c r="O17" s="563"/>
      <c r="P17" s="563"/>
      <c r="Q17" s="563"/>
      <c r="R17" s="563"/>
      <c r="S17" s="563"/>
      <c r="T17" s="564"/>
    </row>
    <row r="18" spans="2:24" ht="21.6" customHeight="1" thickBot="1" x14ac:dyDescent="0.3">
      <c r="B18" s="622"/>
      <c r="C18" s="623"/>
      <c r="D18" s="623"/>
      <c r="E18" s="624"/>
      <c r="F18" s="1"/>
      <c r="G18" s="70" t="s">
        <v>865</v>
      </c>
      <c r="H18" s="582" t="s">
        <v>877</v>
      </c>
      <c r="I18" s="583"/>
      <c r="J18" s="71" t="s">
        <v>866</v>
      </c>
      <c r="K18" s="64"/>
      <c r="L18" s="70" t="s">
        <v>867</v>
      </c>
      <c r="M18" s="582" t="s">
        <v>878</v>
      </c>
      <c r="N18" s="583"/>
      <c r="O18" s="71" t="s">
        <v>868</v>
      </c>
      <c r="P18" s="64"/>
      <c r="Q18" s="70" t="s">
        <v>869</v>
      </c>
      <c r="R18" s="595" t="s">
        <v>879</v>
      </c>
      <c r="S18" s="596"/>
      <c r="T18" s="71" t="s">
        <v>870</v>
      </c>
      <c r="W18" s="36"/>
      <c r="X18" s="1"/>
    </row>
    <row r="19" spans="2:24" ht="18" customHeight="1" thickBot="1" x14ac:dyDescent="0.3">
      <c r="B19" s="613" t="s">
        <v>8</v>
      </c>
      <c r="C19" s="614"/>
      <c r="D19" s="614"/>
      <c r="E19" s="615"/>
      <c r="F19" s="72"/>
      <c r="G19" s="529" t="s">
        <v>880</v>
      </c>
      <c r="H19" s="530" t="s">
        <v>9</v>
      </c>
      <c r="I19" s="530" t="s">
        <v>11</v>
      </c>
      <c r="J19" s="531" t="s">
        <v>880</v>
      </c>
      <c r="K19" s="1"/>
      <c r="L19" s="529" t="s">
        <v>9</v>
      </c>
      <c r="M19" s="530" t="s">
        <v>10</v>
      </c>
      <c r="N19" s="530" t="s">
        <v>11</v>
      </c>
      <c r="O19" s="531" t="s">
        <v>880</v>
      </c>
      <c r="P19" s="1"/>
      <c r="Q19" s="532" t="s">
        <v>9</v>
      </c>
      <c r="R19" s="533" t="s">
        <v>10</v>
      </c>
      <c r="S19" s="533" t="s">
        <v>11</v>
      </c>
      <c r="T19" s="534" t="s">
        <v>880</v>
      </c>
      <c r="W19" s="37"/>
      <c r="X19" s="1"/>
    </row>
    <row r="20" spans="2:24" s="1" customFormat="1" ht="19.899999999999999" customHeight="1" x14ac:dyDescent="0.25">
      <c r="B20" s="9">
        <v>1</v>
      </c>
      <c r="C20" s="560" t="s">
        <v>97</v>
      </c>
      <c r="D20" s="560"/>
      <c r="E20" s="561"/>
      <c r="G20" s="18"/>
      <c r="H20" s="22" t="s">
        <v>12</v>
      </c>
      <c r="I20" s="19" t="s">
        <v>14</v>
      </c>
      <c r="J20" s="20" t="s">
        <v>16</v>
      </c>
      <c r="L20" s="18" t="s">
        <v>12</v>
      </c>
      <c r="M20" s="19"/>
      <c r="N20" s="19" t="s">
        <v>14</v>
      </c>
      <c r="O20" s="20" t="s">
        <v>16</v>
      </c>
      <c r="Q20" s="43" t="s">
        <v>12</v>
      </c>
      <c r="R20" s="44"/>
      <c r="S20" s="44" t="s">
        <v>14</v>
      </c>
      <c r="T20" s="45" t="s">
        <v>16</v>
      </c>
      <c r="W20" s="36"/>
    </row>
    <row r="21" spans="2:24" s="1" customFormat="1" ht="19.899999999999999" customHeight="1" x14ac:dyDescent="0.25">
      <c r="B21" s="3">
        <v>2</v>
      </c>
      <c r="C21" s="567" t="s">
        <v>106</v>
      </c>
      <c r="D21" s="567"/>
      <c r="E21" s="568"/>
      <c r="G21" s="67"/>
      <c r="H21" s="28" t="s">
        <v>12</v>
      </c>
      <c r="I21" s="68" t="s">
        <v>14</v>
      </c>
      <c r="J21" s="69" t="s">
        <v>725</v>
      </c>
      <c r="L21" s="67" t="s">
        <v>12</v>
      </c>
      <c r="M21" s="68"/>
      <c r="N21" s="68" t="s">
        <v>14</v>
      </c>
      <c r="O21" s="69" t="str">
        <f>J21</f>
        <v>2kg</v>
      </c>
      <c r="Q21" s="75" t="s">
        <v>12</v>
      </c>
      <c r="R21" s="76"/>
      <c r="S21" s="76" t="s">
        <v>14</v>
      </c>
      <c r="T21" s="77" t="str">
        <f>J21</f>
        <v>2kg</v>
      </c>
      <c r="W21" s="36"/>
    </row>
    <row r="22" spans="2:24" s="1" customFormat="1" ht="19.899999999999999" customHeight="1" thickBot="1" x14ac:dyDescent="0.3">
      <c r="B22" s="4">
        <v>3</v>
      </c>
      <c r="C22" s="565" t="s">
        <v>107</v>
      </c>
      <c r="D22" s="565"/>
      <c r="E22" s="566"/>
      <c r="G22" s="24"/>
      <c r="H22" s="25" t="s">
        <v>12</v>
      </c>
      <c r="I22" s="25" t="s">
        <v>14</v>
      </c>
      <c r="J22" s="26" t="s">
        <v>725</v>
      </c>
      <c r="L22" s="24" t="s">
        <v>12</v>
      </c>
      <c r="M22" s="25"/>
      <c r="N22" s="25" t="s">
        <v>14</v>
      </c>
      <c r="O22" s="26" t="str">
        <f>J22</f>
        <v>2kg</v>
      </c>
      <c r="Q22" s="46" t="s">
        <v>12</v>
      </c>
      <c r="R22" s="47"/>
      <c r="S22" s="47" t="s">
        <v>14</v>
      </c>
      <c r="T22" s="48" t="str">
        <f>J22</f>
        <v>2kg</v>
      </c>
    </row>
    <row r="23" spans="2:24" s="2" customFormat="1" ht="4.9000000000000004" customHeight="1" thickBot="1" x14ac:dyDescent="0.3">
      <c r="B23" s="73"/>
      <c r="G23" s="1"/>
      <c r="H23" s="1"/>
      <c r="Q23" s="49"/>
      <c r="R23" s="49"/>
      <c r="S23" s="49"/>
      <c r="T23" s="74"/>
      <c r="X23" s="1"/>
    </row>
    <row r="24" spans="2:24" s="1" customFormat="1" ht="18" customHeight="1" thickBot="1" x14ac:dyDescent="0.3">
      <c r="B24" s="616" t="s">
        <v>882</v>
      </c>
      <c r="C24" s="617"/>
      <c r="D24" s="617"/>
      <c r="E24" s="618"/>
      <c r="G24" s="511" t="s">
        <v>880</v>
      </c>
      <c r="H24" s="512" t="s">
        <v>9</v>
      </c>
      <c r="I24" s="512" t="s">
        <v>897</v>
      </c>
      <c r="J24" s="513" t="s">
        <v>880</v>
      </c>
      <c r="L24" s="511" t="str">
        <f>G24</f>
        <v>GEWICHT</v>
      </c>
      <c r="M24" s="512" t="s">
        <v>9</v>
      </c>
      <c r="N24" s="512" t="str">
        <f>I24</f>
        <v>SxR/RPE 8-9</v>
      </c>
      <c r="O24" s="513" t="s">
        <v>880</v>
      </c>
      <c r="Q24" s="514" t="str">
        <f>L24</f>
        <v>GEWICHT</v>
      </c>
      <c r="R24" s="515" t="s">
        <v>9</v>
      </c>
      <c r="S24" s="512" t="str">
        <f>I24</f>
        <v>SxR/RPE 8-9</v>
      </c>
      <c r="T24" s="516" t="s">
        <v>880</v>
      </c>
    </row>
    <row r="25" spans="2:24" s="1" customFormat="1" ht="19.899999999999999" customHeight="1" x14ac:dyDescent="0.25">
      <c r="B25" s="9">
        <v>1</v>
      </c>
      <c r="C25" s="560" t="s">
        <v>365</v>
      </c>
      <c r="D25" s="560"/>
      <c r="E25" s="561"/>
      <c r="G25" s="21"/>
      <c r="H25" s="22" t="s">
        <v>888</v>
      </c>
      <c r="I25" s="28" t="s">
        <v>7</v>
      </c>
      <c r="J25" s="23"/>
      <c r="L25" s="21"/>
      <c r="M25" s="22" t="str">
        <f t="shared" ref="M25:M26" si="0">H25</f>
        <v>3-1-1-0</v>
      </c>
      <c r="N25" s="22" t="str">
        <f>I25</f>
        <v>1x20</v>
      </c>
      <c r="O25" s="23"/>
      <c r="Q25" s="50"/>
      <c r="R25" s="52" t="str">
        <f t="shared" ref="R25:R26" si="1">M25</f>
        <v>3-1-1-0</v>
      </c>
      <c r="S25" s="52" t="str">
        <f>N25</f>
        <v>1x20</v>
      </c>
      <c r="T25" s="53"/>
    </row>
    <row r="26" spans="2:24" s="1" customFormat="1" ht="19.899999999999999" customHeight="1" x14ac:dyDescent="0.25">
      <c r="B26" s="3">
        <v>2</v>
      </c>
      <c r="C26" s="567" t="s">
        <v>266</v>
      </c>
      <c r="D26" s="567"/>
      <c r="E26" s="568"/>
      <c r="G26" s="27"/>
      <c r="H26" s="28" t="s">
        <v>888</v>
      </c>
      <c r="I26" s="28" t="s">
        <v>7</v>
      </c>
      <c r="J26" s="29"/>
      <c r="L26" s="27"/>
      <c r="M26" s="28" t="str">
        <f t="shared" si="0"/>
        <v>3-1-1-0</v>
      </c>
      <c r="N26" s="28" t="str">
        <f>I26</f>
        <v>1x20</v>
      </c>
      <c r="O26" s="29"/>
      <c r="Q26" s="54"/>
      <c r="R26" s="56" t="str">
        <f t="shared" si="1"/>
        <v>3-1-1-0</v>
      </c>
      <c r="S26" s="56" t="str">
        <f>N26</f>
        <v>1x20</v>
      </c>
      <c r="T26" s="57"/>
    </row>
    <row r="27" spans="2:24" s="1" customFormat="1" ht="19.899999999999999" customHeight="1" thickBot="1" x14ac:dyDescent="0.3">
      <c r="B27" s="4">
        <v>3</v>
      </c>
      <c r="C27" s="565" t="s">
        <v>49</v>
      </c>
      <c r="D27" s="565"/>
      <c r="E27" s="566"/>
      <c r="G27" s="24"/>
      <c r="H27" s="25" t="s">
        <v>900</v>
      </c>
      <c r="I27" s="25" t="s">
        <v>7</v>
      </c>
      <c r="J27" s="26"/>
      <c r="L27" s="24"/>
      <c r="M27" s="25" t="str">
        <f>H27</f>
        <v>ISO</v>
      </c>
      <c r="N27" s="25" t="str">
        <f>I27</f>
        <v>1x20</v>
      </c>
      <c r="O27" s="26"/>
      <c r="Q27" s="46"/>
      <c r="R27" s="47" t="str">
        <f>H27</f>
        <v>ISO</v>
      </c>
      <c r="S27" s="47" t="str">
        <f>N27</f>
        <v>1x20</v>
      </c>
      <c r="T27" s="48"/>
    </row>
    <row r="28" spans="2:24" s="2" customFormat="1" ht="4.9000000000000004" customHeight="1" thickBot="1" x14ac:dyDescent="0.3">
      <c r="B28" s="73"/>
      <c r="G28" s="1"/>
      <c r="H28" s="1"/>
      <c r="L28" s="1"/>
      <c r="M28" s="1"/>
      <c r="Q28" s="547"/>
      <c r="R28" s="547"/>
      <c r="S28" s="49"/>
      <c r="T28" s="74"/>
    </row>
    <row r="29" spans="2:24" s="1" customFormat="1" ht="19.899999999999999" customHeight="1" x14ac:dyDescent="0.25">
      <c r="B29" s="9">
        <v>4</v>
      </c>
      <c r="C29" s="560" t="s">
        <v>387</v>
      </c>
      <c r="D29" s="560"/>
      <c r="E29" s="561"/>
      <c r="G29" s="21"/>
      <c r="H29" s="22" t="s">
        <v>888</v>
      </c>
      <c r="I29" s="22" t="s">
        <v>7</v>
      </c>
      <c r="J29" s="23"/>
      <c r="L29" s="21"/>
      <c r="M29" s="22" t="str">
        <f t="shared" ref="M29:M30" si="2">H29</f>
        <v>3-1-1-0</v>
      </c>
      <c r="N29" s="22" t="str">
        <f>I29</f>
        <v>1x20</v>
      </c>
      <c r="O29" s="23"/>
      <c r="Q29" s="50"/>
      <c r="R29" s="52" t="str">
        <f>H29</f>
        <v>3-1-1-0</v>
      </c>
      <c r="S29" s="52" t="str">
        <f>N29</f>
        <v>1x20</v>
      </c>
      <c r="T29" s="53"/>
    </row>
    <row r="30" spans="2:24" s="1" customFormat="1" ht="19.899999999999999" customHeight="1" x14ac:dyDescent="0.25">
      <c r="B30" s="3">
        <v>5</v>
      </c>
      <c r="C30" s="567" t="s">
        <v>394</v>
      </c>
      <c r="D30" s="567"/>
      <c r="E30" s="568"/>
      <c r="G30" s="27"/>
      <c r="H30" s="28" t="s">
        <v>889</v>
      </c>
      <c r="I30" s="28" t="s">
        <v>7</v>
      </c>
      <c r="J30" s="29"/>
      <c r="L30" s="27"/>
      <c r="M30" s="28" t="str">
        <f t="shared" si="2"/>
        <v>3-1-1-1</v>
      </c>
      <c r="N30" s="28" t="str">
        <f>I30</f>
        <v>1x20</v>
      </c>
      <c r="O30" s="29"/>
      <c r="Q30" s="54"/>
      <c r="R30" s="56" t="str">
        <f>H29</f>
        <v>3-1-1-0</v>
      </c>
      <c r="S30" s="28" t="str">
        <f>N30</f>
        <v>1x20</v>
      </c>
      <c r="T30" s="57"/>
    </row>
    <row r="31" spans="2:24" s="1" customFormat="1" ht="19.899999999999999" customHeight="1" thickBot="1" x14ac:dyDescent="0.3">
      <c r="B31" s="4">
        <v>6</v>
      </c>
      <c r="C31" s="565" t="s">
        <v>402</v>
      </c>
      <c r="D31" s="565"/>
      <c r="E31" s="566"/>
      <c r="G31" s="24"/>
      <c r="H31" s="25" t="s">
        <v>890</v>
      </c>
      <c r="I31" s="25" t="s">
        <v>715</v>
      </c>
      <c r="J31" s="26"/>
      <c r="L31" s="24"/>
      <c r="M31" s="25" t="str">
        <f>H31</f>
        <v>2-1-1-0</v>
      </c>
      <c r="N31" s="25" t="str">
        <f>I31</f>
        <v>3x10s ea</v>
      </c>
      <c r="O31" s="26"/>
      <c r="Q31" s="46"/>
      <c r="R31" s="47" t="str">
        <f>H31</f>
        <v>2-1-1-0</v>
      </c>
      <c r="S31" s="47" t="str">
        <f>N31</f>
        <v>3x10s ea</v>
      </c>
      <c r="T31" s="48"/>
    </row>
    <row r="32" spans="2:24" s="1" customFormat="1" ht="5.0999999999999996" customHeight="1" thickBot="1" x14ac:dyDescent="0.3">
      <c r="B32" s="4"/>
      <c r="C32" s="66"/>
      <c r="D32" s="66"/>
      <c r="E32" s="113"/>
      <c r="G32" s="4"/>
      <c r="H32" s="66"/>
      <c r="I32" s="66"/>
      <c r="J32" s="66"/>
      <c r="L32" s="66"/>
      <c r="M32" s="66"/>
      <c r="N32" s="66"/>
      <c r="O32" s="66"/>
      <c r="Q32" s="115"/>
      <c r="R32" s="115"/>
      <c r="S32" s="115"/>
      <c r="T32" s="116"/>
    </row>
    <row r="33" spans="2:22" s="2" customFormat="1" ht="18" customHeight="1" thickBot="1" x14ac:dyDescent="0.3">
      <c r="B33" s="610" t="s">
        <v>883</v>
      </c>
      <c r="C33" s="611"/>
      <c r="D33" s="611"/>
      <c r="E33" s="612"/>
      <c r="F33" s="64"/>
      <c r="G33" s="541" t="s">
        <v>880</v>
      </c>
      <c r="H33" s="542" t="s">
        <v>9</v>
      </c>
      <c r="I33" s="542" t="s">
        <v>897</v>
      </c>
      <c r="J33" s="543" t="s">
        <v>880</v>
      </c>
      <c r="K33" s="1"/>
      <c r="L33" s="541" t="s">
        <v>880</v>
      </c>
      <c r="M33" s="542" t="s">
        <v>9</v>
      </c>
      <c r="N33" s="542" t="str">
        <f>I33</f>
        <v>SxR/RPE 8-9</v>
      </c>
      <c r="O33" s="543" t="s">
        <v>880</v>
      </c>
      <c r="P33" s="1"/>
      <c r="Q33" s="541" t="s">
        <v>880</v>
      </c>
      <c r="R33" s="542" t="s">
        <v>9</v>
      </c>
      <c r="S33" s="542" t="str">
        <f>I33</f>
        <v>SxR/RPE 8-9</v>
      </c>
      <c r="T33" s="543" t="s">
        <v>880</v>
      </c>
    </row>
    <row r="34" spans="2:22" s="1" customFormat="1" ht="19.899999999999999" customHeight="1" x14ac:dyDescent="0.25">
      <c r="B34" s="9">
        <v>7</v>
      </c>
      <c r="C34" s="560" t="s">
        <v>470</v>
      </c>
      <c r="D34" s="560"/>
      <c r="E34" s="561"/>
      <c r="G34" s="21"/>
      <c r="H34" s="22" t="s">
        <v>889</v>
      </c>
      <c r="I34" s="22" t="s">
        <v>7</v>
      </c>
      <c r="J34" s="23"/>
      <c r="L34" s="21"/>
      <c r="M34" s="22" t="str">
        <f t="shared" ref="M34:M36" si="3">H34</f>
        <v>3-1-1-1</v>
      </c>
      <c r="N34" s="22" t="str">
        <f>I34</f>
        <v>1x20</v>
      </c>
      <c r="O34" s="23"/>
      <c r="Q34" s="50"/>
      <c r="R34" s="52" t="str">
        <f>H34</f>
        <v>3-1-1-1</v>
      </c>
      <c r="S34" s="52" t="str">
        <f>I34</f>
        <v>1x20</v>
      </c>
      <c r="T34" s="53"/>
    </row>
    <row r="35" spans="2:22" s="1" customFormat="1" ht="19.899999999999999" customHeight="1" x14ac:dyDescent="0.25">
      <c r="B35" s="3">
        <v>8</v>
      </c>
      <c r="C35" s="567" t="s">
        <v>32</v>
      </c>
      <c r="D35" s="567"/>
      <c r="E35" s="568"/>
      <c r="G35" s="27"/>
      <c r="H35" s="28" t="s">
        <v>900</v>
      </c>
      <c r="I35" s="28" t="s">
        <v>715</v>
      </c>
      <c r="J35" s="29"/>
      <c r="L35" s="27"/>
      <c r="M35" s="28" t="str">
        <f t="shared" si="3"/>
        <v>ISO</v>
      </c>
      <c r="N35" s="28" t="str">
        <f>I35</f>
        <v>3x10s ea</v>
      </c>
      <c r="O35" s="29"/>
      <c r="Q35" s="54"/>
      <c r="R35" s="56" t="str">
        <f>H35</f>
        <v>ISO</v>
      </c>
      <c r="S35" s="28" t="str">
        <f>N35</f>
        <v>3x10s ea</v>
      </c>
      <c r="T35" s="57"/>
    </row>
    <row r="36" spans="2:22" s="1" customFormat="1" ht="19.899999999999999" customHeight="1" thickBot="1" x14ac:dyDescent="0.3">
      <c r="B36" s="4">
        <v>9</v>
      </c>
      <c r="C36" s="565" t="s">
        <v>176</v>
      </c>
      <c r="D36" s="565"/>
      <c r="E36" s="566"/>
      <c r="G36" s="24"/>
      <c r="H36" s="25" t="s">
        <v>890</v>
      </c>
      <c r="I36" s="25" t="s">
        <v>7</v>
      </c>
      <c r="J36" s="26"/>
      <c r="L36" s="24"/>
      <c r="M36" s="25" t="str">
        <f t="shared" si="3"/>
        <v>2-1-1-0</v>
      </c>
      <c r="N36" s="25" t="str">
        <f>I36</f>
        <v>1x20</v>
      </c>
      <c r="O36" s="26"/>
      <c r="Q36" s="46"/>
      <c r="R36" s="47" t="str">
        <f>H36</f>
        <v>2-1-1-0</v>
      </c>
      <c r="S36" s="47" t="str">
        <f>N36</f>
        <v>1x20</v>
      </c>
      <c r="T36" s="48"/>
    </row>
    <row r="37" spans="2:22" s="2" customFormat="1" ht="4.9000000000000004" customHeight="1" thickBot="1" x14ac:dyDescent="0.3">
      <c r="B37" s="73"/>
      <c r="G37" s="1"/>
      <c r="H37" s="1"/>
      <c r="L37" s="1"/>
      <c r="M37" s="1"/>
      <c r="Q37" s="547"/>
      <c r="R37" s="547"/>
      <c r="S37" s="49"/>
      <c r="T37" s="74"/>
    </row>
    <row r="38" spans="2:22" s="1" customFormat="1" ht="19.899999999999999" customHeight="1" x14ac:dyDescent="0.25">
      <c r="B38" s="9">
        <v>10</v>
      </c>
      <c r="C38" s="560" t="s">
        <v>413</v>
      </c>
      <c r="D38" s="560"/>
      <c r="E38" s="561"/>
      <c r="G38" s="21"/>
      <c r="H38" s="22" t="s">
        <v>889</v>
      </c>
      <c r="I38" s="22" t="s">
        <v>7</v>
      </c>
      <c r="J38" s="23"/>
      <c r="L38" s="21"/>
      <c r="M38" s="22" t="str">
        <f t="shared" ref="M38:M40" si="4">H38</f>
        <v>3-1-1-1</v>
      </c>
      <c r="N38" s="22" t="str">
        <f>I38</f>
        <v>1x20</v>
      </c>
      <c r="O38" s="23"/>
      <c r="Q38" s="21"/>
      <c r="R38" s="22" t="str">
        <f>H38</f>
        <v>3-1-1-1</v>
      </c>
      <c r="S38" s="52" t="str">
        <f>N38</f>
        <v>1x20</v>
      </c>
      <c r="T38" s="23"/>
    </row>
    <row r="39" spans="2:22" s="1" customFormat="1" ht="19.899999999999999" customHeight="1" x14ac:dyDescent="0.25">
      <c r="B39" s="3">
        <v>11</v>
      </c>
      <c r="C39" s="567" t="s">
        <v>770</v>
      </c>
      <c r="D39" s="567"/>
      <c r="E39" s="568"/>
      <c r="G39" s="27"/>
      <c r="H39" s="28" t="s">
        <v>900</v>
      </c>
      <c r="I39" s="28" t="s">
        <v>715</v>
      </c>
      <c r="J39" s="29"/>
      <c r="L39" s="27"/>
      <c r="M39" s="28" t="str">
        <f t="shared" si="4"/>
        <v>ISO</v>
      </c>
      <c r="N39" s="28" t="str">
        <f>I39</f>
        <v>3x10s ea</v>
      </c>
      <c r="O39" s="29"/>
      <c r="Q39" s="27"/>
      <c r="R39" s="28" t="str">
        <f>H39</f>
        <v>ISO</v>
      </c>
      <c r="S39" s="28" t="str">
        <f>N39</f>
        <v>3x10s ea</v>
      </c>
      <c r="T39" s="29"/>
    </row>
    <row r="40" spans="2:22" s="1" customFormat="1" ht="19.899999999999999" customHeight="1" thickBot="1" x14ac:dyDescent="0.3">
      <c r="B40" s="4">
        <v>12</v>
      </c>
      <c r="C40" s="565" t="s">
        <v>631</v>
      </c>
      <c r="D40" s="565"/>
      <c r="E40" s="566"/>
      <c r="G40" s="24"/>
      <c r="H40" s="25" t="s">
        <v>888</v>
      </c>
      <c r="I40" s="25" t="s">
        <v>7</v>
      </c>
      <c r="J40" s="26"/>
      <c r="L40" s="24"/>
      <c r="M40" s="25" t="str">
        <f t="shared" si="4"/>
        <v>3-1-1-0</v>
      </c>
      <c r="N40" s="25" t="str">
        <f>I40</f>
        <v>1x20</v>
      </c>
      <c r="O40" s="26"/>
      <c r="Q40" s="46"/>
      <c r="R40" s="47" t="str">
        <f>H40</f>
        <v>3-1-1-0</v>
      </c>
      <c r="S40" s="47" t="str">
        <f>N40</f>
        <v>1x20</v>
      </c>
      <c r="T40" s="48"/>
    </row>
    <row r="41" spans="2:22" s="1" customFormat="1" ht="5.0999999999999996" customHeight="1" thickBot="1" x14ac:dyDescent="0.3">
      <c r="B41" s="4"/>
      <c r="C41" s="66"/>
      <c r="D41" s="66"/>
      <c r="E41" s="113"/>
      <c r="G41" s="4"/>
      <c r="H41" s="66"/>
      <c r="I41" s="66"/>
      <c r="J41" s="66"/>
      <c r="L41" s="66"/>
      <c r="M41" s="66"/>
      <c r="N41" s="66"/>
      <c r="O41" s="66"/>
      <c r="Q41" s="115"/>
      <c r="R41" s="115"/>
      <c r="S41" s="115"/>
      <c r="T41" s="116"/>
    </row>
    <row r="42" spans="2:22" s="2" customFormat="1" ht="18" customHeight="1" thickBot="1" x14ac:dyDescent="0.3">
      <c r="B42" s="607" t="s">
        <v>875</v>
      </c>
      <c r="C42" s="608"/>
      <c r="D42" s="608"/>
      <c r="E42" s="609"/>
      <c r="F42" s="1"/>
      <c r="G42" s="549" t="s">
        <v>880</v>
      </c>
      <c r="H42" s="550" t="s">
        <v>9</v>
      </c>
      <c r="I42" s="550" t="s">
        <v>901</v>
      </c>
      <c r="J42" s="551" t="s">
        <v>880</v>
      </c>
      <c r="K42" s="523"/>
      <c r="L42" s="549" t="str">
        <f>G42</f>
        <v>GEWICHT</v>
      </c>
      <c r="M42" s="550" t="s">
        <v>9</v>
      </c>
      <c r="N42" s="550" t="str">
        <f>I42</f>
        <v>SxR/RPE 9</v>
      </c>
      <c r="O42" s="551" t="s">
        <v>880</v>
      </c>
      <c r="P42" s="547"/>
      <c r="Q42" s="549" t="str">
        <f>L42</f>
        <v>GEWICHT</v>
      </c>
      <c r="R42" s="550" t="s">
        <v>9</v>
      </c>
      <c r="S42" s="550" t="str">
        <f>I42</f>
        <v>SxR/RPE 9</v>
      </c>
      <c r="T42" s="551" t="s">
        <v>880</v>
      </c>
    </row>
    <row r="43" spans="2:22" s="1" customFormat="1" ht="19.899999999999999" customHeight="1" x14ac:dyDescent="0.25">
      <c r="B43" s="9">
        <v>13</v>
      </c>
      <c r="C43" s="560" t="s">
        <v>182</v>
      </c>
      <c r="D43" s="560"/>
      <c r="E43" s="561"/>
      <c r="G43" s="21"/>
      <c r="H43" s="22" t="s">
        <v>900</v>
      </c>
      <c r="I43" s="22" t="s">
        <v>15</v>
      </c>
      <c r="J43" s="23"/>
      <c r="L43" s="21"/>
      <c r="M43" s="22" t="str">
        <f>H43</f>
        <v>ISO</v>
      </c>
      <c r="N43" s="22" t="str">
        <f>I43</f>
        <v>1x30s</v>
      </c>
      <c r="O43" s="23"/>
      <c r="Q43" s="21"/>
      <c r="R43" s="22" t="str">
        <f>H43</f>
        <v>ISO</v>
      </c>
      <c r="S43" s="22" t="str">
        <f>N43</f>
        <v>1x30s</v>
      </c>
      <c r="T43" s="23"/>
    </row>
    <row r="44" spans="2:22" s="1" customFormat="1" ht="19.899999999999999" customHeight="1" x14ac:dyDescent="0.25">
      <c r="B44" s="3">
        <v>14</v>
      </c>
      <c r="C44" s="567" t="s">
        <v>36</v>
      </c>
      <c r="D44" s="567"/>
      <c r="E44" s="568"/>
      <c r="G44" s="27"/>
      <c r="H44" s="28" t="s">
        <v>900</v>
      </c>
      <c r="I44" s="28" t="s">
        <v>15</v>
      </c>
      <c r="J44" s="29"/>
      <c r="L44" s="27"/>
      <c r="M44" s="28" t="str">
        <f>H43</f>
        <v>ISO</v>
      </c>
      <c r="N44" s="28" t="str">
        <f>I44</f>
        <v>1x30s</v>
      </c>
      <c r="O44" s="29"/>
      <c r="Q44" s="27"/>
      <c r="R44" s="28" t="str">
        <f>H43</f>
        <v>ISO</v>
      </c>
      <c r="S44" s="28" t="str">
        <f>N44</f>
        <v>1x30s</v>
      </c>
      <c r="T44" s="29"/>
    </row>
    <row r="45" spans="2:22" s="1" customFormat="1" ht="19.899999999999999" customHeight="1" thickBot="1" x14ac:dyDescent="0.3">
      <c r="B45" s="4">
        <v>15</v>
      </c>
      <c r="C45" s="571" t="s">
        <v>338</v>
      </c>
      <c r="D45" s="571"/>
      <c r="E45" s="572"/>
      <c r="F45" s="66"/>
      <c r="G45" s="24"/>
      <c r="H45" s="25" t="s">
        <v>900</v>
      </c>
      <c r="I45" s="25" t="s">
        <v>15</v>
      </c>
      <c r="J45" s="26"/>
      <c r="K45" s="66"/>
      <c r="L45" s="24"/>
      <c r="M45" s="25" t="str">
        <f>H43</f>
        <v>ISO</v>
      </c>
      <c r="N45" s="25" t="str">
        <f>I45</f>
        <v>1x30s</v>
      </c>
      <c r="O45" s="26"/>
      <c r="P45" s="66"/>
      <c r="Q45" s="24"/>
      <c r="R45" s="25" t="str">
        <f>H43</f>
        <v>ISO</v>
      </c>
      <c r="S45" s="25" t="str">
        <f>N45</f>
        <v>1x30s</v>
      </c>
      <c r="T45" s="26"/>
    </row>
    <row r="46" spans="2:22" s="2" customFormat="1" ht="4.9000000000000004" customHeight="1" x14ac:dyDescent="0.25">
      <c r="Q46" s="49"/>
      <c r="R46" s="49"/>
      <c r="S46" s="49"/>
      <c r="T46" s="49"/>
    </row>
    <row r="47" spans="2:22" x14ac:dyDescent="0.25">
      <c r="V47" s="1"/>
    </row>
    <row r="48" spans="2:22" x14ac:dyDescent="0.25">
      <c r="V48" s="1"/>
    </row>
    <row r="49" spans="22:22" x14ac:dyDescent="0.25">
      <c r="V49" s="1"/>
    </row>
    <row r="50" spans="22:22" x14ac:dyDescent="0.25">
      <c r="V50" s="1"/>
    </row>
    <row r="51" spans="22:22" x14ac:dyDescent="0.25">
      <c r="V51" s="1"/>
    </row>
    <row r="52" spans="22:22" x14ac:dyDescent="0.25">
      <c r="V52" s="1"/>
    </row>
    <row r="53" spans="22:22" x14ac:dyDescent="0.25">
      <c r="V53" s="1"/>
    </row>
    <row r="54" spans="22:22" x14ac:dyDescent="0.25">
      <c r="V54" s="1"/>
    </row>
  </sheetData>
  <mergeCells count="44">
    <mergeCell ref="O2:T7"/>
    <mergeCell ref="E10:G10"/>
    <mergeCell ref="I10:L10"/>
    <mergeCell ref="B12:T12"/>
    <mergeCell ref="B13:D13"/>
    <mergeCell ref="G13:I13"/>
    <mergeCell ref="J13:M13"/>
    <mergeCell ref="N13:Q13"/>
    <mergeCell ref="R13:T13"/>
    <mergeCell ref="E13:F13"/>
    <mergeCell ref="R15:T15"/>
    <mergeCell ref="B17:E18"/>
    <mergeCell ref="G17:T17"/>
    <mergeCell ref="H18:I18"/>
    <mergeCell ref="M18:N18"/>
    <mergeCell ref="R18:S18"/>
    <mergeCell ref="E15:F15"/>
    <mergeCell ref="N15:Q15"/>
    <mergeCell ref="B15:D15"/>
    <mergeCell ref="G15:I15"/>
    <mergeCell ref="J15:M15"/>
    <mergeCell ref="B19:E19"/>
    <mergeCell ref="C20:E20"/>
    <mergeCell ref="C21:E21"/>
    <mergeCell ref="C22:E22"/>
    <mergeCell ref="C39:E39"/>
    <mergeCell ref="C25:E25"/>
    <mergeCell ref="B24:E24"/>
    <mergeCell ref="B14:T14"/>
    <mergeCell ref="B42:E42"/>
    <mergeCell ref="C43:E43"/>
    <mergeCell ref="C44:E44"/>
    <mergeCell ref="C45:E45"/>
    <mergeCell ref="C40:E40"/>
    <mergeCell ref="C26:E26"/>
    <mergeCell ref="C27:E27"/>
    <mergeCell ref="C29:E29"/>
    <mergeCell ref="C30:E30"/>
    <mergeCell ref="C31:E31"/>
    <mergeCell ref="B33:E33"/>
    <mergeCell ref="C34:E34"/>
    <mergeCell ref="C35:E35"/>
    <mergeCell ref="C36:E36"/>
    <mergeCell ref="C38:E38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showInputMessage="1" showErrorMessage="1" xr:uid="{00000000-0002-0000-0C00-000000000000}">
          <x14:formula1>
            <xm:f>'BH1-2 Progressionen'!$L:$L</xm:f>
          </x14:formula1>
          <xm:sqref>N15</xm:sqref>
        </x14:dataValidation>
        <x14:dataValidation type="list" allowBlank="1" showInputMessage="1" showErrorMessage="1" xr:uid="{00000000-0002-0000-0C00-000001000000}">
          <x14:formula1>
            <xm:f>'BH1-2 Progressionen'!$F:$F</xm:f>
          </x14:formula1>
          <xm:sqref>N13</xm:sqref>
        </x14:dataValidation>
        <x14:dataValidation type="list" allowBlank="1" showInputMessage="1" showErrorMessage="1" xr:uid="{00000000-0002-0000-0C00-000002000000}">
          <x14:formula1>
            <xm:f>'BH1-2 Progressionen'!$K:$K</xm:f>
          </x14:formula1>
          <xm:sqref>J15</xm:sqref>
        </x14:dataValidation>
        <x14:dataValidation type="list" allowBlank="1" showInputMessage="1" showErrorMessage="1" xr:uid="{00000000-0002-0000-0C00-000003000000}">
          <x14:formula1>
            <xm:f>'BH1-2 Progressionen'!$E:$E</xm:f>
          </x14:formula1>
          <xm:sqref>J13</xm:sqref>
        </x14:dataValidation>
        <x14:dataValidation type="list" allowBlank="1" showInputMessage="1" showErrorMessage="1" xr:uid="{00000000-0002-0000-0C00-000004000000}">
          <x14:formula1>
            <xm:f>'BH1-2 Progressionen'!$J:$J</xm:f>
          </x14:formula1>
          <xm:sqref>G15</xm:sqref>
        </x14:dataValidation>
        <x14:dataValidation type="list" allowBlank="1" showInputMessage="1" showErrorMessage="1" xr:uid="{00000000-0002-0000-0C00-000005000000}">
          <x14:formula1>
            <xm:f>'BH1-2 Progressionen'!$D:$D</xm:f>
          </x14:formula1>
          <xm:sqref>G13</xm:sqref>
        </x14:dataValidation>
        <x14:dataValidation type="list" allowBlank="1" showInputMessage="1" showErrorMessage="1" xr:uid="{00000000-0002-0000-0C00-000006000000}">
          <x14:formula1>
            <xm:f>'BH1-2 Progressionen'!$M:$M</xm:f>
          </x14:formula1>
          <xm:sqref>R15:T15</xm:sqref>
        </x14:dataValidation>
        <x14:dataValidation type="list" allowBlank="1" showInputMessage="1" showErrorMessage="1" xr:uid="{00000000-0002-0000-0C00-000007000000}">
          <x14:formula1>
            <xm:f>'BH1-2 Progressionen'!$I:$I</xm:f>
          </x14:formula1>
          <xm:sqref>E15</xm:sqref>
        </x14:dataValidation>
        <x14:dataValidation type="list" allowBlank="1" showInputMessage="1" showErrorMessage="1" xr:uid="{00000000-0002-0000-0C00-000008000000}">
          <x14:formula1>
            <xm:f>'BH1-2 Progressionen'!$H:$H</xm:f>
          </x14:formula1>
          <xm:sqref>B15:D15</xm:sqref>
        </x14:dataValidation>
        <x14:dataValidation type="list" allowBlank="1" showInputMessage="1" showErrorMessage="1" xr:uid="{00000000-0002-0000-0C00-000009000000}">
          <x14:formula1>
            <xm:f>'BH1-2 Progressionen'!$G:$G</xm:f>
          </x14:formula1>
          <xm:sqref>R13:T13</xm:sqref>
        </x14:dataValidation>
        <x14:dataValidation type="list" allowBlank="1" showInputMessage="1" showErrorMessage="1" xr:uid="{00000000-0002-0000-0C00-00000A000000}">
          <x14:formula1>
            <xm:f>'BH1-2 Progressionen'!$C:$C</xm:f>
          </x14:formula1>
          <xm:sqref>E13</xm:sqref>
        </x14:dataValidation>
        <x14:dataValidation type="list" allowBlank="1" showInputMessage="1" showErrorMessage="1" xr:uid="{00000000-0002-0000-0C00-00000B000000}">
          <x14:formula1>
            <xm:f>'BH1-2 Progressionen'!$B:$B</xm:f>
          </x14:formula1>
          <xm:sqref>B13:D13</xm:sqref>
        </x14:dataValidation>
        <x14:dataValidation type="list" allowBlank="1" showInputMessage="1" showErrorMessage="1" xr:uid="{00000000-0002-0000-0C00-00000C000000}">
          <x14:formula1>
            <xm:f>'BH1-2 Progressionen'!$A:$A</xm:f>
          </x14:formula1>
          <xm:sqref>B17:E18</xm:sqref>
        </x14:dataValidation>
        <x14:dataValidation type="list" allowBlank="1" showInputMessage="1" showErrorMessage="1" xr:uid="{00000000-0002-0000-0C00-00000D000000}">
          <x14:formula1>
            <xm:f>' Unterkörper Progressionen '!$W:$W</xm:f>
          </x14:formula1>
          <xm:sqref>C45:E45</xm:sqref>
        </x14:dataValidation>
        <x14:dataValidation type="list" allowBlank="1" showInputMessage="1" showErrorMessage="1" xr:uid="{00000000-0002-0000-0C00-00000E000000}">
          <x14:formula1>
            <xm:f>' Unterkörper Progressionen '!$V:$V</xm:f>
          </x14:formula1>
          <xm:sqref>C44:E44</xm:sqref>
        </x14:dataValidation>
        <x14:dataValidation type="list" allowBlank="1" showInputMessage="1" showErrorMessage="1" xr:uid="{00000000-0002-0000-0C00-00000F000000}">
          <x14:formula1>
            <xm:f>' Unterkörper Progressionen '!$U:$U</xm:f>
          </x14:formula1>
          <xm:sqref>C43:E43</xm:sqref>
        </x14:dataValidation>
        <x14:dataValidation type="list" allowBlank="1" showInputMessage="1" showErrorMessage="1" xr:uid="{00000000-0002-0000-0C00-000010000000}">
          <x14:formula1>
            <xm:f>' Unterkörper Progressionen '!$S:$S</xm:f>
          </x14:formula1>
          <xm:sqref>C40:E40</xm:sqref>
        </x14:dataValidation>
        <x14:dataValidation type="list" allowBlank="1" showInputMessage="1" showErrorMessage="1" xr:uid="{00000000-0002-0000-0C00-000011000000}">
          <x14:formula1>
            <xm:f>' Unterkörper Progressionen '!$R:$R</xm:f>
          </x14:formula1>
          <xm:sqref>C39:E39</xm:sqref>
        </x14:dataValidation>
        <x14:dataValidation type="list" allowBlank="1" showInputMessage="1" showErrorMessage="1" xr:uid="{00000000-0002-0000-0C00-000012000000}">
          <x14:formula1>
            <xm:f>' Unterkörper Progressionen '!$Q:$Q</xm:f>
          </x14:formula1>
          <xm:sqref>C38:E38</xm:sqref>
        </x14:dataValidation>
        <x14:dataValidation type="list" allowBlank="1" showInputMessage="1" showErrorMessage="1" xr:uid="{00000000-0002-0000-0C00-000013000000}">
          <x14:formula1>
            <xm:f>' Unterkörper Progressionen '!$P:$P</xm:f>
          </x14:formula1>
          <xm:sqref>C36:E36</xm:sqref>
        </x14:dataValidation>
        <x14:dataValidation type="list" allowBlank="1" showInputMessage="1" showErrorMessage="1" xr:uid="{00000000-0002-0000-0C00-000014000000}">
          <x14:formula1>
            <xm:f>' Unterkörper Progressionen '!$M:$M</xm:f>
          </x14:formula1>
          <xm:sqref>C35:E35</xm:sqref>
        </x14:dataValidation>
        <x14:dataValidation type="list" allowBlank="1" showInputMessage="1" showErrorMessage="1" xr:uid="{00000000-0002-0000-0C00-000015000000}">
          <x14:formula1>
            <xm:f>' Unterkörper Progressionen '!$L:$L</xm:f>
          </x14:formula1>
          <xm:sqref>C34:E34</xm:sqref>
        </x14:dataValidation>
        <x14:dataValidation type="list" allowBlank="1" showInputMessage="1" showErrorMessage="1" xr:uid="{00000000-0002-0000-0C00-000016000000}">
          <x14:formula1>
            <xm:f>' Unterkörper Progressionen '!$J:$J</xm:f>
          </x14:formula1>
          <xm:sqref>C31:E31</xm:sqref>
        </x14:dataValidation>
        <x14:dataValidation type="list" allowBlank="1" showInputMessage="1" showErrorMessage="1" xr:uid="{00000000-0002-0000-0C00-000017000000}">
          <x14:formula1>
            <xm:f>' Unterkörper Progressionen '!$I:$I</xm:f>
          </x14:formula1>
          <xm:sqref>C30:E30</xm:sqref>
        </x14:dataValidation>
        <x14:dataValidation type="list" allowBlank="1" showInputMessage="1" showErrorMessage="1" xr:uid="{00000000-0002-0000-0C00-000018000000}">
          <x14:formula1>
            <xm:f>' Unterkörper Progressionen '!$H:$H</xm:f>
          </x14:formula1>
          <xm:sqref>C29:E29</xm:sqref>
        </x14:dataValidation>
        <x14:dataValidation type="list" allowBlank="1" showInputMessage="1" showErrorMessage="1" xr:uid="{00000000-0002-0000-0C00-000019000000}">
          <x14:formula1>
            <xm:f>' Unterkörper Progressionen '!$G:$G</xm:f>
          </x14:formula1>
          <xm:sqref>C27:E27</xm:sqref>
        </x14:dataValidation>
        <x14:dataValidation type="list" allowBlank="1" showInputMessage="1" showErrorMessage="1" xr:uid="{00000000-0002-0000-0C00-00001A000000}">
          <x14:formula1>
            <xm:f>' Unterkörper Progressionen '!$F:$F</xm:f>
          </x14:formula1>
          <xm:sqref>C26:E26</xm:sqref>
        </x14:dataValidation>
        <x14:dataValidation type="list" allowBlank="1" showInputMessage="1" showErrorMessage="1" xr:uid="{00000000-0002-0000-0C00-00001B000000}">
          <x14:formula1>
            <xm:f>' Unterkörper Progressionen '!$E:$E</xm:f>
          </x14:formula1>
          <xm:sqref>C25:E25</xm:sqref>
        </x14:dataValidation>
        <x14:dataValidation type="list" allowBlank="1" showInputMessage="1" showErrorMessage="1" xr:uid="{00000000-0002-0000-0C00-00001C000000}">
          <x14:formula1>
            <xm:f>' Unterkörper Progressionen '!$D:$D</xm:f>
          </x14:formula1>
          <xm:sqref>C22:E22</xm:sqref>
        </x14:dataValidation>
        <x14:dataValidation type="list" allowBlank="1" showInputMessage="1" showErrorMessage="1" xr:uid="{00000000-0002-0000-0C00-00001D000000}">
          <x14:formula1>
            <xm:f>' Unterkörper Progressionen '!$C:$C</xm:f>
          </x14:formula1>
          <xm:sqref>C21:E21</xm:sqref>
        </x14:dataValidation>
        <x14:dataValidation type="list" allowBlank="1" showInputMessage="1" showErrorMessage="1" xr:uid="{00000000-0002-0000-0C00-00001E000000}">
          <x14:formula1>
            <xm:f>' Unterkörper Progressionen '!$B:$B</xm:f>
          </x14:formula1>
          <xm:sqref>C20:E20</xm:sqref>
        </x14:dataValidation>
        <x14:dataValidation type="list" allowBlank="1" showInputMessage="1" showErrorMessage="1" xr:uid="{00000000-0002-0000-0C00-00001F000000}">
          <x14:formula1>
            <xm:f>' Unterkörper Progressionen '!$AA:$AA</xm:f>
          </x14:formula1>
          <xm:sqref>J21</xm:sqref>
        </x14:dataValidation>
        <x14:dataValidation type="list" allowBlank="1" showInputMessage="1" showErrorMessage="1" xr:uid="{00000000-0002-0000-0C00-000020000000}">
          <x14:formula1>
            <xm:f>' Unterkörper Progressionen '!$Z:$Z</xm:f>
          </x14:formula1>
          <xm:sqref>I25:I27 I43:I45 I34:I36 I38:I41 I29:I32</xm:sqref>
        </x14:dataValidation>
        <x14:dataValidation type="list" allowBlank="1" showInputMessage="1" showErrorMessage="1" xr:uid="{1E4E9CE8-F5C1-4605-AF68-2DB1D3919160}">
          <x14:formula1>
            <xm:f>' Unterkörper Progressionen '!$AC:$AC</xm:f>
          </x14:formula1>
          <xm:sqref>S33 I24 S42 N42 I42 I33 N33</xm:sqref>
        </x14:dataValidation>
        <x14:dataValidation type="list" allowBlank="1" showInputMessage="1" showErrorMessage="1" xr:uid="{39E143A4-7F27-456E-927F-757667781377}">
          <x14:formula1>
            <xm:f>' Unterkörper Progressionen '!$AB:$AB</xm:f>
          </x14:formula1>
          <xm:sqref>H25:H27 H20:H22 H43:H45 H38:H40 H34:H36 H29:H31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W44"/>
  <sheetViews>
    <sheetView zoomScale="70" zoomScaleNormal="70" workbookViewId="0">
      <selection activeCell="A49" sqref="A49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W9" s="2"/>
    </row>
    <row r="10" spans="2:23" ht="16.5" hidden="1" thickBot="1" x14ac:dyDescent="0.3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1" customFormat="1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tr">
        <f>Unterkörper1!B13</f>
        <v>TGU - BEND TO 1/2-KN.</v>
      </c>
      <c r="C13" s="631"/>
      <c r="D13" s="631"/>
      <c r="E13" s="633" t="str">
        <f>Unterkörper1!E13</f>
        <v>LOADED FOOT HAND CRAWL</v>
      </c>
      <c r="F13" s="634"/>
      <c r="G13" s="631" t="str">
        <f>Unterkörper1!G13</f>
        <v>1KB SUITCASE CARRY</v>
      </c>
      <c r="H13" s="631"/>
      <c r="I13" s="631"/>
      <c r="J13" s="631" t="str">
        <f>Unterkörper1!J13</f>
        <v>KB/BW GOBLET SQUAT</v>
      </c>
      <c r="K13" s="631"/>
      <c r="L13" s="631"/>
      <c r="M13" s="631"/>
      <c r="N13" s="631" t="str">
        <f>Unterkörper1!N13</f>
        <v>1-ARM 1KB SUMO DEADLIFT</v>
      </c>
      <c r="O13" s="631"/>
      <c r="P13" s="631"/>
      <c r="Q13" s="631"/>
      <c r="R13" s="631" t="str">
        <f>Unterkörper1!R13</f>
        <v>LANDMINE 1-LEG DEADLIFT TO BOX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tr">
        <f>Unterkörper1!B15</f>
        <v>ANKLE ROCKER 1-LEG SQUAT</v>
      </c>
      <c r="C15" s="553"/>
      <c r="D15" s="553"/>
      <c r="E15" s="625" t="str">
        <f>Unterkörper1!E15</f>
        <v>ANKLE POS. 1 15 SEC</v>
      </c>
      <c r="F15" s="626"/>
      <c r="G15" s="553" t="str">
        <f>Unterkörper1!G15</f>
        <v>LOADED ANKLE MARCH</v>
      </c>
      <c r="H15" s="553"/>
      <c r="I15" s="553"/>
      <c r="J15" s="553" t="str">
        <f>Unterkörper1!J15</f>
        <v>LATERAL SKIP</v>
      </c>
      <c r="K15" s="553"/>
      <c r="L15" s="553"/>
      <c r="M15" s="553"/>
      <c r="N15" s="553" t="str">
        <f>Unterkörper1!N15</f>
        <v xml:space="preserve">1-LEG MEDIAL HOP - TO BOX (NCM) </v>
      </c>
      <c r="O15" s="553"/>
      <c r="P15" s="553"/>
      <c r="Q15" s="553"/>
      <c r="R15" s="553" t="str">
        <f>Unterkörper1!R15</f>
        <v>LOADED SQUAT JUMP TO BOX</v>
      </c>
      <c r="S15" s="553"/>
      <c r="T15" s="556"/>
    </row>
    <row r="16" spans="2:23" ht="16.5" customHeight="1" thickBot="1" x14ac:dyDescent="0.3">
      <c r="B16" s="647" t="str">
        <f>Unterkörper1!B17</f>
        <v>LEVEL 1</v>
      </c>
      <c r="C16" s="648"/>
      <c r="D16" s="648"/>
      <c r="E16" s="649"/>
      <c r="F16" s="1"/>
      <c r="G16" s="573" t="s">
        <v>352</v>
      </c>
      <c r="H16" s="574"/>
      <c r="I16" s="574"/>
      <c r="J16" s="574"/>
      <c r="K16" s="574"/>
      <c r="L16" s="574"/>
      <c r="M16" s="574"/>
      <c r="N16" s="574"/>
      <c r="O16" s="574"/>
      <c r="P16" s="574"/>
      <c r="Q16" s="574"/>
      <c r="R16" s="574"/>
      <c r="S16" s="574"/>
      <c r="T16" s="575"/>
    </row>
    <row r="17" spans="2:23" ht="21.6" customHeight="1" thickBot="1" x14ac:dyDescent="0.3">
      <c r="B17" s="622"/>
      <c r="C17" s="623"/>
      <c r="D17" s="623"/>
      <c r="E17" s="624"/>
      <c r="F17" s="1"/>
      <c r="G17" s="70" t="s">
        <v>865</v>
      </c>
      <c r="H17" s="582" t="s">
        <v>877</v>
      </c>
      <c r="I17" s="583"/>
      <c r="J17" s="71" t="s">
        <v>866</v>
      </c>
      <c r="K17" s="64"/>
      <c r="L17" s="70" t="s">
        <v>867</v>
      </c>
      <c r="M17" s="582" t="s">
        <v>878</v>
      </c>
      <c r="N17" s="583"/>
      <c r="O17" s="71" t="s">
        <v>868</v>
      </c>
      <c r="P17" s="64"/>
      <c r="Q17" s="70" t="s">
        <v>869</v>
      </c>
      <c r="R17" s="595" t="s">
        <v>879</v>
      </c>
      <c r="S17" s="596"/>
      <c r="T17" s="71" t="s">
        <v>870</v>
      </c>
    </row>
    <row r="18" spans="2:23" ht="18" customHeight="1" thickBot="1" x14ac:dyDescent="0.3">
      <c r="B18" s="641" t="s">
        <v>8</v>
      </c>
      <c r="C18" s="642"/>
      <c r="D18" s="642"/>
      <c r="E18" s="643"/>
      <c r="F18" s="72"/>
      <c r="G18" s="501" t="s">
        <v>880</v>
      </c>
      <c r="H18" s="502" t="s">
        <v>9</v>
      </c>
      <c r="I18" s="502" t="s">
        <v>11</v>
      </c>
      <c r="J18" s="503" t="s">
        <v>880</v>
      </c>
      <c r="K18" s="1"/>
      <c r="L18" s="501" t="s">
        <v>880</v>
      </c>
      <c r="M18" s="502" t="s">
        <v>9</v>
      </c>
      <c r="N18" s="502" t="s">
        <v>11</v>
      </c>
      <c r="O18" s="503" t="s">
        <v>880</v>
      </c>
      <c r="P18" s="1"/>
      <c r="Q18" s="504" t="s">
        <v>880</v>
      </c>
      <c r="R18" s="505" t="s">
        <v>9</v>
      </c>
      <c r="S18" s="505" t="s">
        <v>11</v>
      </c>
      <c r="T18" s="506" t="s">
        <v>880</v>
      </c>
    </row>
    <row r="19" spans="2:23" s="1" customFormat="1" ht="19.899999999999999" customHeight="1" x14ac:dyDescent="0.25">
      <c r="B19" s="9">
        <v>1</v>
      </c>
      <c r="C19" s="560" t="s">
        <v>226</v>
      </c>
      <c r="D19" s="560"/>
      <c r="E19" s="561"/>
      <c r="G19" s="18"/>
      <c r="H19" s="22" t="s">
        <v>12</v>
      </c>
      <c r="I19" s="19" t="s">
        <v>14</v>
      </c>
      <c r="J19" s="20" t="s">
        <v>16</v>
      </c>
      <c r="L19" s="18"/>
      <c r="M19" s="19" t="str">
        <f t="shared" ref="M19:M21" si="0">H19</f>
        <v>EXPL</v>
      </c>
      <c r="N19" s="19" t="s">
        <v>14</v>
      </c>
      <c r="O19" s="20" t="s">
        <v>16</v>
      </c>
      <c r="Q19" s="43"/>
      <c r="R19" s="44" t="str">
        <f t="shared" ref="R19:R21" si="1">H19</f>
        <v>EXPL</v>
      </c>
      <c r="S19" s="44" t="s">
        <v>14</v>
      </c>
      <c r="T19" s="45" t="s">
        <v>16</v>
      </c>
    </row>
    <row r="20" spans="2:23" s="1" customFormat="1" ht="19.899999999999999" customHeight="1" x14ac:dyDescent="0.25">
      <c r="B20" s="3">
        <v>2</v>
      </c>
      <c r="C20" s="567" t="s">
        <v>194</v>
      </c>
      <c r="D20" s="567"/>
      <c r="E20" s="568"/>
      <c r="G20" s="67"/>
      <c r="H20" s="28" t="s">
        <v>12</v>
      </c>
      <c r="I20" s="68" t="s">
        <v>14</v>
      </c>
      <c r="J20" s="69" t="s">
        <v>711</v>
      </c>
      <c r="L20" s="67"/>
      <c r="M20" s="68" t="str">
        <f t="shared" si="0"/>
        <v>EXPL</v>
      </c>
      <c r="N20" s="68" t="s">
        <v>14</v>
      </c>
      <c r="O20" s="69" t="str">
        <f>J20</f>
        <v>1kg</v>
      </c>
      <c r="Q20" s="75"/>
      <c r="R20" s="76" t="str">
        <f t="shared" si="1"/>
        <v>EXPL</v>
      </c>
      <c r="S20" s="76" t="s">
        <v>14</v>
      </c>
      <c r="T20" s="77" t="str">
        <f>J20</f>
        <v>1kg</v>
      </c>
    </row>
    <row r="21" spans="2:23" s="1" customFormat="1" ht="19.899999999999999" customHeight="1" thickBot="1" x14ac:dyDescent="0.3">
      <c r="B21" s="4">
        <v>3</v>
      </c>
      <c r="C21" s="565" t="s">
        <v>195</v>
      </c>
      <c r="D21" s="565"/>
      <c r="E21" s="566"/>
      <c r="G21" s="24"/>
      <c r="H21" s="25" t="s">
        <v>12</v>
      </c>
      <c r="I21" s="25" t="s">
        <v>14</v>
      </c>
      <c r="J21" s="26" t="s">
        <v>711</v>
      </c>
      <c r="L21" s="24"/>
      <c r="M21" s="25" t="str">
        <f t="shared" si="0"/>
        <v>EXPL</v>
      </c>
      <c r="N21" s="25" t="s">
        <v>14</v>
      </c>
      <c r="O21" s="26" t="str">
        <f>J21</f>
        <v>1kg</v>
      </c>
      <c r="Q21" s="46"/>
      <c r="R21" s="47" t="str">
        <f t="shared" si="1"/>
        <v>EXPL</v>
      </c>
      <c r="S21" s="47" t="s">
        <v>14</v>
      </c>
      <c r="T21" s="48" t="str">
        <f>J21</f>
        <v>1kg</v>
      </c>
    </row>
    <row r="22" spans="2:23" s="2" customFormat="1" ht="4.9000000000000004" customHeight="1" thickBot="1" x14ac:dyDescent="0.3">
      <c r="B22" s="73"/>
      <c r="Q22" s="49"/>
      <c r="R22" s="49"/>
      <c r="S22" s="49"/>
      <c r="T22" s="74"/>
    </row>
    <row r="23" spans="2:23" s="1" customFormat="1" ht="18" customHeight="1" thickBot="1" x14ac:dyDescent="0.3">
      <c r="B23" s="644" t="s">
        <v>871</v>
      </c>
      <c r="C23" s="645"/>
      <c r="D23" s="645"/>
      <c r="E23" s="646"/>
      <c r="F23" s="523"/>
      <c r="G23" s="524" t="s">
        <v>880</v>
      </c>
      <c r="H23" s="525" t="s">
        <v>9</v>
      </c>
      <c r="I23" s="525" t="s">
        <v>896</v>
      </c>
      <c r="J23" s="526" t="s">
        <v>880</v>
      </c>
      <c r="K23" s="523"/>
      <c r="L23" s="524" t="str">
        <f>G23</f>
        <v>GEWICHT</v>
      </c>
      <c r="M23" s="525" t="s">
        <v>9</v>
      </c>
      <c r="N23" s="525" t="str">
        <f>I23</f>
        <v>SxR/RPE 7-8</v>
      </c>
      <c r="O23" s="526" t="s">
        <v>880</v>
      </c>
      <c r="P23" s="523"/>
      <c r="Q23" s="524" t="str">
        <f>L23</f>
        <v>GEWICHT</v>
      </c>
      <c r="R23" s="525" t="s">
        <v>9</v>
      </c>
      <c r="S23" s="525" t="str">
        <f>I23</f>
        <v>SxR/RPE 7-8</v>
      </c>
      <c r="T23" s="526" t="s">
        <v>880</v>
      </c>
      <c r="W23" s="36"/>
    </row>
    <row r="24" spans="2:23" s="1" customFormat="1" ht="19.899999999999999" customHeight="1" x14ac:dyDescent="0.25">
      <c r="B24" s="9">
        <v>1</v>
      </c>
      <c r="C24" s="560" t="s">
        <v>196</v>
      </c>
      <c r="D24" s="560"/>
      <c r="E24" s="561"/>
      <c r="G24" s="21"/>
      <c r="H24" s="22" t="s">
        <v>890</v>
      </c>
      <c r="I24" s="28" t="s">
        <v>7</v>
      </c>
      <c r="J24" s="23"/>
      <c r="L24" s="21"/>
      <c r="M24" s="22" t="str">
        <f>H24</f>
        <v>2-1-1-0</v>
      </c>
      <c r="N24" s="22" t="str">
        <f>I24</f>
        <v>1x20</v>
      </c>
      <c r="O24" s="23"/>
      <c r="Q24" s="50"/>
      <c r="R24" s="52" t="str">
        <f>H24</f>
        <v>2-1-1-0</v>
      </c>
      <c r="S24" s="52" t="str">
        <f>I24</f>
        <v>1x20</v>
      </c>
      <c r="T24" s="53"/>
      <c r="W24" s="36"/>
    </row>
    <row r="25" spans="2:23" s="1" customFormat="1" ht="19.899999999999999" customHeight="1" x14ac:dyDescent="0.25">
      <c r="B25" s="3">
        <v>2</v>
      </c>
      <c r="C25" s="567" t="s">
        <v>487</v>
      </c>
      <c r="D25" s="567"/>
      <c r="E25" s="568"/>
      <c r="G25" s="27"/>
      <c r="H25" s="28" t="s">
        <v>890</v>
      </c>
      <c r="I25" s="28" t="s">
        <v>7</v>
      </c>
      <c r="J25" s="29"/>
      <c r="L25" s="27"/>
      <c r="M25" s="28" t="str">
        <f>H25</f>
        <v>2-1-1-0</v>
      </c>
      <c r="N25" s="28" t="str">
        <f>I25</f>
        <v>1x20</v>
      </c>
      <c r="O25" s="29"/>
      <c r="Q25" s="54"/>
      <c r="R25" s="56" t="str">
        <f>H25</f>
        <v>2-1-1-0</v>
      </c>
      <c r="S25" s="56" t="str">
        <f>I25</f>
        <v>1x20</v>
      </c>
      <c r="T25" s="57"/>
      <c r="W25" s="36"/>
    </row>
    <row r="26" spans="2:23" s="1" customFormat="1" ht="19.899999999999999" customHeight="1" thickBot="1" x14ac:dyDescent="0.3">
      <c r="B26" s="4">
        <v>3</v>
      </c>
      <c r="C26" s="565" t="s">
        <v>295</v>
      </c>
      <c r="D26" s="565"/>
      <c r="E26" s="566"/>
      <c r="G26" s="24"/>
      <c r="H26" s="25" t="s">
        <v>915</v>
      </c>
      <c r="I26" s="25" t="s">
        <v>712</v>
      </c>
      <c r="J26" s="26"/>
      <c r="L26" s="24"/>
      <c r="M26" s="25"/>
      <c r="N26" s="25" t="str">
        <f>I26</f>
        <v>2x15m</v>
      </c>
      <c r="O26" s="26"/>
      <c r="Q26" s="46"/>
      <c r="R26" s="47"/>
      <c r="S26" s="47" t="str">
        <f>I26</f>
        <v>2x15m</v>
      </c>
      <c r="T26" s="48"/>
    </row>
    <row r="27" spans="2:23" s="2" customFormat="1" ht="4.9000000000000004" customHeight="1" thickBot="1" x14ac:dyDescent="0.3">
      <c r="B27" s="73"/>
      <c r="Q27" s="49"/>
      <c r="R27" s="49"/>
      <c r="S27" s="49"/>
      <c r="T27" s="74"/>
    </row>
    <row r="28" spans="2:23" s="1" customFormat="1" ht="19.899999999999999" customHeight="1" x14ac:dyDescent="0.25">
      <c r="B28" s="9">
        <v>4</v>
      </c>
      <c r="C28" s="560" t="s">
        <v>199</v>
      </c>
      <c r="D28" s="560"/>
      <c r="E28" s="561"/>
      <c r="G28" s="21"/>
      <c r="H28" s="22" t="s">
        <v>890</v>
      </c>
      <c r="I28" s="22" t="s">
        <v>7</v>
      </c>
      <c r="J28" s="23"/>
      <c r="L28" s="21"/>
      <c r="M28" s="22" t="str">
        <f t="shared" ref="M28:M30" si="2">H28</f>
        <v>2-1-1-0</v>
      </c>
      <c r="N28" s="22" t="str">
        <f>I28</f>
        <v>1x20</v>
      </c>
      <c r="O28" s="23"/>
      <c r="Q28" s="50"/>
      <c r="R28" s="52" t="str">
        <f t="shared" ref="R28:R30" si="3">H28</f>
        <v>2-1-1-0</v>
      </c>
      <c r="S28" s="52" t="str">
        <f>I28</f>
        <v>1x20</v>
      </c>
      <c r="T28" s="53"/>
    </row>
    <row r="29" spans="2:23" s="1" customFormat="1" ht="19.899999999999999" customHeight="1" x14ac:dyDescent="0.25">
      <c r="B29" s="3">
        <v>5</v>
      </c>
      <c r="C29" s="567" t="s">
        <v>495</v>
      </c>
      <c r="D29" s="567"/>
      <c r="E29" s="568"/>
      <c r="G29" s="27"/>
      <c r="H29" s="28" t="s">
        <v>890</v>
      </c>
      <c r="I29" s="28" t="s">
        <v>7</v>
      </c>
      <c r="J29" s="29"/>
      <c r="L29" s="27"/>
      <c r="M29" s="28" t="str">
        <f t="shared" si="2"/>
        <v>2-1-1-0</v>
      </c>
      <c r="N29" s="28" t="str">
        <f>I29</f>
        <v>1x20</v>
      </c>
      <c r="O29" s="29"/>
      <c r="Q29" s="54"/>
      <c r="R29" s="56" t="str">
        <f t="shared" si="3"/>
        <v>2-1-1-0</v>
      </c>
      <c r="S29" s="28" t="str">
        <f>I29</f>
        <v>1x20</v>
      </c>
      <c r="T29" s="57"/>
    </row>
    <row r="30" spans="2:23" s="1" customFormat="1" ht="19.899999999999999" customHeight="1" thickBot="1" x14ac:dyDescent="0.3">
      <c r="B30" s="4">
        <v>6</v>
      </c>
      <c r="C30" s="565" t="s">
        <v>50</v>
      </c>
      <c r="D30" s="565"/>
      <c r="E30" s="566"/>
      <c r="G30" s="24"/>
      <c r="H30" s="25" t="s">
        <v>900</v>
      </c>
      <c r="I30" s="25" t="s">
        <v>7</v>
      </c>
      <c r="J30" s="26"/>
      <c r="L30" s="24"/>
      <c r="M30" s="25" t="str">
        <f t="shared" si="2"/>
        <v>ISO</v>
      </c>
      <c r="N30" s="25" t="str">
        <f>I30</f>
        <v>1x20</v>
      </c>
      <c r="O30" s="26"/>
      <c r="Q30" s="46"/>
      <c r="R30" s="47" t="str">
        <f t="shared" si="3"/>
        <v>ISO</v>
      </c>
      <c r="S30" s="47" t="str">
        <f>I30</f>
        <v>1x20</v>
      </c>
      <c r="T30" s="48"/>
    </row>
    <row r="31" spans="2:23" s="1" customFormat="1" ht="5.0999999999999996" customHeight="1" thickBot="1" x14ac:dyDescent="0.3">
      <c r="B31" s="4"/>
      <c r="C31" s="66"/>
      <c r="D31" s="66"/>
      <c r="E31" s="113"/>
      <c r="G31" s="4"/>
      <c r="H31" s="66"/>
      <c r="I31" s="66"/>
      <c r="J31" s="66"/>
      <c r="L31" s="66"/>
      <c r="M31" s="66"/>
      <c r="N31" s="66"/>
      <c r="O31" s="66"/>
      <c r="Q31" s="115"/>
      <c r="R31" s="115"/>
      <c r="S31" s="115"/>
      <c r="T31" s="116"/>
    </row>
    <row r="32" spans="2:23" s="2" customFormat="1" ht="18" customHeight="1" thickBot="1" x14ac:dyDescent="0.3">
      <c r="B32" s="635" t="s">
        <v>872</v>
      </c>
      <c r="C32" s="636"/>
      <c r="D32" s="636"/>
      <c r="E32" s="637"/>
      <c r="F32" s="114"/>
      <c r="G32" s="517" t="s">
        <v>880</v>
      </c>
      <c r="H32" s="518" t="s">
        <v>9</v>
      </c>
      <c r="I32" s="518" t="s">
        <v>897</v>
      </c>
      <c r="J32" s="519" t="s">
        <v>880</v>
      </c>
      <c r="K32" s="1"/>
      <c r="L32" s="517" t="s">
        <v>880</v>
      </c>
      <c r="M32" s="518" t="s">
        <v>9</v>
      </c>
      <c r="N32" s="518" t="str">
        <f>I32</f>
        <v>SxR/RPE 8-9</v>
      </c>
      <c r="O32" s="519" t="s">
        <v>880</v>
      </c>
      <c r="P32" s="1"/>
      <c r="Q32" s="517" t="s">
        <v>880</v>
      </c>
      <c r="R32" s="518" t="s">
        <v>9</v>
      </c>
      <c r="S32" s="518" t="str">
        <f>I32</f>
        <v>SxR/RPE 8-9</v>
      </c>
      <c r="T32" s="519" t="s">
        <v>880</v>
      </c>
    </row>
    <row r="33" spans="2:20" s="1" customFormat="1" ht="19.899999999999999" customHeight="1" x14ac:dyDescent="0.25">
      <c r="B33" s="9">
        <v>7</v>
      </c>
      <c r="C33" s="560" t="s">
        <v>262</v>
      </c>
      <c r="D33" s="560"/>
      <c r="E33" s="561"/>
      <c r="G33" s="21"/>
      <c r="H33" s="22" t="s">
        <v>890</v>
      </c>
      <c r="I33" s="22" t="s">
        <v>7</v>
      </c>
      <c r="J33" s="23"/>
      <c r="L33" s="21"/>
      <c r="M33" s="22" t="str">
        <f>H33</f>
        <v>2-1-1-0</v>
      </c>
      <c r="N33" s="22" t="str">
        <f>I33</f>
        <v>1x20</v>
      </c>
      <c r="O33" s="23"/>
      <c r="Q33" s="50"/>
      <c r="R33" s="52" t="str">
        <f>H33</f>
        <v>2-1-1-0</v>
      </c>
      <c r="S33" s="52" t="str">
        <f>I33</f>
        <v>1x20</v>
      </c>
      <c r="T33" s="53"/>
    </row>
    <row r="34" spans="2:20" s="1" customFormat="1" ht="19.899999999999999" customHeight="1" x14ac:dyDescent="0.25">
      <c r="B34" s="3">
        <v>8</v>
      </c>
      <c r="C34" s="567" t="s">
        <v>203</v>
      </c>
      <c r="D34" s="567"/>
      <c r="E34" s="568"/>
      <c r="G34" s="27"/>
      <c r="H34" s="28" t="s">
        <v>890</v>
      </c>
      <c r="I34" s="28" t="s">
        <v>7</v>
      </c>
      <c r="J34" s="29"/>
      <c r="L34" s="27"/>
      <c r="M34" s="28" t="str">
        <f>H34</f>
        <v>2-1-1-0</v>
      </c>
      <c r="N34" s="28" t="str">
        <f>I34</f>
        <v>1x20</v>
      </c>
      <c r="O34" s="29"/>
      <c r="Q34" s="54"/>
      <c r="R34" s="56" t="str">
        <f>H34</f>
        <v>2-1-1-0</v>
      </c>
      <c r="S34" s="28" t="str">
        <f>I34</f>
        <v>1x20</v>
      </c>
      <c r="T34" s="57"/>
    </row>
    <row r="35" spans="2:20" s="1" customFormat="1" ht="19.899999999999999" customHeight="1" thickBot="1" x14ac:dyDescent="0.3">
      <c r="B35" s="4">
        <v>9</v>
      </c>
      <c r="C35" s="565" t="s">
        <v>402</v>
      </c>
      <c r="D35" s="565"/>
      <c r="E35" s="566"/>
      <c r="G35" s="24"/>
      <c r="H35" s="25" t="s">
        <v>900</v>
      </c>
      <c r="I35" s="25" t="s">
        <v>715</v>
      </c>
      <c r="J35" s="26"/>
      <c r="L35" s="24"/>
      <c r="M35" s="25" t="str">
        <f>H35</f>
        <v>ISO</v>
      </c>
      <c r="N35" s="25" t="str">
        <f>I35</f>
        <v>3x10s ea</v>
      </c>
      <c r="O35" s="26"/>
      <c r="Q35" s="46"/>
      <c r="R35" s="47" t="str">
        <f>H35</f>
        <v>ISO</v>
      </c>
      <c r="S35" s="47" t="str">
        <f>I35</f>
        <v>3x10s ea</v>
      </c>
      <c r="T35" s="48"/>
    </row>
    <row r="36" spans="2:20" s="2" customFormat="1" ht="4.9000000000000004" customHeight="1" thickBot="1" x14ac:dyDescent="0.3">
      <c r="B36" s="73"/>
      <c r="H36" s="1"/>
      <c r="Q36" s="49"/>
      <c r="R36" s="49"/>
      <c r="S36" s="49"/>
      <c r="T36" s="74"/>
    </row>
    <row r="37" spans="2:20" s="1" customFormat="1" ht="19.899999999999999" customHeight="1" x14ac:dyDescent="0.25">
      <c r="B37" s="9">
        <v>10</v>
      </c>
      <c r="C37" s="560" t="s">
        <v>263</v>
      </c>
      <c r="D37" s="560"/>
      <c r="E37" s="561"/>
      <c r="G37" s="21"/>
      <c r="H37" s="22" t="s">
        <v>890</v>
      </c>
      <c r="I37" s="22" t="s">
        <v>7</v>
      </c>
      <c r="J37" s="23"/>
      <c r="L37" s="21"/>
      <c r="M37" s="22" t="str">
        <f t="shared" ref="M37:M39" si="4">H37</f>
        <v>2-1-1-0</v>
      </c>
      <c r="N37" s="22" t="str">
        <f>I37</f>
        <v>1x20</v>
      </c>
      <c r="O37" s="23"/>
      <c r="Q37" s="21"/>
      <c r="R37" s="22" t="str">
        <f t="shared" ref="R37:R39" si="5">H37</f>
        <v>2-1-1-0</v>
      </c>
      <c r="S37" s="52" t="str">
        <f>I37</f>
        <v>1x20</v>
      </c>
      <c r="T37" s="23"/>
    </row>
    <row r="38" spans="2:20" s="1" customFormat="1" ht="19.899999999999999" customHeight="1" x14ac:dyDescent="0.25">
      <c r="B38" s="3">
        <v>11</v>
      </c>
      <c r="C38" s="567" t="s">
        <v>510</v>
      </c>
      <c r="D38" s="567"/>
      <c r="E38" s="568"/>
      <c r="G38" s="27"/>
      <c r="H38" s="28" t="s">
        <v>911</v>
      </c>
      <c r="I38" s="28" t="s">
        <v>7</v>
      </c>
      <c r="J38" s="29"/>
      <c r="L38" s="27"/>
      <c r="M38" s="28" t="str">
        <f t="shared" si="4"/>
        <v>5-0-3-0</v>
      </c>
      <c r="N38" s="28" t="str">
        <f>I38</f>
        <v>1x20</v>
      </c>
      <c r="O38" s="29"/>
      <c r="Q38" s="27"/>
      <c r="R38" s="28" t="str">
        <f t="shared" si="5"/>
        <v>5-0-3-0</v>
      </c>
      <c r="S38" s="28" t="str">
        <f>I38</f>
        <v>1x20</v>
      </c>
      <c r="T38" s="29"/>
    </row>
    <row r="39" spans="2:20" s="1" customFormat="1" ht="19.899999999999999" customHeight="1" thickBot="1" x14ac:dyDescent="0.3">
      <c r="B39" s="4">
        <v>12</v>
      </c>
      <c r="C39" s="565" t="s">
        <v>201</v>
      </c>
      <c r="D39" s="565"/>
      <c r="E39" s="566"/>
      <c r="G39" s="24"/>
      <c r="H39" s="25" t="s">
        <v>889</v>
      </c>
      <c r="I39" s="25" t="s">
        <v>7</v>
      </c>
      <c r="J39" s="26"/>
      <c r="L39" s="24"/>
      <c r="M39" s="25" t="str">
        <f t="shared" si="4"/>
        <v>3-1-1-1</v>
      </c>
      <c r="N39" s="25" t="str">
        <f>I39</f>
        <v>1x20</v>
      </c>
      <c r="O39" s="26"/>
      <c r="Q39" s="46"/>
      <c r="R39" s="47" t="str">
        <f t="shared" si="5"/>
        <v>3-1-1-1</v>
      </c>
      <c r="S39" s="47" t="str">
        <f>I39</f>
        <v>1x20</v>
      </c>
      <c r="T39" s="48"/>
    </row>
    <row r="40" spans="2:20" s="1" customFormat="1" ht="5.0999999999999996" customHeight="1" thickBot="1" x14ac:dyDescent="0.3">
      <c r="B40" s="4"/>
      <c r="C40" s="66"/>
      <c r="D40" s="66"/>
      <c r="E40" s="113"/>
      <c r="G40" s="4"/>
      <c r="H40" s="66"/>
      <c r="I40" s="66"/>
      <c r="J40" s="66"/>
      <c r="L40" s="66"/>
      <c r="M40" s="66"/>
      <c r="N40" s="66"/>
      <c r="O40" s="66"/>
      <c r="Q40" s="115"/>
      <c r="R40" s="115"/>
      <c r="S40" s="115"/>
      <c r="T40" s="116"/>
    </row>
    <row r="41" spans="2:20" s="2" customFormat="1" ht="18" customHeight="1" thickBot="1" x14ac:dyDescent="0.3">
      <c r="B41" s="638" t="s">
        <v>876</v>
      </c>
      <c r="C41" s="639"/>
      <c r="D41" s="639"/>
      <c r="E41" s="640"/>
      <c r="G41" s="520" t="s">
        <v>880</v>
      </c>
      <c r="H41" s="521" t="s">
        <v>9</v>
      </c>
      <c r="I41" s="521" t="s">
        <v>901</v>
      </c>
      <c r="J41" s="522" t="s">
        <v>880</v>
      </c>
      <c r="K41" s="523"/>
      <c r="L41" s="520" t="str">
        <f>G41</f>
        <v>GEWICHT</v>
      </c>
      <c r="M41" s="521" t="s">
        <v>9</v>
      </c>
      <c r="N41" s="521" t="str">
        <f>I41</f>
        <v>SxR/RPE 9</v>
      </c>
      <c r="O41" s="522" t="s">
        <v>880</v>
      </c>
      <c r="P41" s="523"/>
      <c r="Q41" s="520" t="str">
        <f>L41</f>
        <v>GEWICHT</v>
      </c>
      <c r="R41" s="521" t="s">
        <v>9</v>
      </c>
      <c r="S41" s="521" t="str">
        <f>I41</f>
        <v>SxR/RPE 9</v>
      </c>
      <c r="T41" s="522" t="s">
        <v>880</v>
      </c>
    </row>
    <row r="42" spans="2:20" s="1" customFormat="1" ht="19.899999999999999" customHeight="1" x14ac:dyDescent="0.25">
      <c r="B42" s="9">
        <v>13</v>
      </c>
      <c r="C42" s="560" t="s">
        <v>208</v>
      </c>
      <c r="D42" s="560"/>
      <c r="E42" s="561"/>
      <c r="G42" s="21"/>
      <c r="H42" s="22" t="s">
        <v>900</v>
      </c>
      <c r="I42" s="22" t="s">
        <v>15</v>
      </c>
      <c r="J42" s="23"/>
      <c r="L42" s="21"/>
      <c r="M42" s="22" t="str">
        <f>H42</f>
        <v>ISO</v>
      </c>
      <c r="N42" s="22" t="str">
        <f>I42</f>
        <v>1x30s</v>
      </c>
      <c r="O42" s="23"/>
      <c r="Q42" s="21"/>
      <c r="R42" s="22" t="str">
        <f>H42</f>
        <v>ISO</v>
      </c>
      <c r="S42" s="22" t="str">
        <f>N42</f>
        <v>1x30s</v>
      </c>
      <c r="T42" s="23"/>
    </row>
    <row r="43" spans="2:20" s="1" customFormat="1" ht="19.899999999999999" customHeight="1" x14ac:dyDescent="0.25">
      <c r="B43" s="3">
        <v>14</v>
      </c>
      <c r="C43" s="567" t="s">
        <v>515</v>
      </c>
      <c r="D43" s="567"/>
      <c r="E43" s="568"/>
      <c r="G43" s="27"/>
      <c r="H43" s="28" t="s">
        <v>900</v>
      </c>
      <c r="I43" s="28" t="s">
        <v>15</v>
      </c>
      <c r="J43" s="29"/>
      <c r="L43" s="27"/>
      <c r="M43" s="28" t="str">
        <f>H43</f>
        <v>ISO</v>
      </c>
      <c r="N43" s="28" t="str">
        <f>I43</f>
        <v>1x30s</v>
      </c>
      <c r="O43" s="29"/>
      <c r="Q43" s="27"/>
      <c r="R43" s="28" t="str">
        <f>H43</f>
        <v>ISO</v>
      </c>
      <c r="S43" s="28" t="str">
        <f>N43</f>
        <v>1x30s</v>
      </c>
      <c r="T43" s="29"/>
    </row>
    <row r="44" spans="2:20" s="1" customFormat="1" ht="19.899999999999999" customHeight="1" thickBot="1" x14ac:dyDescent="0.3">
      <c r="B44" s="4">
        <v>15</v>
      </c>
      <c r="C44" s="571" t="s">
        <v>353</v>
      </c>
      <c r="D44" s="571"/>
      <c r="E44" s="572"/>
      <c r="F44" s="66"/>
      <c r="G44" s="24"/>
      <c r="H44" s="25" t="s">
        <v>900</v>
      </c>
      <c r="I44" s="25" t="s">
        <v>15</v>
      </c>
      <c r="J44" s="26"/>
      <c r="K44" s="66"/>
      <c r="L44" s="24"/>
      <c r="M44" s="25" t="str">
        <f>H44</f>
        <v>ISO</v>
      </c>
      <c r="N44" s="25" t="str">
        <f>I44</f>
        <v>1x30s</v>
      </c>
      <c r="O44" s="26"/>
      <c r="P44" s="66"/>
      <c r="Q44" s="24"/>
      <c r="R44" s="25" t="str">
        <f>H44</f>
        <v>ISO</v>
      </c>
      <c r="S44" s="25" t="str">
        <f>N44</f>
        <v>1x30s</v>
      </c>
      <c r="T44" s="26"/>
    </row>
  </sheetData>
  <mergeCells count="43">
    <mergeCell ref="O2:T7"/>
    <mergeCell ref="M10:N10"/>
    <mergeCell ref="B12:T12"/>
    <mergeCell ref="B13:D13"/>
    <mergeCell ref="G13:I13"/>
    <mergeCell ref="J13:M13"/>
    <mergeCell ref="N13:Q13"/>
    <mergeCell ref="R13:T13"/>
    <mergeCell ref="E13:F13"/>
    <mergeCell ref="R15:T15"/>
    <mergeCell ref="B16:E17"/>
    <mergeCell ref="G16:T16"/>
    <mergeCell ref="H17:I17"/>
    <mergeCell ref="M17:N17"/>
    <mergeCell ref="R17:S17"/>
    <mergeCell ref="E15:F15"/>
    <mergeCell ref="N15:Q15"/>
    <mergeCell ref="B15:D15"/>
    <mergeCell ref="G15:I15"/>
    <mergeCell ref="J15:M15"/>
    <mergeCell ref="B18:E18"/>
    <mergeCell ref="C19:E19"/>
    <mergeCell ref="C20:E20"/>
    <mergeCell ref="C21:E21"/>
    <mergeCell ref="C30:E30"/>
    <mergeCell ref="C24:E24"/>
    <mergeCell ref="B23:E23"/>
    <mergeCell ref="B14:T14"/>
    <mergeCell ref="C44:E44"/>
    <mergeCell ref="C33:E33"/>
    <mergeCell ref="C34:E34"/>
    <mergeCell ref="C35:E35"/>
    <mergeCell ref="C37:E37"/>
    <mergeCell ref="C38:E38"/>
    <mergeCell ref="B32:E32"/>
    <mergeCell ref="C39:E39"/>
    <mergeCell ref="B41:E41"/>
    <mergeCell ref="C42:E42"/>
    <mergeCell ref="C43:E43"/>
    <mergeCell ref="C25:E25"/>
    <mergeCell ref="C26:E26"/>
    <mergeCell ref="C28:E28"/>
    <mergeCell ref="C29:E29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00000000-0002-0000-0D00-000001000000}">
          <x14:formula1>
            <xm:f>' Unterkörper Progressionen '!$Z$2:$Z$17</xm:f>
          </x14:formula1>
          <xm:sqref>N29 S38 S34 N34 N38 S29</xm:sqref>
        </x14:dataValidation>
        <x14:dataValidation type="list" allowBlank="1" showInputMessage="1" showErrorMessage="1" xr:uid="{00000000-0002-0000-0D00-000002000000}">
          <x14:formula1>
            <xm:f>'Oberkörper Progressionen '!$S:$S</xm:f>
          </x14:formula1>
          <xm:sqref>C44:E44</xm:sqref>
        </x14:dataValidation>
        <x14:dataValidation type="list" allowBlank="1" showInputMessage="1" showErrorMessage="1" xr:uid="{00000000-0002-0000-0D00-000003000000}">
          <x14:formula1>
            <xm:f>'Oberkörper Progressionen '!$R:$R</xm:f>
          </x14:formula1>
          <xm:sqref>C42:E42</xm:sqref>
        </x14:dataValidation>
        <x14:dataValidation type="list" allowBlank="1" showInputMessage="1" showErrorMessage="1" xr:uid="{00000000-0002-0000-0D00-000004000000}">
          <x14:formula1>
            <xm:f>'Oberkörper Progressionen '!$K:$K</xm:f>
          </x14:formula1>
          <xm:sqref>C39:E40</xm:sqref>
        </x14:dataValidation>
        <x14:dataValidation type="list" allowBlank="1" showInputMessage="1" showErrorMessage="1" xr:uid="{00000000-0002-0000-0D00-000005000000}">
          <x14:formula1>
            <xm:f>'Oberkörper Progressionen '!$P:$P</xm:f>
          </x14:formula1>
          <xm:sqref>C38:E38</xm:sqref>
        </x14:dataValidation>
        <x14:dataValidation type="list" allowBlank="1" showInputMessage="1" showErrorMessage="1" xr:uid="{00000000-0002-0000-0D00-000006000000}">
          <x14:formula1>
            <xm:f>'Oberkörper Progressionen '!$O:$O</xm:f>
          </x14:formula1>
          <xm:sqref>C37:E37</xm:sqref>
        </x14:dataValidation>
        <x14:dataValidation type="list" allowBlank="1" showInputMessage="1" showErrorMessage="1" xr:uid="{00000000-0002-0000-0D00-000007000000}">
          <x14:formula1>
            <xm:f>'Oberkörper Progressionen '!$J:$J</xm:f>
          </x14:formula1>
          <xm:sqref>C35:E35</xm:sqref>
        </x14:dataValidation>
        <x14:dataValidation type="list" allowBlank="1" showInputMessage="1" showErrorMessage="1" xr:uid="{00000000-0002-0000-0D00-000008000000}">
          <x14:formula1>
            <xm:f>'Oberkörper Progressionen '!$M:$M</xm:f>
          </x14:formula1>
          <xm:sqref>C34:E34</xm:sqref>
        </x14:dataValidation>
        <x14:dataValidation type="list" allowBlank="1" showInputMessage="1" showErrorMessage="1" xr:uid="{00000000-0002-0000-0D00-000009000000}">
          <x14:formula1>
            <xm:f>'Oberkörper Progressionen '!$L:$L</xm:f>
          </x14:formula1>
          <xm:sqref>C33:E33</xm:sqref>
        </x14:dataValidation>
        <x14:dataValidation type="list" allowBlank="1" showInputMessage="1" showErrorMessage="1" xr:uid="{00000000-0002-0000-0D00-00000A000000}">
          <x14:formula1>
            <xm:f>'Oberkörper Progressionen '!$G:$G</xm:f>
          </x14:formula1>
          <xm:sqref>C30:E31</xm:sqref>
        </x14:dataValidation>
        <x14:dataValidation type="list" allowBlank="1" showInputMessage="1" showErrorMessage="1" xr:uid="{00000000-0002-0000-0D00-00000B000000}">
          <x14:formula1>
            <xm:f>'Oberkörper Progressionen '!$I:$I</xm:f>
          </x14:formula1>
          <xm:sqref>C29:E29</xm:sqref>
        </x14:dataValidation>
        <x14:dataValidation type="list" allowBlank="1" showInputMessage="1" showErrorMessage="1" xr:uid="{00000000-0002-0000-0D00-00000C000000}">
          <x14:formula1>
            <xm:f>'Oberkörper Progressionen '!$H:$H</xm:f>
          </x14:formula1>
          <xm:sqref>C28:E28</xm:sqref>
        </x14:dataValidation>
        <x14:dataValidation type="list" allowBlank="1" showInputMessage="1" showErrorMessage="1" xr:uid="{00000000-0002-0000-0D00-00000D000000}">
          <x14:formula1>
            <xm:f>'Oberkörper Progressionen '!$N:$N</xm:f>
          </x14:formula1>
          <xm:sqref>C26:E26</xm:sqref>
        </x14:dataValidation>
        <x14:dataValidation type="list" allowBlank="1" showInputMessage="1" showErrorMessage="1" xr:uid="{00000000-0002-0000-0D00-00000E000000}">
          <x14:formula1>
            <xm:f>'Oberkörper Progressionen '!$F:$F</xm:f>
          </x14:formula1>
          <xm:sqref>C25:E25</xm:sqref>
        </x14:dataValidation>
        <x14:dataValidation type="list" allowBlank="1" showInputMessage="1" showErrorMessage="1" xr:uid="{00000000-0002-0000-0D00-00000F000000}">
          <x14:formula1>
            <xm:f>'Oberkörper Progressionen '!$E:$E</xm:f>
          </x14:formula1>
          <xm:sqref>C24:E24</xm:sqref>
        </x14:dataValidation>
        <x14:dataValidation type="list" allowBlank="1" showInputMessage="1" showErrorMessage="1" xr:uid="{00000000-0002-0000-0D00-000012000000}">
          <x14:formula1>
            <xm:f>'Oberkörper Progressionen '!$B:$B</xm:f>
          </x14:formula1>
          <xm:sqref>C19:E19</xm:sqref>
        </x14:dataValidation>
        <x14:dataValidation type="list" allowBlank="1" showInputMessage="1" showErrorMessage="1" xr:uid="{00000000-0002-0000-0D00-000013000000}">
          <x14:formula1>
            <xm:f>'Oberkörper Progressionen '!$Q:$Q</xm:f>
          </x14:formula1>
          <xm:sqref>C43:E43</xm:sqref>
        </x14:dataValidation>
        <x14:dataValidation type="list" allowBlank="1" showInputMessage="1" showErrorMessage="1" xr:uid="{00000000-0002-0000-0D00-000010000000}">
          <x14:formula1>
            <xm:f>'Oberkörper Progressionen '!$D:$D</xm:f>
          </x14:formula1>
          <xm:sqref>C21:E21</xm:sqref>
        </x14:dataValidation>
        <x14:dataValidation type="list" allowBlank="1" showInputMessage="1" showErrorMessage="1" xr:uid="{00000000-0002-0000-0D00-000011000000}">
          <x14:formula1>
            <xm:f>'Oberkörper Progressionen '!$C:$C</xm:f>
          </x14:formula1>
          <xm:sqref>C20:E20</xm:sqref>
        </x14:dataValidation>
        <x14:dataValidation type="list" allowBlank="1" showInputMessage="1" showErrorMessage="1" xr:uid="{00000000-0002-0000-0D00-000014000000}">
          <x14:formula1>
            <xm:f>' Unterkörper Progressionen '!$AA:$AA</xm:f>
          </x14:formula1>
          <xm:sqref>J20:J21</xm:sqref>
        </x14:dataValidation>
        <x14:dataValidation type="list" allowBlank="1" showInputMessage="1" showErrorMessage="1" xr:uid="{00000000-0002-0000-0D00-000015000000}">
          <x14:formula1>
            <xm:f>' Unterkörper Progressionen '!$Z:$Z</xm:f>
          </x14:formula1>
          <xm:sqref>I24:I25 I42:I44 I37:I40 I33:I35 I28:I31</xm:sqref>
        </x14:dataValidation>
        <x14:dataValidation type="list" allowBlank="1" showInputMessage="1" showErrorMessage="1" xr:uid="{8A1A3261-432C-4806-89F9-7B3C7B00EB06}">
          <x14:formula1>
            <xm:f>' Unterkörper Progressionen '!$AC:$AC</xm:f>
          </x14:formula1>
          <xm:sqref>S32 S23 I23 N23 S41 N41 I41 I32 N32</xm:sqref>
        </x14:dataValidation>
        <x14:dataValidation type="list" allowBlank="1" showInputMessage="1" showErrorMessage="1" xr:uid="{477B1355-98C6-4764-9EC0-106DA2B358B8}">
          <x14:formula1>
            <xm:f>' Unterkörper Progressionen '!$AB:$AB</xm:f>
          </x14:formula1>
          <xm:sqref>H19:H21 H42:H44 H37:H39 H33:H35 H28:H30 H24:H26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X54"/>
  <sheetViews>
    <sheetView zoomScale="70" zoomScaleNormal="70" workbookViewId="0">
      <selection activeCell="C39" sqref="C39:E39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ht="16.5" hidden="1" thickBot="1" x14ac:dyDescent="0.3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">
        <v>145</v>
      </c>
      <c r="C13" s="631"/>
      <c r="D13" s="631"/>
      <c r="E13" s="633" t="s">
        <v>737</v>
      </c>
      <c r="F13" s="634"/>
      <c r="G13" s="631" t="s">
        <v>38</v>
      </c>
      <c r="H13" s="631"/>
      <c r="I13" s="631"/>
      <c r="J13" s="631" t="s">
        <v>26</v>
      </c>
      <c r="K13" s="631"/>
      <c r="L13" s="631"/>
      <c r="M13" s="631"/>
      <c r="N13" s="631" t="s">
        <v>691</v>
      </c>
      <c r="O13" s="631"/>
      <c r="P13" s="631"/>
      <c r="Q13" s="631"/>
      <c r="R13" s="631" t="s">
        <v>347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">
        <v>682</v>
      </c>
      <c r="C15" s="553"/>
      <c r="D15" s="553"/>
      <c r="E15" s="625" t="s">
        <v>153</v>
      </c>
      <c r="F15" s="626"/>
      <c r="G15" s="553" t="s">
        <v>299</v>
      </c>
      <c r="H15" s="553"/>
      <c r="I15" s="553"/>
      <c r="J15" s="553" t="s">
        <v>140</v>
      </c>
      <c r="K15" s="553"/>
      <c r="L15" s="553"/>
      <c r="M15" s="553"/>
      <c r="N15" s="553" t="s">
        <v>68</v>
      </c>
      <c r="O15" s="553"/>
      <c r="P15" s="553"/>
      <c r="Q15" s="553"/>
      <c r="R15" s="553" t="s">
        <v>750</v>
      </c>
      <c r="S15" s="553"/>
      <c r="T15" s="556"/>
    </row>
    <row r="16" spans="2:23" ht="4.9000000000000004" hidden="1" customHeight="1" thickBot="1" x14ac:dyDescent="0.3"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2:24" ht="18" customHeight="1" thickBot="1" x14ac:dyDescent="0.3">
      <c r="B17" s="619" t="s">
        <v>367</v>
      </c>
      <c r="C17" s="620"/>
      <c r="D17" s="620"/>
      <c r="E17" s="621"/>
      <c r="F17" s="310"/>
      <c r="G17" s="562" t="s">
        <v>116</v>
      </c>
      <c r="H17" s="563"/>
      <c r="I17" s="563"/>
      <c r="J17" s="563"/>
      <c r="K17" s="563"/>
      <c r="L17" s="563"/>
      <c r="M17" s="563"/>
      <c r="N17" s="563"/>
      <c r="O17" s="563"/>
      <c r="P17" s="563"/>
      <c r="Q17" s="563"/>
      <c r="R17" s="563"/>
      <c r="S17" s="563"/>
      <c r="T17" s="564"/>
    </row>
    <row r="18" spans="2:24" ht="21.6" customHeight="1" thickBot="1" x14ac:dyDescent="0.3">
      <c r="B18" s="622"/>
      <c r="C18" s="623"/>
      <c r="D18" s="623"/>
      <c r="E18" s="624"/>
      <c r="F18" s="1"/>
      <c r="G18" s="70" t="s">
        <v>865</v>
      </c>
      <c r="H18" s="582" t="s">
        <v>877</v>
      </c>
      <c r="I18" s="583"/>
      <c r="J18" s="71" t="s">
        <v>866</v>
      </c>
      <c r="K18" s="64"/>
      <c r="L18" s="70" t="s">
        <v>867</v>
      </c>
      <c r="M18" s="582" t="s">
        <v>878</v>
      </c>
      <c r="N18" s="583"/>
      <c r="O18" s="71" t="s">
        <v>868</v>
      </c>
      <c r="P18" s="64"/>
      <c r="Q18" s="70" t="s">
        <v>869</v>
      </c>
      <c r="R18" s="595" t="s">
        <v>879</v>
      </c>
      <c r="S18" s="596"/>
      <c r="T18" s="71" t="s">
        <v>870</v>
      </c>
      <c r="W18" s="36"/>
      <c r="X18" s="1"/>
    </row>
    <row r="19" spans="2:24" ht="18" customHeight="1" thickBot="1" x14ac:dyDescent="0.3">
      <c r="B19" s="613" t="s">
        <v>8</v>
      </c>
      <c r="C19" s="614"/>
      <c r="D19" s="614"/>
      <c r="E19" s="615"/>
      <c r="F19" s="72"/>
      <c r="G19" s="529" t="s">
        <v>880</v>
      </c>
      <c r="H19" s="530" t="s">
        <v>9</v>
      </c>
      <c r="I19" s="530" t="s">
        <v>11</v>
      </c>
      <c r="J19" s="531" t="s">
        <v>880</v>
      </c>
      <c r="K19" s="1"/>
      <c r="L19" s="529" t="s">
        <v>9</v>
      </c>
      <c r="M19" s="530" t="s">
        <v>10</v>
      </c>
      <c r="N19" s="530" t="s">
        <v>11</v>
      </c>
      <c r="O19" s="531" t="s">
        <v>880</v>
      </c>
      <c r="P19" s="1"/>
      <c r="Q19" s="532" t="s">
        <v>9</v>
      </c>
      <c r="R19" s="533" t="s">
        <v>10</v>
      </c>
      <c r="S19" s="533" t="s">
        <v>11</v>
      </c>
      <c r="T19" s="534" t="s">
        <v>880</v>
      </c>
      <c r="W19" s="37"/>
      <c r="X19" s="1"/>
    </row>
    <row r="20" spans="2:24" s="1" customFormat="1" ht="19.899999999999999" customHeight="1" x14ac:dyDescent="0.25">
      <c r="B20" s="9">
        <v>1</v>
      </c>
      <c r="C20" s="560" t="s">
        <v>98</v>
      </c>
      <c r="D20" s="560"/>
      <c r="E20" s="561"/>
      <c r="G20" s="18"/>
      <c r="H20" s="22" t="s">
        <v>12</v>
      </c>
      <c r="I20" s="19" t="s">
        <v>14</v>
      </c>
      <c r="J20" s="20" t="s">
        <v>16</v>
      </c>
      <c r="L20" s="18" t="s">
        <v>12</v>
      </c>
      <c r="M20" s="19"/>
      <c r="N20" s="19" t="s">
        <v>14</v>
      </c>
      <c r="O20" s="20" t="s">
        <v>16</v>
      </c>
      <c r="Q20" s="43" t="s">
        <v>12</v>
      </c>
      <c r="R20" s="44"/>
      <c r="S20" s="44" t="s">
        <v>14</v>
      </c>
      <c r="T20" s="45" t="s">
        <v>16</v>
      </c>
      <c r="W20" s="36"/>
    </row>
    <row r="21" spans="2:24" s="1" customFormat="1" ht="19.899999999999999" customHeight="1" x14ac:dyDescent="0.25">
      <c r="B21" s="3">
        <v>2</v>
      </c>
      <c r="C21" s="567" t="s">
        <v>112</v>
      </c>
      <c r="D21" s="567"/>
      <c r="E21" s="568"/>
      <c r="G21" s="67"/>
      <c r="H21" s="28" t="s">
        <v>12</v>
      </c>
      <c r="I21" s="68" t="s">
        <v>14</v>
      </c>
      <c r="J21" s="69" t="s">
        <v>725</v>
      </c>
      <c r="L21" s="67" t="s">
        <v>12</v>
      </c>
      <c r="M21" s="68"/>
      <c r="N21" s="68" t="s">
        <v>14</v>
      </c>
      <c r="O21" s="69" t="str">
        <f>J21</f>
        <v>2kg</v>
      </c>
      <c r="Q21" s="75" t="s">
        <v>12</v>
      </c>
      <c r="R21" s="76"/>
      <c r="S21" s="76" t="s">
        <v>14</v>
      </c>
      <c r="T21" s="77" t="str">
        <f>J21</f>
        <v>2kg</v>
      </c>
      <c r="W21" s="36"/>
    </row>
    <row r="22" spans="2:24" s="1" customFormat="1" ht="19.899999999999999" customHeight="1" thickBot="1" x14ac:dyDescent="0.3">
      <c r="B22" s="4">
        <v>3</v>
      </c>
      <c r="C22" s="565" t="s">
        <v>113</v>
      </c>
      <c r="D22" s="565"/>
      <c r="E22" s="566"/>
      <c r="G22" s="24"/>
      <c r="H22" s="25" t="s">
        <v>12</v>
      </c>
      <c r="I22" s="25" t="s">
        <v>14</v>
      </c>
      <c r="J22" s="26" t="s">
        <v>725</v>
      </c>
      <c r="L22" s="24" t="s">
        <v>12</v>
      </c>
      <c r="M22" s="25"/>
      <c r="N22" s="25" t="s">
        <v>14</v>
      </c>
      <c r="O22" s="26" t="str">
        <f>J22</f>
        <v>2kg</v>
      </c>
      <c r="Q22" s="46" t="s">
        <v>12</v>
      </c>
      <c r="R22" s="47"/>
      <c r="S22" s="47" t="s">
        <v>14</v>
      </c>
      <c r="T22" s="48" t="str">
        <f>J22</f>
        <v>2kg</v>
      </c>
    </row>
    <row r="23" spans="2:24" s="2" customFormat="1" ht="4.9000000000000004" customHeight="1" thickBot="1" x14ac:dyDescent="0.3">
      <c r="B23" s="73"/>
      <c r="G23" s="1"/>
      <c r="H23" s="1"/>
      <c r="Q23" s="49"/>
      <c r="R23" s="49"/>
      <c r="S23" s="49"/>
      <c r="T23" s="74"/>
      <c r="X23" s="1"/>
    </row>
    <row r="24" spans="2:24" s="1" customFormat="1" ht="18" customHeight="1" thickBot="1" x14ac:dyDescent="0.3">
      <c r="B24" s="616" t="s">
        <v>882</v>
      </c>
      <c r="C24" s="617"/>
      <c r="D24" s="617"/>
      <c r="E24" s="618"/>
      <c r="G24" s="511" t="s">
        <v>880</v>
      </c>
      <c r="H24" s="512" t="s">
        <v>9</v>
      </c>
      <c r="I24" s="512" t="s">
        <v>897</v>
      </c>
      <c r="J24" s="513" t="s">
        <v>880</v>
      </c>
      <c r="L24" s="511" t="str">
        <f>G24</f>
        <v>GEWICHT</v>
      </c>
      <c r="M24" s="512" t="s">
        <v>9</v>
      </c>
      <c r="N24" s="512" t="str">
        <f>I24</f>
        <v>SxR/RPE 8-9</v>
      </c>
      <c r="O24" s="513" t="s">
        <v>880</v>
      </c>
      <c r="Q24" s="514" t="str">
        <f>L24</f>
        <v>GEWICHT</v>
      </c>
      <c r="R24" s="515" t="s">
        <v>9</v>
      </c>
      <c r="S24" s="512" t="str">
        <f>I24</f>
        <v>SxR/RPE 8-9</v>
      </c>
      <c r="T24" s="516" t="s">
        <v>880</v>
      </c>
    </row>
    <row r="25" spans="2:24" s="1" customFormat="1" ht="19.899999999999999" customHeight="1" x14ac:dyDescent="0.25">
      <c r="B25" s="9">
        <v>1</v>
      </c>
      <c r="C25" s="560" t="s">
        <v>364</v>
      </c>
      <c r="D25" s="560"/>
      <c r="E25" s="561"/>
      <c r="G25" s="21"/>
      <c r="H25" s="22" t="s">
        <v>888</v>
      </c>
      <c r="I25" s="28" t="s">
        <v>719</v>
      </c>
      <c r="J25" s="23"/>
      <c r="L25" s="21"/>
      <c r="M25" s="22" t="str">
        <f t="shared" ref="M25:M26" si="0">H25</f>
        <v>3-1-1-0</v>
      </c>
      <c r="N25" s="22" t="str">
        <f>I25</f>
        <v>1x15</v>
      </c>
      <c r="O25" s="23"/>
      <c r="Q25" s="50"/>
      <c r="R25" s="52" t="str">
        <f t="shared" ref="R25:R26" si="1">M25</f>
        <v>3-1-1-0</v>
      </c>
      <c r="S25" s="52" t="str">
        <f>N25</f>
        <v>1x15</v>
      </c>
      <c r="T25" s="53"/>
    </row>
    <row r="26" spans="2:24" s="1" customFormat="1" ht="19.899999999999999" customHeight="1" x14ac:dyDescent="0.25">
      <c r="B26" s="3">
        <v>2</v>
      </c>
      <c r="C26" s="567" t="s">
        <v>267</v>
      </c>
      <c r="D26" s="567"/>
      <c r="E26" s="568"/>
      <c r="G26" s="27"/>
      <c r="H26" s="28" t="s">
        <v>889</v>
      </c>
      <c r="I26" s="28" t="s">
        <v>719</v>
      </c>
      <c r="J26" s="29"/>
      <c r="L26" s="27"/>
      <c r="M26" s="28" t="str">
        <f t="shared" si="0"/>
        <v>3-1-1-1</v>
      </c>
      <c r="N26" s="28" t="str">
        <f>I26</f>
        <v>1x15</v>
      </c>
      <c r="O26" s="29"/>
      <c r="Q26" s="54"/>
      <c r="R26" s="56" t="str">
        <f t="shared" si="1"/>
        <v>3-1-1-1</v>
      </c>
      <c r="S26" s="56" t="str">
        <f>N26</f>
        <v>1x15</v>
      </c>
      <c r="T26" s="57"/>
    </row>
    <row r="27" spans="2:24" s="1" customFormat="1" ht="19.899999999999999" customHeight="1" thickBot="1" x14ac:dyDescent="0.3">
      <c r="B27" s="4">
        <v>3</v>
      </c>
      <c r="C27" s="565" t="s">
        <v>654</v>
      </c>
      <c r="D27" s="565"/>
      <c r="E27" s="566"/>
      <c r="G27" s="24"/>
      <c r="H27" s="25" t="s">
        <v>900</v>
      </c>
      <c r="I27" s="25" t="s">
        <v>719</v>
      </c>
      <c r="J27" s="26"/>
      <c r="L27" s="24"/>
      <c r="M27" s="25" t="str">
        <f>H27</f>
        <v>ISO</v>
      </c>
      <c r="N27" s="25" t="str">
        <f>I27</f>
        <v>1x15</v>
      </c>
      <c r="O27" s="26"/>
      <c r="Q27" s="46"/>
      <c r="R27" s="47" t="str">
        <f>H27</f>
        <v>ISO</v>
      </c>
      <c r="S27" s="47" t="str">
        <f>N27</f>
        <v>1x15</v>
      </c>
      <c r="T27" s="48"/>
    </row>
    <row r="28" spans="2:24" s="2" customFormat="1" ht="4.9000000000000004" customHeight="1" thickBot="1" x14ac:dyDescent="0.3">
      <c r="B28" s="73"/>
      <c r="G28" s="1"/>
      <c r="H28" s="1"/>
      <c r="L28" s="1"/>
      <c r="M28" s="1"/>
      <c r="Q28" s="547"/>
      <c r="R28" s="547"/>
      <c r="S28" s="49"/>
      <c r="T28" s="74"/>
    </row>
    <row r="29" spans="2:24" s="1" customFormat="1" ht="19.899999999999999" customHeight="1" x14ac:dyDescent="0.25">
      <c r="B29" s="9">
        <v>4</v>
      </c>
      <c r="C29" s="560" t="s">
        <v>387</v>
      </c>
      <c r="D29" s="560"/>
      <c r="E29" s="561"/>
      <c r="G29" s="21"/>
      <c r="H29" s="22" t="s">
        <v>888</v>
      </c>
      <c r="I29" s="22" t="s">
        <v>719</v>
      </c>
      <c r="J29" s="23"/>
      <c r="L29" s="21"/>
      <c r="M29" s="22" t="str">
        <f t="shared" ref="M29:M30" si="2">H29</f>
        <v>3-1-1-0</v>
      </c>
      <c r="N29" s="22" t="str">
        <f>I29</f>
        <v>1x15</v>
      </c>
      <c r="O29" s="23"/>
      <c r="Q29" s="50"/>
      <c r="R29" s="52" t="str">
        <f>H29</f>
        <v>3-1-1-0</v>
      </c>
      <c r="S29" s="52" t="str">
        <f>N29</f>
        <v>1x15</v>
      </c>
      <c r="T29" s="53"/>
    </row>
    <row r="30" spans="2:24" s="1" customFormat="1" ht="19.899999999999999" customHeight="1" x14ac:dyDescent="0.25">
      <c r="B30" s="3">
        <v>5</v>
      </c>
      <c r="C30" s="567" t="s">
        <v>173</v>
      </c>
      <c r="D30" s="567"/>
      <c r="E30" s="568"/>
      <c r="G30" s="27"/>
      <c r="H30" s="28" t="s">
        <v>889</v>
      </c>
      <c r="I30" s="28" t="s">
        <v>719</v>
      </c>
      <c r="J30" s="29"/>
      <c r="L30" s="27"/>
      <c r="M30" s="28" t="str">
        <f t="shared" si="2"/>
        <v>3-1-1-1</v>
      </c>
      <c r="N30" s="28" t="str">
        <f>I30</f>
        <v>1x15</v>
      </c>
      <c r="O30" s="29"/>
      <c r="Q30" s="54"/>
      <c r="R30" s="56" t="str">
        <f>H29</f>
        <v>3-1-1-0</v>
      </c>
      <c r="S30" s="28" t="str">
        <f>N30</f>
        <v>1x15</v>
      </c>
      <c r="T30" s="57"/>
    </row>
    <row r="31" spans="2:24" s="1" customFormat="1" ht="19.899999999999999" customHeight="1" thickBot="1" x14ac:dyDescent="0.3">
      <c r="B31" s="4">
        <v>6</v>
      </c>
      <c r="C31" s="565" t="s">
        <v>77</v>
      </c>
      <c r="D31" s="565"/>
      <c r="E31" s="566"/>
      <c r="G31" s="24"/>
      <c r="H31" s="25" t="s">
        <v>900</v>
      </c>
      <c r="I31" s="25" t="s">
        <v>715</v>
      </c>
      <c r="J31" s="26"/>
      <c r="L31" s="24"/>
      <c r="M31" s="25" t="str">
        <f>H31</f>
        <v>ISO</v>
      </c>
      <c r="N31" s="25" t="str">
        <f>I31</f>
        <v>3x10s ea</v>
      </c>
      <c r="O31" s="26"/>
      <c r="Q31" s="46"/>
      <c r="R31" s="47" t="str">
        <f>H31</f>
        <v>ISO</v>
      </c>
      <c r="S31" s="47" t="str">
        <f>N31</f>
        <v>3x10s ea</v>
      </c>
      <c r="T31" s="48"/>
    </row>
    <row r="32" spans="2:24" s="1" customFormat="1" ht="5.0999999999999996" customHeight="1" thickBot="1" x14ac:dyDescent="0.3">
      <c r="B32" s="4"/>
      <c r="C32" s="66"/>
      <c r="D32" s="66"/>
      <c r="E32" s="113"/>
      <c r="G32" s="4"/>
      <c r="H32" s="66"/>
      <c r="I32" s="66"/>
      <c r="J32" s="66"/>
      <c r="L32" s="66"/>
      <c r="M32" s="66"/>
      <c r="N32" s="66"/>
      <c r="O32" s="66"/>
      <c r="Q32" s="115"/>
      <c r="R32" s="115"/>
      <c r="S32" s="115"/>
      <c r="T32" s="116"/>
    </row>
    <row r="33" spans="2:22" s="2" customFormat="1" ht="18" customHeight="1" thickBot="1" x14ac:dyDescent="0.3">
      <c r="B33" s="610" t="s">
        <v>883</v>
      </c>
      <c r="C33" s="611"/>
      <c r="D33" s="611"/>
      <c r="E33" s="612"/>
      <c r="F33" s="64"/>
      <c r="G33" s="541" t="s">
        <v>880</v>
      </c>
      <c r="H33" s="542" t="s">
        <v>9</v>
      </c>
      <c r="I33" s="542" t="s">
        <v>897</v>
      </c>
      <c r="J33" s="543" t="s">
        <v>880</v>
      </c>
      <c r="K33" s="1"/>
      <c r="L33" s="541" t="s">
        <v>880</v>
      </c>
      <c r="M33" s="542" t="s">
        <v>9</v>
      </c>
      <c r="N33" s="542" t="str">
        <f>I33</f>
        <v>SxR/RPE 8-9</v>
      </c>
      <c r="O33" s="543" t="s">
        <v>880</v>
      </c>
      <c r="P33" s="1"/>
      <c r="Q33" s="541" t="s">
        <v>880</v>
      </c>
      <c r="R33" s="542" t="s">
        <v>9</v>
      </c>
      <c r="S33" s="542" t="str">
        <f>I33</f>
        <v>SxR/RPE 8-9</v>
      </c>
      <c r="T33" s="543" t="s">
        <v>880</v>
      </c>
    </row>
    <row r="34" spans="2:22" s="1" customFormat="1" ht="19.899999999999999" customHeight="1" x14ac:dyDescent="0.25">
      <c r="B34" s="9">
        <v>7</v>
      </c>
      <c r="C34" s="560" t="s">
        <v>466</v>
      </c>
      <c r="D34" s="560"/>
      <c r="E34" s="561"/>
      <c r="G34" s="21"/>
      <c r="H34" s="22" t="s">
        <v>889</v>
      </c>
      <c r="I34" s="22" t="s">
        <v>719</v>
      </c>
      <c r="J34" s="23"/>
      <c r="L34" s="21"/>
      <c r="M34" s="22" t="str">
        <f t="shared" ref="M34:M36" si="3">H34</f>
        <v>3-1-1-1</v>
      </c>
      <c r="N34" s="22" t="str">
        <f>I34</f>
        <v>1x15</v>
      </c>
      <c r="O34" s="23"/>
      <c r="Q34" s="50"/>
      <c r="R34" s="52" t="str">
        <f>H34</f>
        <v>3-1-1-1</v>
      </c>
      <c r="S34" s="52" t="str">
        <f>I34</f>
        <v>1x15</v>
      </c>
      <c r="T34" s="53"/>
    </row>
    <row r="35" spans="2:22" s="1" customFormat="1" ht="19.899999999999999" customHeight="1" x14ac:dyDescent="0.25">
      <c r="B35" s="3">
        <v>8</v>
      </c>
      <c r="C35" s="567" t="s">
        <v>89</v>
      </c>
      <c r="D35" s="567"/>
      <c r="E35" s="568"/>
      <c r="G35" s="27"/>
      <c r="H35" s="28" t="s">
        <v>910</v>
      </c>
      <c r="I35" s="28" t="s">
        <v>754</v>
      </c>
      <c r="J35" s="29"/>
      <c r="L35" s="27"/>
      <c r="M35" s="28" t="str">
        <f t="shared" si="3"/>
        <v>2-2-2-2</v>
      </c>
      <c r="N35" s="28" t="str">
        <f>I35</f>
        <v>3x5 ea</v>
      </c>
      <c r="O35" s="29"/>
      <c r="Q35" s="54"/>
      <c r="R35" s="56" t="str">
        <f>H35</f>
        <v>2-2-2-2</v>
      </c>
      <c r="S35" s="28" t="str">
        <f>N35</f>
        <v>3x5 ea</v>
      </c>
      <c r="T35" s="57"/>
    </row>
    <row r="36" spans="2:22" s="1" customFormat="1" ht="19.899999999999999" customHeight="1" thickBot="1" x14ac:dyDescent="0.3">
      <c r="B36" s="4">
        <v>9</v>
      </c>
      <c r="C36" s="565" t="s">
        <v>630</v>
      </c>
      <c r="D36" s="565"/>
      <c r="E36" s="566"/>
      <c r="G36" s="24"/>
      <c r="H36" s="25" t="s">
        <v>900</v>
      </c>
      <c r="I36" s="25" t="s">
        <v>715</v>
      </c>
      <c r="J36" s="26"/>
      <c r="L36" s="24"/>
      <c r="M36" s="25" t="str">
        <f t="shared" si="3"/>
        <v>ISO</v>
      </c>
      <c r="N36" s="25" t="str">
        <f>I36</f>
        <v>3x10s ea</v>
      </c>
      <c r="O36" s="26"/>
      <c r="Q36" s="46"/>
      <c r="R36" s="47" t="str">
        <f>H36</f>
        <v>ISO</v>
      </c>
      <c r="S36" s="47" t="str">
        <f>N36</f>
        <v>3x10s ea</v>
      </c>
      <c r="T36" s="48"/>
    </row>
    <row r="37" spans="2:22" s="2" customFormat="1" ht="4.9000000000000004" customHeight="1" thickBot="1" x14ac:dyDescent="0.3">
      <c r="B37" s="73"/>
      <c r="G37" s="1"/>
      <c r="H37" s="1"/>
      <c r="L37" s="1"/>
      <c r="M37" s="1"/>
      <c r="Q37" s="547"/>
      <c r="R37" s="547"/>
      <c r="S37" s="49"/>
      <c r="T37" s="74"/>
    </row>
    <row r="38" spans="2:22" s="1" customFormat="1" ht="19.899999999999999" customHeight="1" x14ac:dyDescent="0.25">
      <c r="B38" s="9">
        <v>10</v>
      </c>
      <c r="C38" s="560" t="s">
        <v>414</v>
      </c>
      <c r="D38" s="560"/>
      <c r="E38" s="561"/>
      <c r="G38" s="21"/>
      <c r="H38" s="22" t="s">
        <v>889</v>
      </c>
      <c r="I38" s="22" t="s">
        <v>719</v>
      </c>
      <c r="J38" s="23"/>
      <c r="L38" s="21"/>
      <c r="M38" s="22" t="str">
        <f t="shared" ref="M38:M40" si="4">H38</f>
        <v>3-1-1-1</v>
      </c>
      <c r="N38" s="22" t="str">
        <f>I38</f>
        <v>1x15</v>
      </c>
      <c r="O38" s="23"/>
      <c r="Q38" s="21"/>
      <c r="R38" s="22" t="str">
        <f>H38</f>
        <v>3-1-1-1</v>
      </c>
      <c r="S38" s="52" t="str">
        <f>N38</f>
        <v>1x15</v>
      </c>
      <c r="T38" s="23"/>
    </row>
    <row r="39" spans="2:22" s="1" customFormat="1" ht="19.899999999999999" customHeight="1" x14ac:dyDescent="0.25">
      <c r="B39" s="3">
        <v>11</v>
      </c>
      <c r="C39" s="567" t="s">
        <v>916</v>
      </c>
      <c r="D39" s="567"/>
      <c r="E39" s="568"/>
      <c r="G39" s="27"/>
      <c r="H39" s="28" t="s">
        <v>900</v>
      </c>
      <c r="I39" s="28" t="s">
        <v>715</v>
      </c>
      <c r="J39" s="29"/>
      <c r="L39" s="27"/>
      <c r="M39" s="28" t="str">
        <f t="shared" si="4"/>
        <v>ISO</v>
      </c>
      <c r="N39" s="28" t="str">
        <f>I39</f>
        <v>3x10s ea</v>
      </c>
      <c r="O39" s="29"/>
      <c r="Q39" s="27"/>
      <c r="R39" s="28" t="str">
        <f>H39</f>
        <v>ISO</v>
      </c>
      <c r="S39" s="28" t="str">
        <f>N39</f>
        <v>3x10s ea</v>
      </c>
      <c r="T39" s="29"/>
    </row>
    <row r="40" spans="2:22" s="1" customFormat="1" ht="19.899999999999999" customHeight="1" thickBot="1" x14ac:dyDescent="0.3">
      <c r="B40" s="4">
        <v>12</v>
      </c>
      <c r="C40" s="565" t="s">
        <v>439</v>
      </c>
      <c r="D40" s="565"/>
      <c r="E40" s="566"/>
      <c r="G40" s="24"/>
      <c r="H40" s="25" t="s">
        <v>888</v>
      </c>
      <c r="I40" s="25" t="s">
        <v>719</v>
      </c>
      <c r="J40" s="26"/>
      <c r="L40" s="24"/>
      <c r="M40" s="25" t="str">
        <f t="shared" si="4"/>
        <v>3-1-1-0</v>
      </c>
      <c r="N40" s="25" t="str">
        <f>I40</f>
        <v>1x15</v>
      </c>
      <c r="O40" s="26"/>
      <c r="Q40" s="46"/>
      <c r="R40" s="47" t="str">
        <f>H40</f>
        <v>3-1-1-0</v>
      </c>
      <c r="S40" s="47" t="str">
        <f>N40</f>
        <v>1x15</v>
      </c>
      <c r="T40" s="48"/>
    </row>
    <row r="41" spans="2:22" s="1" customFormat="1" ht="5.0999999999999996" customHeight="1" thickBot="1" x14ac:dyDescent="0.3">
      <c r="B41" s="4"/>
      <c r="C41" s="66"/>
      <c r="D41" s="66"/>
      <c r="E41" s="113"/>
      <c r="G41" s="4"/>
      <c r="H41" s="66"/>
      <c r="I41" s="66"/>
      <c r="J41" s="66"/>
      <c r="L41" s="66"/>
      <c r="M41" s="66"/>
      <c r="N41" s="66"/>
      <c r="O41" s="66"/>
      <c r="Q41" s="115"/>
      <c r="R41" s="115"/>
      <c r="S41" s="115"/>
      <c r="T41" s="116"/>
    </row>
    <row r="42" spans="2:22" s="2" customFormat="1" ht="18" customHeight="1" thickBot="1" x14ac:dyDescent="0.3">
      <c r="B42" s="607" t="s">
        <v>875</v>
      </c>
      <c r="C42" s="608"/>
      <c r="D42" s="608"/>
      <c r="E42" s="609"/>
      <c r="F42" s="1"/>
      <c r="G42" s="549" t="s">
        <v>880</v>
      </c>
      <c r="H42" s="550" t="s">
        <v>9</v>
      </c>
      <c r="I42" s="550" t="s">
        <v>901</v>
      </c>
      <c r="J42" s="551" t="s">
        <v>880</v>
      </c>
      <c r="K42" s="523"/>
      <c r="L42" s="549" t="str">
        <f>G42</f>
        <v>GEWICHT</v>
      </c>
      <c r="M42" s="550" t="s">
        <v>9</v>
      </c>
      <c r="N42" s="550" t="str">
        <f>I42</f>
        <v>SxR/RPE 9</v>
      </c>
      <c r="O42" s="551" t="s">
        <v>880</v>
      </c>
      <c r="P42" s="547"/>
      <c r="Q42" s="549" t="str">
        <f>L42</f>
        <v>GEWICHT</v>
      </c>
      <c r="R42" s="550" t="s">
        <v>9</v>
      </c>
      <c r="S42" s="550" t="str">
        <f>I42</f>
        <v>SxR/RPE 9</v>
      </c>
      <c r="T42" s="551" t="s">
        <v>880</v>
      </c>
    </row>
    <row r="43" spans="2:22" s="1" customFormat="1" ht="19.899999999999999" customHeight="1" x14ac:dyDescent="0.25">
      <c r="B43" s="9">
        <v>13</v>
      </c>
      <c r="C43" s="560" t="s">
        <v>182</v>
      </c>
      <c r="D43" s="560"/>
      <c r="E43" s="561"/>
      <c r="G43" s="21"/>
      <c r="H43" s="22" t="s">
        <v>900</v>
      </c>
      <c r="I43" s="22" t="s">
        <v>209</v>
      </c>
      <c r="J43" s="23"/>
      <c r="L43" s="21"/>
      <c r="M43" s="22" t="str">
        <f>H43</f>
        <v>ISO</v>
      </c>
      <c r="N43" s="22" t="str">
        <f>I43</f>
        <v>1x45s</v>
      </c>
      <c r="O43" s="23"/>
      <c r="Q43" s="21"/>
      <c r="R43" s="22" t="str">
        <f>H43</f>
        <v>ISO</v>
      </c>
      <c r="S43" s="22" t="str">
        <f>N43</f>
        <v>1x45s</v>
      </c>
      <c r="T43" s="23"/>
    </row>
    <row r="44" spans="2:22" s="1" customFormat="1" ht="19.899999999999999" customHeight="1" x14ac:dyDescent="0.25">
      <c r="B44" s="3">
        <v>14</v>
      </c>
      <c r="C44" s="567" t="s">
        <v>36</v>
      </c>
      <c r="D44" s="567"/>
      <c r="E44" s="568"/>
      <c r="G44" s="27"/>
      <c r="H44" s="28" t="s">
        <v>900</v>
      </c>
      <c r="I44" s="28" t="s">
        <v>209</v>
      </c>
      <c r="J44" s="29"/>
      <c r="L44" s="27"/>
      <c r="M44" s="28" t="str">
        <f>H43</f>
        <v>ISO</v>
      </c>
      <c r="N44" s="28" t="str">
        <f>I44</f>
        <v>1x45s</v>
      </c>
      <c r="O44" s="29"/>
      <c r="Q44" s="27"/>
      <c r="R44" s="28" t="str">
        <f>H43</f>
        <v>ISO</v>
      </c>
      <c r="S44" s="28" t="str">
        <f>N44</f>
        <v>1x45s</v>
      </c>
      <c r="T44" s="29"/>
    </row>
    <row r="45" spans="2:22" s="1" customFormat="1" ht="19.899999999999999" customHeight="1" thickBot="1" x14ac:dyDescent="0.3">
      <c r="B45" s="4">
        <v>15</v>
      </c>
      <c r="C45" s="571" t="s">
        <v>338</v>
      </c>
      <c r="D45" s="571"/>
      <c r="E45" s="572"/>
      <c r="F45" s="66"/>
      <c r="G45" s="24"/>
      <c r="H45" s="25" t="s">
        <v>900</v>
      </c>
      <c r="I45" s="25" t="s">
        <v>209</v>
      </c>
      <c r="J45" s="26"/>
      <c r="K45" s="66"/>
      <c r="L45" s="24"/>
      <c r="M45" s="25" t="str">
        <f>H43</f>
        <v>ISO</v>
      </c>
      <c r="N45" s="25" t="str">
        <f>I45</f>
        <v>1x45s</v>
      </c>
      <c r="O45" s="26"/>
      <c r="P45" s="66"/>
      <c r="Q45" s="24"/>
      <c r="R45" s="25" t="str">
        <f>H43</f>
        <v>ISO</v>
      </c>
      <c r="S45" s="25" t="str">
        <f>N45</f>
        <v>1x45s</v>
      </c>
      <c r="T45" s="26"/>
    </row>
    <row r="46" spans="2:22" s="2" customFormat="1" ht="4.9000000000000004" customHeight="1" x14ac:dyDescent="0.25">
      <c r="Q46" s="49"/>
      <c r="R46" s="49"/>
      <c r="S46" s="49"/>
      <c r="T46" s="49"/>
    </row>
    <row r="47" spans="2:22" x14ac:dyDescent="0.25">
      <c r="V47" s="1"/>
    </row>
    <row r="48" spans="2:22" x14ac:dyDescent="0.25">
      <c r="V48" s="1"/>
    </row>
    <row r="49" spans="22:22" x14ac:dyDescent="0.25">
      <c r="V49" s="1"/>
    </row>
    <row r="50" spans="22:22" x14ac:dyDescent="0.25">
      <c r="V50" s="1"/>
    </row>
    <row r="51" spans="22:22" x14ac:dyDescent="0.25">
      <c r="V51" s="1"/>
    </row>
    <row r="52" spans="22:22" x14ac:dyDescent="0.25">
      <c r="V52" s="1"/>
    </row>
    <row r="53" spans="22:22" x14ac:dyDescent="0.25">
      <c r="V53" s="1"/>
    </row>
    <row r="54" spans="22:22" x14ac:dyDescent="0.25">
      <c r="V54" s="1"/>
    </row>
  </sheetData>
  <mergeCells count="44">
    <mergeCell ref="O2:T7"/>
    <mergeCell ref="E10:G10"/>
    <mergeCell ref="I10:L10"/>
    <mergeCell ref="B12:T12"/>
    <mergeCell ref="B13:D13"/>
    <mergeCell ref="E13:F13"/>
    <mergeCell ref="G13:I13"/>
    <mergeCell ref="J13:M13"/>
    <mergeCell ref="N13:Q13"/>
    <mergeCell ref="R13:T13"/>
    <mergeCell ref="J15:M15"/>
    <mergeCell ref="B17:E18"/>
    <mergeCell ref="G17:T17"/>
    <mergeCell ref="H18:I18"/>
    <mergeCell ref="M18:N18"/>
    <mergeCell ref="R18:S18"/>
    <mergeCell ref="N15:Q15"/>
    <mergeCell ref="R15:T15"/>
    <mergeCell ref="B33:E33"/>
    <mergeCell ref="B19:E19"/>
    <mergeCell ref="B15:D15"/>
    <mergeCell ref="E15:F15"/>
    <mergeCell ref="G15:I15"/>
    <mergeCell ref="C26:E26"/>
    <mergeCell ref="C27:E27"/>
    <mergeCell ref="C29:E29"/>
    <mergeCell ref="C30:E30"/>
    <mergeCell ref="C31:E31"/>
    <mergeCell ref="B14:T14"/>
    <mergeCell ref="C43:E43"/>
    <mergeCell ref="C44:E44"/>
    <mergeCell ref="C45:E45"/>
    <mergeCell ref="C35:E35"/>
    <mergeCell ref="C36:E36"/>
    <mergeCell ref="C38:E38"/>
    <mergeCell ref="C39:E39"/>
    <mergeCell ref="C40:E40"/>
    <mergeCell ref="B42:E42"/>
    <mergeCell ref="C34:E34"/>
    <mergeCell ref="C20:E20"/>
    <mergeCell ref="C21:E21"/>
    <mergeCell ref="C22:E22"/>
    <mergeCell ref="B24:E24"/>
    <mergeCell ref="C25:E25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showInputMessage="1" showErrorMessage="1" xr:uid="{00000000-0002-0000-0E00-000000000000}">
          <x14:formula1>
            <xm:f>'BH1-2 Progressionen'!$A:$A</xm:f>
          </x14:formula1>
          <xm:sqref>B17:E18</xm:sqref>
        </x14:dataValidation>
        <x14:dataValidation type="list" allowBlank="1" showInputMessage="1" showErrorMessage="1" xr:uid="{00000000-0002-0000-0E00-000001000000}">
          <x14:formula1>
            <xm:f>'BH1-2 Progressionen'!$B:$B</xm:f>
          </x14:formula1>
          <xm:sqref>B13:D13</xm:sqref>
        </x14:dataValidation>
        <x14:dataValidation type="list" allowBlank="1" showInputMessage="1" showErrorMessage="1" xr:uid="{00000000-0002-0000-0E00-000002000000}">
          <x14:formula1>
            <xm:f>'BH1-2 Progressionen'!$C:$C</xm:f>
          </x14:formula1>
          <xm:sqref>E13</xm:sqref>
        </x14:dataValidation>
        <x14:dataValidation type="list" allowBlank="1" showInputMessage="1" showErrorMessage="1" xr:uid="{00000000-0002-0000-0E00-000003000000}">
          <x14:formula1>
            <xm:f>'BH1-2 Progressionen'!$G:$G</xm:f>
          </x14:formula1>
          <xm:sqref>R13:T13</xm:sqref>
        </x14:dataValidation>
        <x14:dataValidation type="list" allowBlank="1" showInputMessage="1" showErrorMessage="1" xr:uid="{00000000-0002-0000-0E00-000004000000}">
          <x14:formula1>
            <xm:f>'BH1-2 Progressionen'!$H:$H</xm:f>
          </x14:formula1>
          <xm:sqref>B15:D15</xm:sqref>
        </x14:dataValidation>
        <x14:dataValidation type="list" allowBlank="1" showInputMessage="1" showErrorMessage="1" xr:uid="{00000000-0002-0000-0E00-000005000000}">
          <x14:formula1>
            <xm:f>'BH1-2 Progressionen'!$I:$I</xm:f>
          </x14:formula1>
          <xm:sqref>E15</xm:sqref>
        </x14:dataValidation>
        <x14:dataValidation type="list" allowBlank="1" showInputMessage="1" showErrorMessage="1" xr:uid="{00000000-0002-0000-0E00-000006000000}">
          <x14:formula1>
            <xm:f>'BH1-2 Progressionen'!$M:$M</xm:f>
          </x14:formula1>
          <xm:sqref>R15:T15</xm:sqref>
        </x14:dataValidation>
        <x14:dataValidation type="list" allowBlank="1" showInputMessage="1" showErrorMessage="1" xr:uid="{00000000-0002-0000-0E00-000007000000}">
          <x14:formula1>
            <xm:f>'BH1-2 Progressionen'!$D:$D</xm:f>
          </x14:formula1>
          <xm:sqref>G13</xm:sqref>
        </x14:dataValidation>
        <x14:dataValidation type="list" allowBlank="1" showInputMessage="1" showErrorMessage="1" xr:uid="{00000000-0002-0000-0E00-000008000000}">
          <x14:formula1>
            <xm:f>'BH1-2 Progressionen'!$J:$J</xm:f>
          </x14:formula1>
          <xm:sqref>G15</xm:sqref>
        </x14:dataValidation>
        <x14:dataValidation type="list" allowBlank="1" showInputMessage="1" showErrorMessage="1" xr:uid="{00000000-0002-0000-0E00-000009000000}">
          <x14:formula1>
            <xm:f>'BH1-2 Progressionen'!$E:$E</xm:f>
          </x14:formula1>
          <xm:sqref>J13</xm:sqref>
        </x14:dataValidation>
        <x14:dataValidation type="list" allowBlank="1" showInputMessage="1" showErrorMessage="1" xr:uid="{00000000-0002-0000-0E00-00000A000000}">
          <x14:formula1>
            <xm:f>'BH1-2 Progressionen'!$K:$K</xm:f>
          </x14:formula1>
          <xm:sqref>J15</xm:sqref>
        </x14:dataValidation>
        <x14:dataValidation type="list" allowBlank="1" showInputMessage="1" showErrorMessage="1" xr:uid="{00000000-0002-0000-0E00-00000B000000}">
          <x14:formula1>
            <xm:f>'BH1-2 Progressionen'!$F:$F</xm:f>
          </x14:formula1>
          <xm:sqref>N13</xm:sqref>
        </x14:dataValidation>
        <x14:dataValidation type="list" allowBlank="1" showInputMessage="1" showErrorMessage="1" xr:uid="{00000000-0002-0000-0E00-00000C000000}">
          <x14:formula1>
            <xm:f>'BH1-2 Progressionen'!$L:$L</xm:f>
          </x14:formula1>
          <xm:sqref>N15</xm:sqref>
        </x14:dataValidation>
        <x14:dataValidation type="list" allowBlank="1" showInputMessage="1" showErrorMessage="1" xr:uid="{00000000-0002-0000-0E00-00000D000000}">
          <x14:formula1>
            <xm:f>' Unterkörper Progressionen '!$Z:$Z</xm:f>
          </x14:formula1>
          <xm:sqref>I25:I27 I43:I45 I34:I36 I38:I41 I29:I32</xm:sqref>
        </x14:dataValidation>
        <x14:dataValidation type="list" allowBlank="1" showInputMessage="1" showErrorMessage="1" xr:uid="{00000000-0002-0000-0E00-000012000000}">
          <x14:formula1>
            <xm:f>' Unterkörper Progressionen '!$AA:$AA</xm:f>
          </x14:formula1>
          <xm:sqref>J21</xm:sqref>
        </x14:dataValidation>
        <x14:dataValidation type="list" allowBlank="1" showInputMessage="1" showErrorMessage="1" xr:uid="{00000000-0002-0000-0E00-000013000000}">
          <x14:formula1>
            <xm:f>' Unterkörper Progressionen '!$B:$B</xm:f>
          </x14:formula1>
          <xm:sqref>C20:E20</xm:sqref>
        </x14:dataValidation>
        <x14:dataValidation type="list" allowBlank="1" showInputMessage="1" showErrorMessage="1" xr:uid="{00000000-0002-0000-0E00-000014000000}">
          <x14:formula1>
            <xm:f>' Unterkörper Progressionen '!$C:$C</xm:f>
          </x14:formula1>
          <xm:sqref>C21:E21</xm:sqref>
        </x14:dataValidation>
        <x14:dataValidation type="list" allowBlank="1" showInputMessage="1" showErrorMessage="1" xr:uid="{00000000-0002-0000-0E00-000015000000}">
          <x14:formula1>
            <xm:f>' Unterkörper Progressionen '!$D:$D</xm:f>
          </x14:formula1>
          <xm:sqref>C22:E22</xm:sqref>
        </x14:dataValidation>
        <x14:dataValidation type="list" allowBlank="1" showInputMessage="1" showErrorMessage="1" xr:uid="{00000000-0002-0000-0E00-000016000000}">
          <x14:formula1>
            <xm:f>' Unterkörper Progressionen '!$E:$E</xm:f>
          </x14:formula1>
          <xm:sqref>C25:E25</xm:sqref>
        </x14:dataValidation>
        <x14:dataValidation type="list" allowBlank="1" showInputMessage="1" showErrorMessage="1" xr:uid="{00000000-0002-0000-0E00-000017000000}">
          <x14:formula1>
            <xm:f>' Unterkörper Progressionen '!$F:$F</xm:f>
          </x14:formula1>
          <xm:sqref>C26:E26</xm:sqref>
        </x14:dataValidation>
        <x14:dataValidation type="list" allowBlank="1" showInputMessage="1" showErrorMessage="1" xr:uid="{00000000-0002-0000-0E00-000018000000}">
          <x14:formula1>
            <xm:f>' Unterkörper Progressionen '!$G:$G</xm:f>
          </x14:formula1>
          <xm:sqref>C27:E27</xm:sqref>
        </x14:dataValidation>
        <x14:dataValidation type="list" allowBlank="1" showInputMessage="1" showErrorMessage="1" xr:uid="{00000000-0002-0000-0E00-000019000000}">
          <x14:formula1>
            <xm:f>' Unterkörper Progressionen '!$H:$H</xm:f>
          </x14:formula1>
          <xm:sqref>C29:E29</xm:sqref>
        </x14:dataValidation>
        <x14:dataValidation type="list" allowBlank="1" showInputMessage="1" showErrorMessage="1" xr:uid="{00000000-0002-0000-0E00-00001A000000}">
          <x14:formula1>
            <xm:f>' Unterkörper Progressionen '!$I:$I</xm:f>
          </x14:formula1>
          <xm:sqref>C30:E30</xm:sqref>
        </x14:dataValidation>
        <x14:dataValidation type="list" allowBlank="1" showInputMessage="1" showErrorMessage="1" xr:uid="{00000000-0002-0000-0E00-00001B000000}">
          <x14:formula1>
            <xm:f>' Unterkörper Progressionen '!$J:$J</xm:f>
          </x14:formula1>
          <xm:sqref>C31:E31</xm:sqref>
        </x14:dataValidation>
        <x14:dataValidation type="list" allowBlank="1" showInputMessage="1" showErrorMessage="1" xr:uid="{00000000-0002-0000-0E00-00001C000000}">
          <x14:formula1>
            <xm:f>' Unterkörper Progressionen '!$L:$L</xm:f>
          </x14:formula1>
          <xm:sqref>C34:E34</xm:sqref>
        </x14:dataValidation>
        <x14:dataValidation type="list" allowBlank="1" showInputMessage="1" showErrorMessage="1" xr:uid="{00000000-0002-0000-0E00-00001D000000}">
          <x14:formula1>
            <xm:f>' Unterkörper Progressionen '!$M:$M</xm:f>
          </x14:formula1>
          <xm:sqref>C35:E35</xm:sqref>
        </x14:dataValidation>
        <x14:dataValidation type="list" allowBlank="1" showInputMessage="1" showErrorMessage="1" xr:uid="{00000000-0002-0000-0E00-00001E000000}">
          <x14:formula1>
            <xm:f>' Unterkörper Progressionen '!$P:$P</xm:f>
          </x14:formula1>
          <xm:sqref>C36:E36</xm:sqref>
        </x14:dataValidation>
        <x14:dataValidation type="list" allowBlank="1" showInputMessage="1" showErrorMessage="1" xr:uid="{00000000-0002-0000-0E00-00001F000000}">
          <x14:formula1>
            <xm:f>' Unterkörper Progressionen '!$Q:$Q</xm:f>
          </x14:formula1>
          <xm:sqref>C38:E38</xm:sqref>
        </x14:dataValidation>
        <x14:dataValidation type="list" allowBlank="1" showInputMessage="1" showErrorMessage="1" xr:uid="{00000000-0002-0000-0E00-000020000000}">
          <x14:formula1>
            <xm:f>' Unterkörper Progressionen '!$R:$R</xm:f>
          </x14:formula1>
          <xm:sqref>C39:E39</xm:sqref>
        </x14:dataValidation>
        <x14:dataValidation type="list" allowBlank="1" showInputMessage="1" showErrorMessage="1" xr:uid="{00000000-0002-0000-0E00-000021000000}">
          <x14:formula1>
            <xm:f>' Unterkörper Progressionen '!$S:$S</xm:f>
          </x14:formula1>
          <xm:sqref>C40:E40</xm:sqref>
        </x14:dataValidation>
        <x14:dataValidation type="list" allowBlank="1" showInputMessage="1" showErrorMessage="1" xr:uid="{00000000-0002-0000-0E00-000022000000}">
          <x14:formula1>
            <xm:f>' Unterkörper Progressionen '!$U:$U</xm:f>
          </x14:formula1>
          <xm:sqref>C43:E43</xm:sqref>
        </x14:dataValidation>
        <x14:dataValidation type="list" allowBlank="1" showInputMessage="1" showErrorMessage="1" xr:uid="{00000000-0002-0000-0E00-000023000000}">
          <x14:formula1>
            <xm:f>' Unterkörper Progressionen '!$V:$V</xm:f>
          </x14:formula1>
          <xm:sqref>C44:E44</xm:sqref>
        </x14:dataValidation>
        <x14:dataValidation type="list" allowBlank="1" showInputMessage="1" showErrorMessage="1" xr:uid="{00000000-0002-0000-0E00-000024000000}">
          <x14:formula1>
            <xm:f>' Unterkörper Progressionen '!$W:$W</xm:f>
          </x14:formula1>
          <xm:sqref>C45:E45</xm:sqref>
        </x14:dataValidation>
        <x14:dataValidation type="list" allowBlank="1" showInputMessage="1" showErrorMessage="1" xr:uid="{32E24045-A451-4456-8A42-D1C130403A0C}">
          <x14:formula1>
            <xm:f>' Unterkörper Progressionen '!$AC:$AC</xm:f>
          </x14:formula1>
          <xm:sqref>S33 I24 S42 N42 I42 I33 N33</xm:sqref>
        </x14:dataValidation>
        <x14:dataValidation type="list" allowBlank="1" showInputMessage="1" showErrorMessage="1" xr:uid="{0C1BFC8F-431F-474A-9E54-D07D1727C60A}">
          <x14:formula1>
            <xm:f>' Unterkörper Progressionen '!$AB:$AB</xm:f>
          </x14:formula1>
          <xm:sqref>H25:H27 H20:H22 H43:H45 H38:H40 H34:H36 H29:H31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W44"/>
  <sheetViews>
    <sheetView topLeftCell="A6" zoomScale="94" zoomScaleNormal="100" workbookViewId="0">
      <selection activeCell="H34" sqref="H34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W5" s="2"/>
    </row>
    <row r="6" spans="2:23" ht="16.5" customHeight="1" x14ac:dyDescent="0.25">
      <c r="B6" s="7"/>
      <c r="C6" s="59"/>
      <c r="O6" s="567"/>
      <c r="P6" s="567"/>
      <c r="Q6" s="567"/>
      <c r="R6" s="567"/>
      <c r="S6" s="567"/>
      <c r="T6" s="568"/>
      <c r="U6" s="2"/>
      <c r="W6" s="2"/>
    </row>
    <row r="7" spans="2:23" ht="16.5" customHeight="1" x14ac:dyDescent="0.25">
      <c r="B7" s="7"/>
      <c r="C7" s="59"/>
      <c r="O7" s="567"/>
      <c r="P7" s="567"/>
      <c r="Q7" s="567"/>
      <c r="R7" s="567"/>
      <c r="S7" s="567"/>
      <c r="T7" s="568"/>
      <c r="U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W8" s="2"/>
    </row>
    <row r="9" spans="2:23" ht="16.5" hidden="1" customHeight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W9" s="2"/>
    </row>
    <row r="10" spans="2:23" ht="16.5" hidden="1" customHeight="1" thickBot="1" x14ac:dyDescent="0.3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s">
        <v>710</v>
      </c>
      <c r="T10" s="63"/>
    </row>
    <row r="11" spans="2:23" ht="16.5" hidden="1" customHeight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1" customFormat="1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tr">
        <f>Unterkörper2!B13</f>
        <v>TGU - 1/2-KN. TO STAND</v>
      </c>
      <c r="C13" s="631"/>
      <c r="D13" s="631"/>
      <c r="E13" s="633" t="str">
        <f>Unterkörper2!E13</f>
        <v>LOADED BKWD CRAWL</v>
      </c>
      <c r="F13" s="634"/>
      <c r="G13" s="631" t="str">
        <f>Unterkörper2!G13</f>
        <v>1KB 1-ARM RACK CARRY</v>
      </c>
      <c r="H13" s="631"/>
      <c r="I13" s="631"/>
      <c r="J13" s="631" t="str">
        <f>Unterkörper2!J13</f>
        <v>KB/BW GOBLET SQUAT</v>
      </c>
      <c r="K13" s="631"/>
      <c r="L13" s="631"/>
      <c r="M13" s="631"/>
      <c r="N13" s="631" t="str">
        <f>Unterkörper2!N13</f>
        <v>2KB SUITCASE DEADLIFT</v>
      </c>
      <c r="O13" s="631"/>
      <c r="P13" s="631"/>
      <c r="Q13" s="631"/>
      <c r="R13" s="631" t="str">
        <f>Unterkörper2!R13</f>
        <v>1KB 1-LEG DEADLIFT TO BOX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tr">
        <f>Unterkörper2!B15</f>
        <v>LOADED ANKLE ROCKER PUSH PULL</v>
      </c>
      <c r="C15" s="553"/>
      <c r="D15" s="553"/>
      <c r="E15" s="625" t="str">
        <f>Unterkörper2!E15</f>
        <v>ANKLE POS. 1 30 SEC</v>
      </c>
      <c r="F15" s="626"/>
      <c r="G15" s="553" t="str">
        <f>Unterkörper2!G15</f>
        <v>LOADED ANKLE SKIPS</v>
      </c>
      <c r="H15" s="553"/>
      <c r="I15" s="553"/>
      <c r="J15" s="553" t="str">
        <f>Unterkörper2!J15</f>
        <v>KNEE RUN</v>
      </c>
      <c r="K15" s="553"/>
      <c r="L15" s="553"/>
      <c r="M15" s="553"/>
      <c r="N15" s="553" t="str">
        <f>Unterkörper2!N15</f>
        <v xml:space="preserve">1-LEG LINEAR HOP - TO BOX (NCM) </v>
      </c>
      <c r="O15" s="553"/>
      <c r="P15" s="553"/>
      <c r="Q15" s="553"/>
      <c r="R15" s="553" t="str">
        <f>Unterkörper2!R15</f>
        <v>LOADED CMJ TO BOX</v>
      </c>
      <c r="S15" s="553"/>
      <c r="T15" s="556"/>
    </row>
    <row r="16" spans="2:23" ht="16.5" customHeight="1" thickBot="1" x14ac:dyDescent="0.3">
      <c r="B16" s="647" t="str">
        <f>Unterkörper2!B17</f>
        <v>LEVEL 2</v>
      </c>
      <c r="C16" s="648"/>
      <c r="D16" s="648"/>
      <c r="E16" s="649"/>
      <c r="F16" s="1"/>
      <c r="G16" s="573" t="s">
        <v>352</v>
      </c>
      <c r="H16" s="574"/>
      <c r="I16" s="574"/>
      <c r="J16" s="574"/>
      <c r="K16" s="574"/>
      <c r="L16" s="574"/>
      <c r="M16" s="574"/>
      <c r="N16" s="574"/>
      <c r="O16" s="574"/>
      <c r="P16" s="574"/>
      <c r="Q16" s="574"/>
      <c r="R16" s="574"/>
      <c r="S16" s="574"/>
      <c r="T16" s="575"/>
    </row>
    <row r="17" spans="2:23" ht="21.6" customHeight="1" thickBot="1" x14ac:dyDescent="0.3">
      <c r="B17" s="622"/>
      <c r="C17" s="623"/>
      <c r="D17" s="623"/>
      <c r="E17" s="624"/>
      <c r="F17" s="1"/>
      <c r="G17" s="70" t="s">
        <v>865</v>
      </c>
      <c r="H17" s="582" t="s">
        <v>877</v>
      </c>
      <c r="I17" s="583"/>
      <c r="J17" s="71" t="s">
        <v>866</v>
      </c>
      <c r="K17" s="64"/>
      <c r="L17" s="70" t="s">
        <v>867</v>
      </c>
      <c r="M17" s="582" t="s">
        <v>878</v>
      </c>
      <c r="N17" s="583"/>
      <c r="O17" s="71" t="s">
        <v>868</v>
      </c>
      <c r="P17" s="64"/>
      <c r="Q17" s="70" t="s">
        <v>869</v>
      </c>
      <c r="R17" s="595" t="s">
        <v>879</v>
      </c>
      <c r="S17" s="596"/>
      <c r="T17" s="71" t="s">
        <v>870</v>
      </c>
    </row>
    <row r="18" spans="2:23" ht="18" customHeight="1" thickBot="1" x14ac:dyDescent="0.3">
      <c r="B18" s="641" t="s">
        <v>8</v>
      </c>
      <c r="C18" s="642"/>
      <c r="D18" s="642"/>
      <c r="E18" s="643"/>
      <c r="F18" s="1"/>
      <c r="G18" s="501" t="s">
        <v>880</v>
      </c>
      <c r="H18" s="502" t="s">
        <v>9</v>
      </c>
      <c r="I18" s="502" t="s">
        <v>11</v>
      </c>
      <c r="J18" s="503" t="s">
        <v>880</v>
      </c>
      <c r="K18" s="1"/>
      <c r="L18" s="501" t="s">
        <v>880</v>
      </c>
      <c r="M18" s="502" t="s">
        <v>9</v>
      </c>
      <c r="N18" s="502" t="s">
        <v>11</v>
      </c>
      <c r="O18" s="503" t="s">
        <v>880</v>
      </c>
      <c r="P18" s="1"/>
      <c r="Q18" s="504" t="s">
        <v>880</v>
      </c>
      <c r="R18" s="505" t="s">
        <v>9</v>
      </c>
      <c r="S18" s="505" t="s">
        <v>11</v>
      </c>
      <c r="T18" s="506" t="s">
        <v>880</v>
      </c>
    </row>
    <row r="19" spans="2:23" s="1" customFormat="1" ht="19.899999999999999" customHeight="1" x14ac:dyDescent="0.25">
      <c r="B19" s="9">
        <v>1</v>
      </c>
      <c r="C19" s="560" t="s">
        <v>223</v>
      </c>
      <c r="D19" s="560"/>
      <c r="E19" s="561"/>
      <c r="G19" s="18"/>
      <c r="H19" s="22" t="s">
        <v>12</v>
      </c>
      <c r="I19" s="19" t="s">
        <v>14</v>
      </c>
      <c r="J19" s="20" t="s">
        <v>16</v>
      </c>
      <c r="L19" s="18"/>
      <c r="M19" s="19" t="str">
        <f t="shared" ref="M19:M21" si="0">H19</f>
        <v>EXPL</v>
      </c>
      <c r="N19" s="19" t="s">
        <v>14</v>
      </c>
      <c r="O19" s="20" t="s">
        <v>16</v>
      </c>
      <c r="Q19" s="43"/>
      <c r="R19" s="44" t="str">
        <f t="shared" ref="R19:R21" si="1">H19</f>
        <v>EXPL</v>
      </c>
      <c r="S19" s="44" t="s">
        <v>14</v>
      </c>
      <c r="T19" s="45" t="s">
        <v>16</v>
      </c>
    </row>
    <row r="20" spans="2:23" s="1" customFormat="1" ht="19.899999999999999" customHeight="1" x14ac:dyDescent="0.25">
      <c r="B20" s="3">
        <v>2</v>
      </c>
      <c r="C20" s="567" t="s">
        <v>213</v>
      </c>
      <c r="D20" s="567"/>
      <c r="E20" s="568"/>
      <c r="G20" s="67"/>
      <c r="H20" s="28" t="s">
        <v>12</v>
      </c>
      <c r="I20" s="68" t="s">
        <v>14</v>
      </c>
      <c r="J20" s="69" t="s">
        <v>725</v>
      </c>
      <c r="L20" s="67"/>
      <c r="M20" s="68" t="str">
        <f t="shared" si="0"/>
        <v>EXPL</v>
      </c>
      <c r="N20" s="68" t="s">
        <v>14</v>
      </c>
      <c r="O20" s="69" t="str">
        <f>J20</f>
        <v>2kg</v>
      </c>
      <c r="Q20" s="75"/>
      <c r="R20" s="76" t="str">
        <f t="shared" si="1"/>
        <v>EXPL</v>
      </c>
      <c r="S20" s="76" t="s">
        <v>14</v>
      </c>
      <c r="T20" s="77" t="str">
        <f>J20</f>
        <v>2kg</v>
      </c>
    </row>
    <row r="21" spans="2:23" s="1" customFormat="1" ht="19.899999999999999" customHeight="1" thickBot="1" x14ac:dyDescent="0.3">
      <c r="B21" s="4">
        <v>3</v>
      </c>
      <c r="C21" s="565" t="s">
        <v>214</v>
      </c>
      <c r="D21" s="565"/>
      <c r="E21" s="566"/>
      <c r="G21" s="24"/>
      <c r="H21" s="25" t="s">
        <v>12</v>
      </c>
      <c r="I21" s="25" t="s">
        <v>14</v>
      </c>
      <c r="J21" s="26" t="s">
        <v>725</v>
      </c>
      <c r="L21" s="24"/>
      <c r="M21" s="25" t="str">
        <f t="shared" si="0"/>
        <v>EXPL</v>
      </c>
      <c r="N21" s="25" t="s">
        <v>14</v>
      </c>
      <c r="O21" s="26" t="str">
        <f>J21</f>
        <v>2kg</v>
      </c>
      <c r="Q21" s="46"/>
      <c r="R21" s="47" t="str">
        <f t="shared" si="1"/>
        <v>EXPL</v>
      </c>
      <c r="S21" s="47" t="s">
        <v>14</v>
      </c>
      <c r="T21" s="48" t="str">
        <f>J21</f>
        <v>2kg</v>
      </c>
    </row>
    <row r="22" spans="2:23" s="2" customFormat="1" ht="4.9000000000000004" customHeight="1" thickBot="1" x14ac:dyDescent="0.3">
      <c r="B22" s="73"/>
      <c r="Q22" s="49"/>
      <c r="R22" s="49"/>
      <c r="S22" s="49"/>
      <c r="T22" s="74"/>
    </row>
    <row r="23" spans="2:23" s="1" customFormat="1" ht="18" customHeight="1" thickBot="1" x14ac:dyDescent="0.3">
      <c r="B23" s="644" t="s">
        <v>871</v>
      </c>
      <c r="C23" s="645"/>
      <c r="D23" s="645"/>
      <c r="E23" s="646"/>
      <c r="F23" s="523"/>
      <c r="G23" s="524" t="s">
        <v>880</v>
      </c>
      <c r="H23" s="525" t="s">
        <v>9</v>
      </c>
      <c r="I23" s="525" t="s">
        <v>896</v>
      </c>
      <c r="J23" s="526" t="s">
        <v>880</v>
      </c>
      <c r="K23" s="523"/>
      <c r="L23" s="524" t="str">
        <f>G23</f>
        <v>GEWICHT</v>
      </c>
      <c r="M23" s="525" t="s">
        <v>9</v>
      </c>
      <c r="N23" s="525" t="str">
        <f>I23</f>
        <v>SxR/RPE 7-8</v>
      </c>
      <c r="O23" s="526" t="s">
        <v>880</v>
      </c>
      <c r="P23" s="523"/>
      <c r="Q23" s="524" t="str">
        <f>L23</f>
        <v>GEWICHT</v>
      </c>
      <c r="R23" s="525" t="s">
        <v>9</v>
      </c>
      <c r="S23" s="525" t="str">
        <f>I23</f>
        <v>SxR/RPE 7-8</v>
      </c>
      <c r="T23" s="526" t="s">
        <v>880</v>
      </c>
      <c r="W23" s="36"/>
    </row>
    <row r="24" spans="2:23" s="1" customFormat="1" ht="19.899999999999999" customHeight="1" x14ac:dyDescent="0.25">
      <c r="B24" s="9">
        <v>1</v>
      </c>
      <c r="C24" s="560" t="s">
        <v>483</v>
      </c>
      <c r="D24" s="560"/>
      <c r="E24" s="561"/>
      <c r="G24" s="21"/>
      <c r="H24" s="22" t="s">
        <v>888</v>
      </c>
      <c r="I24" s="28" t="s">
        <v>719</v>
      </c>
      <c r="J24" s="23"/>
      <c r="L24" s="21"/>
      <c r="M24" s="22" t="str">
        <f>H24</f>
        <v>3-1-1-0</v>
      </c>
      <c r="N24" s="22" t="str">
        <f>I24</f>
        <v>1x15</v>
      </c>
      <c r="O24" s="23"/>
      <c r="Q24" s="50"/>
      <c r="R24" s="52" t="str">
        <f>H24</f>
        <v>3-1-1-0</v>
      </c>
      <c r="S24" s="52" t="str">
        <f>I24</f>
        <v>1x15</v>
      </c>
      <c r="T24" s="53"/>
      <c r="W24" s="36"/>
    </row>
    <row r="25" spans="2:23" s="1" customFormat="1" ht="19.899999999999999" customHeight="1" x14ac:dyDescent="0.25">
      <c r="B25" s="3">
        <v>2</v>
      </c>
      <c r="C25" s="567" t="s">
        <v>487</v>
      </c>
      <c r="D25" s="567"/>
      <c r="E25" s="568"/>
      <c r="G25" s="27"/>
      <c r="H25" s="28" t="s">
        <v>889</v>
      </c>
      <c r="I25" s="28" t="s">
        <v>719</v>
      </c>
      <c r="J25" s="29"/>
      <c r="L25" s="27"/>
      <c r="M25" s="28" t="str">
        <f>H25</f>
        <v>3-1-1-1</v>
      </c>
      <c r="N25" s="28" t="str">
        <f>I25</f>
        <v>1x15</v>
      </c>
      <c r="O25" s="29"/>
      <c r="Q25" s="54"/>
      <c r="R25" s="56" t="str">
        <f>H25</f>
        <v>3-1-1-1</v>
      </c>
      <c r="S25" s="56" t="str">
        <f>I25</f>
        <v>1x15</v>
      </c>
      <c r="T25" s="57"/>
      <c r="W25" s="36"/>
    </row>
    <row r="26" spans="2:23" s="1" customFormat="1" ht="19.899999999999999" customHeight="1" thickBot="1" x14ac:dyDescent="0.3">
      <c r="B26" s="4">
        <v>3</v>
      </c>
      <c r="C26" s="565" t="s">
        <v>737</v>
      </c>
      <c r="D26" s="565"/>
      <c r="E26" s="566"/>
      <c r="G26" s="24"/>
      <c r="H26" s="25" t="s">
        <v>915</v>
      </c>
      <c r="I26" s="25" t="s">
        <v>712</v>
      </c>
      <c r="J26" s="26"/>
      <c r="L26" s="24"/>
      <c r="M26" s="25" t="str">
        <f>H26</f>
        <v>1-1-1-1</v>
      </c>
      <c r="N26" s="25" t="str">
        <f>I26</f>
        <v>2x15m</v>
      </c>
      <c r="O26" s="26"/>
      <c r="Q26" s="46"/>
      <c r="R26" s="47" t="str">
        <f>H26</f>
        <v>1-1-1-1</v>
      </c>
      <c r="S26" s="47" t="str">
        <f>I26</f>
        <v>2x15m</v>
      </c>
      <c r="T26" s="48"/>
    </row>
    <row r="27" spans="2:23" s="2" customFormat="1" ht="4.9000000000000004" customHeight="1" thickBot="1" x14ac:dyDescent="0.3">
      <c r="B27" s="73"/>
      <c r="Q27" s="49"/>
      <c r="R27" s="49"/>
      <c r="S27" s="49"/>
      <c r="T27" s="74"/>
    </row>
    <row r="28" spans="2:23" s="1" customFormat="1" ht="19.899999999999999" customHeight="1" x14ac:dyDescent="0.25">
      <c r="B28" s="9">
        <v>4</v>
      </c>
      <c r="C28" s="560" t="s">
        <v>199</v>
      </c>
      <c r="D28" s="560"/>
      <c r="E28" s="561"/>
      <c r="G28" s="21"/>
      <c r="H28" s="22" t="s">
        <v>888</v>
      </c>
      <c r="I28" s="22" t="s">
        <v>719</v>
      </c>
      <c r="J28" s="23"/>
      <c r="L28" s="21"/>
      <c r="M28" s="22" t="str">
        <f t="shared" ref="M28:M30" si="2">H28</f>
        <v>3-1-1-0</v>
      </c>
      <c r="N28" s="22" t="str">
        <f>I28</f>
        <v>1x15</v>
      </c>
      <c r="O28" s="23"/>
      <c r="Q28" s="50"/>
      <c r="R28" s="52" t="str">
        <f t="shared" ref="R28:R30" si="3">H28</f>
        <v>3-1-1-0</v>
      </c>
      <c r="S28" s="52" t="str">
        <f>I28</f>
        <v>1x15</v>
      </c>
      <c r="T28" s="53"/>
    </row>
    <row r="29" spans="2:23" s="1" customFormat="1" ht="19.899999999999999" customHeight="1" x14ac:dyDescent="0.25">
      <c r="B29" s="3">
        <v>5</v>
      </c>
      <c r="C29" s="567" t="s">
        <v>495</v>
      </c>
      <c r="D29" s="567"/>
      <c r="E29" s="568"/>
      <c r="G29" s="27"/>
      <c r="H29" s="28" t="s">
        <v>889</v>
      </c>
      <c r="I29" s="28" t="s">
        <v>719</v>
      </c>
      <c r="J29" s="29"/>
      <c r="L29" s="27"/>
      <c r="M29" s="28" t="str">
        <f t="shared" si="2"/>
        <v>3-1-1-1</v>
      </c>
      <c r="N29" s="28" t="str">
        <f>I29</f>
        <v>1x15</v>
      </c>
      <c r="O29" s="29"/>
      <c r="Q29" s="54"/>
      <c r="R29" s="56" t="str">
        <f t="shared" si="3"/>
        <v>3-1-1-1</v>
      </c>
      <c r="S29" s="28" t="str">
        <f>I29</f>
        <v>1x15</v>
      </c>
      <c r="T29" s="57"/>
    </row>
    <row r="30" spans="2:23" s="1" customFormat="1" ht="19.899999999999999" customHeight="1" thickBot="1" x14ac:dyDescent="0.3">
      <c r="B30" s="4">
        <v>6</v>
      </c>
      <c r="C30" s="565" t="s">
        <v>49</v>
      </c>
      <c r="D30" s="565"/>
      <c r="E30" s="566"/>
      <c r="G30" s="24"/>
      <c r="H30" s="25" t="s">
        <v>890</v>
      </c>
      <c r="I30" s="25" t="s">
        <v>719</v>
      </c>
      <c r="J30" s="26"/>
      <c r="L30" s="24"/>
      <c r="M30" s="25" t="str">
        <f t="shared" si="2"/>
        <v>2-1-1-0</v>
      </c>
      <c r="N30" s="25" t="str">
        <f>I30</f>
        <v>1x15</v>
      </c>
      <c r="O30" s="26"/>
      <c r="Q30" s="46"/>
      <c r="R30" s="47" t="str">
        <f t="shared" si="3"/>
        <v>2-1-1-0</v>
      </c>
      <c r="S30" s="47" t="str">
        <f>I30</f>
        <v>1x15</v>
      </c>
      <c r="T30" s="48"/>
    </row>
    <row r="31" spans="2:23" s="1" customFormat="1" ht="5.0999999999999996" customHeight="1" thickBot="1" x14ac:dyDescent="0.3">
      <c r="B31" s="4"/>
      <c r="C31" s="66"/>
      <c r="D31" s="66"/>
      <c r="E31" s="113"/>
      <c r="G31" s="4"/>
      <c r="H31" s="66"/>
      <c r="I31" s="66"/>
      <c r="J31" s="66"/>
      <c r="L31" s="66"/>
      <c r="M31" s="66"/>
      <c r="N31" s="66"/>
      <c r="O31" s="66"/>
      <c r="Q31" s="115"/>
      <c r="R31" s="115"/>
      <c r="S31" s="115"/>
      <c r="T31" s="116"/>
    </row>
    <row r="32" spans="2:23" s="2" customFormat="1" ht="18" customHeight="1" thickBot="1" x14ac:dyDescent="0.3">
      <c r="B32" s="635" t="s">
        <v>872</v>
      </c>
      <c r="C32" s="636"/>
      <c r="D32" s="636"/>
      <c r="E32" s="637"/>
      <c r="F32" s="114"/>
      <c r="G32" s="517" t="s">
        <v>880</v>
      </c>
      <c r="H32" s="518" t="s">
        <v>9</v>
      </c>
      <c r="I32" s="518" t="s">
        <v>897</v>
      </c>
      <c r="J32" s="519" t="s">
        <v>880</v>
      </c>
      <c r="K32" s="1"/>
      <c r="L32" s="517" t="s">
        <v>880</v>
      </c>
      <c r="M32" s="518" t="s">
        <v>9</v>
      </c>
      <c r="N32" s="518" t="str">
        <f>I32</f>
        <v>SxR/RPE 8-9</v>
      </c>
      <c r="O32" s="519" t="s">
        <v>880</v>
      </c>
      <c r="P32" s="1"/>
      <c r="Q32" s="517" t="s">
        <v>880</v>
      </c>
      <c r="R32" s="518" t="s">
        <v>9</v>
      </c>
      <c r="S32" s="518" t="str">
        <f>I32</f>
        <v>SxR/RPE 8-9</v>
      </c>
      <c r="T32" s="519" t="s">
        <v>880</v>
      </c>
    </row>
    <row r="33" spans="2:20" s="1" customFormat="1" ht="19.899999999999999" customHeight="1" x14ac:dyDescent="0.25">
      <c r="B33" s="9">
        <v>7</v>
      </c>
      <c r="C33" s="560" t="s">
        <v>262</v>
      </c>
      <c r="D33" s="560"/>
      <c r="E33" s="561"/>
      <c r="G33" s="21"/>
      <c r="H33" s="22" t="s">
        <v>889</v>
      </c>
      <c r="I33" s="22" t="s">
        <v>719</v>
      </c>
      <c r="J33" s="23"/>
      <c r="L33" s="21"/>
      <c r="M33" s="22" t="str">
        <f>H33</f>
        <v>3-1-1-1</v>
      </c>
      <c r="N33" s="22" t="str">
        <f>I33</f>
        <v>1x15</v>
      </c>
      <c r="O33" s="23"/>
      <c r="Q33" s="50"/>
      <c r="R33" s="52" t="str">
        <f>H33</f>
        <v>3-1-1-1</v>
      </c>
      <c r="S33" s="52" t="str">
        <f>I33</f>
        <v>1x15</v>
      </c>
      <c r="T33" s="53"/>
    </row>
    <row r="34" spans="2:20" s="1" customFormat="1" ht="19.899999999999999" customHeight="1" x14ac:dyDescent="0.25">
      <c r="B34" s="3">
        <v>8</v>
      </c>
      <c r="C34" s="567" t="s">
        <v>203</v>
      </c>
      <c r="D34" s="567"/>
      <c r="E34" s="568"/>
      <c r="G34" s="27"/>
      <c r="H34" s="28" t="s">
        <v>890</v>
      </c>
      <c r="I34" s="28" t="s">
        <v>719</v>
      </c>
      <c r="J34" s="29"/>
      <c r="L34" s="27"/>
      <c r="M34" s="28" t="str">
        <f>H34</f>
        <v>2-1-1-0</v>
      </c>
      <c r="N34" s="28" t="str">
        <f>I34</f>
        <v>1x15</v>
      </c>
      <c r="O34" s="29"/>
      <c r="Q34" s="54"/>
      <c r="R34" s="56" t="str">
        <f>H34</f>
        <v>2-1-1-0</v>
      </c>
      <c r="S34" s="28" t="str">
        <f>I34</f>
        <v>1x15</v>
      </c>
      <c r="T34" s="57"/>
    </row>
    <row r="35" spans="2:20" s="1" customFormat="1" ht="19.899999999999999" customHeight="1" thickBot="1" x14ac:dyDescent="0.3">
      <c r="B35" s="4">
        <v>9</v>
      </c>
      <c r="C35" s="565" t="s">
        <v>408</v>
      </c>
      <c r="D35" s="565"/>
      <c r="E35" s="566"/>
      <c r="G35" s="24"/>
      <c r="H35" s="25" t="s">
        <v>890</v>
      </c>
      <c r="I35" s="25" t="s">
        <v>754</v>
      </c>
      <c r="J35" s="26"/>
      <c r="L35" s="24"/>
      <c r="M35" s="25" t="str">
        <f>H35</f>
        <v>2-1-1-0</v>
      </c>
      <c r="N35" s="25" t="str">
        <f>I35</f>
        <v>3x5 ea</v>
      </c>
      <c r="O35" s="26"/>
      <c r="Q35" s="46"/>
      <c r="R35" s="47" t="str">
        <f>H35</f>
        <v>2-1-1-0</v>
      </c>
      <c r="S35" s="47" t="str">
        <f>I35</f>
        <v>3x5 ea</v>
      </c>
      <c r="T35" s="48"/>
    </row>
    <row r="36" spans="2:20" s="2" customFormat="1" ht="4.9000000000000004" customHeight="1" thickBot="1" x14ac:dyDescent="0.3">
      <c r="B36" s="73"/>
      <c r="H36" s="1"/>
      <c r="Q36" s="49"/>
      <c r="R36" s="49"/>
      <c r="S36" s="49"/>
      <c r="T36" s="74"/>
    </row>
    <row r="37" spans="2:20" s="1" customFormat="1" ht="19.899999999999999" customHeight="1" x14ac:dyDescent="0.25">
      <c r="B37" s="9">
        <v>10</v>
      </c>
      <c r="C37" s="560" t="s">
        <v>263</v>
      </c>
      <c r="D37" s="560"/>
      <c r="E37" s="561"/>
      <c r="G37" s="21"/>
      <c r="H37" s="22" t="s">
        <v>890</v>
      </c>
      <c r="I37" s="22" t="s">
        <v>719</v>
      </c>
      <c r="J37" s="23"/>
      <c r="L37" s="21"/>
      <c r="M37" s="22" t="str">
        <f t="shared" ref="M37:M39" si="4">H37</f>
        <v>2-1-1-0</v>
      </c>
      <c r="N37" s="22" t="str">
        <f>I37</f>
        <v>1x15</v>
      </c>
      <c r="O37" s="23"/>
      <c r="Q37" s="21"/>
      <c r="R37" s="22" t="str">
        <f t="shared" ref="R37:R39" si="5">H37</f>
        <v>2-1-1-0</v>
      </c>
      <c r="S37" s="52" t="str">
        <f>I37</f>
        <v>1x15</v>
      </c>
      <c r="T37" s="23"/>
    </row>
    <row r="38" spans="2:20" s="1" customFormat="1" ht="19.899999999999999" customHeight="1" x14ac:dyDescent="0.25">
      <c r="B38" s="3">
        <v>11</v>
      </c>
      <c r="C38" s="567" t="s">
        <v>917</v>
      </c>
      <c r="D38" s="567"/>
      <c r="E38" s="568"/>
      <c r="G38" s="27"/>
      <c r="H38" s="28" t="s">
        <v>911</v>
      </c>
      <c r="I38" s="28" t="s">
        <v>719</v>
      </c>
      <c r="J38" s="29"/>
      <c r="L38" s="27"/>
      <c r="M38" s="28" t="str">
        <f t="shared" si="4"/>
        <v>5-0-3-0</v>
      </c>
      <c r="N38" s="28" t="str">
        <f>I38</f>
        <v>1x15</v>
      </c>
      <c r="O38" s="29"/>
      <c r="Q38" s="27"/>
      <c r="R38" s="28" t="str">
        <f t="shared" si="5"/>
        <v>5-0-3-0</v>
      </c>
      <c r="S38" s="28" t="str">
        <f>I38</f>
        <v>1x15</v>
      </c>
      <c r="T38" s="29"/>
    </row>
    <row r="39" spans="2:20" s="1" customFormat="1" ht="19.899999999999999" customHeight="1" thickBot="1" x14ac:dyDescent="0.3">
      <c r="B39" s="4">
        <v>12</v>
      </c>
      <c r="C39" s="565" t="s">
        <v>264</v>
      </c>
      <c r="D39" s="565"/>
      <c r="E39" s="566"/>
      <c r="G39" s="24"/>
      <c r="H39" s="25" t="s">
        <v>889</v>
      </c>
      <c r="I39" s="25" t="s">
        <v>719</v>
      </c>
      <c r="J39" s="26"/>
      <c r="L39" s="24"/>
      <c r="M39" s="25" t="str">
        <f t="shared" si="4"/>
        <v>3-1-1-1</v>
      </c>
      <c r="N39" s="25" t="str">
        <f>I39</f>
        <v>1x15</v>
      </c>
      <c r="O39" s="26"/>
      <c r="Q39" s="46"/>
      <c r="R39" s="47" t="str">
        <f t="shared" si="5"/>
        <v>3-1-1-1</v>
      </c>
      <c r="S39" s="47" t="str">
        <f>I39</f>
        <v>1x15</v>
      </c>
      <c r="T39" s="48"/>
    </row>
    <row r="40" spans="2:20" s="1" customFormat="1" ht="5.0999999999999996" customHeight="1" thickBot="1" x14ac:dyDescent="0.3">
      <c r="B40" s="4"/>
      <c r="C40" s="66"/>
      <c r="D40" s="66"/>
      <c r="E40" s="113"/>
      <c r="G40" s="4"/>
      <c r="H40" s="66"/>
      <c r="I40" s="66"/>
      <c r="J40" s="66"/>
      <c r="L40" s="66"/>
      <c r="M40" s="66"/>
      <c r="N40" s="66"/>
      <c r="O40" s="66"/>
      <c r="Q40" s="115"/>
      <c r="R40" s="115"/>
      <c r="S40" s="115"/>
      <c r="T40" s="116"/>
    </row>
    <row r="41" spans="2:20" s="2" customFormat="1" ht="18" customHeight="1" thickBot="1" x14ac:dyDescent="0.3">
      <c r="B41" s="638" t="s">
        <v>876</v>
      </c>
      <c r="C41" s="639"/>
      <c r="D41" s="639"/>
      <c r="E41" s="640"/>
      <c r="G41" s="520" t="s">
        <v>880</v>
      </c>
      <c r="H41" s="521" t="s">
        <v>9</v>
      </c>
      <c r="I41" s="521" t="s">
        <v>901</v>
      </c>
      <c r="J41" s="522" t="s">
        <v>880</v>
      </c>
      <c r="K41" s="523"/>
      <c r="L41" s="520" t="str">
        <f>G41</f>
        <v>GEWICHT</v>
      </c>
      <c r="M41" s="521" t="s">
        <v>9</v>
      </c>
      <c r="N41" s="521" t="str">
        <f>I41</f>
        <v>SxR/RPE 9</v>
      </c>
      <c r="O41" s="522" t="s">
        <v>880</v>
      </c>
      <c r="P41" s="523"/>
      <c r="Q41" s="520" t="str">
        <f>L41</f>
        <v>GEWICHT</v>
      </c>
      <c r="R41" s="521" t="s">
        <v>9</v>
      </c>
      <c r="S41" s="521" t="str">
        <f>I41</f>
        <v>SxR/RPE 9</v>
      </c>
      <c r="T41" s="522" t="s">
        <v>880</v>
      </c>
    </row>
    <row r="42" spans="2:20" s="1" customFormat="1" ht="19.899999999999999" customHeight="1" x14ac:dyDescent="0.25">
      <c r="B42" s="9">
        <v>13</v>
      </c>
      <c r="C42" s="560" t="s">
        <v>208</v>
      </c>
      <c r="D42" s="560"/>
      <c r="E42" s="561"/>
      <c r="G42" s="21"/>
      <c r="H42" s="22" t="s">
        <v>900</v>
      </c>
      <c r="I42" s="22" t="s">
        <v>209</v>
      </c>
      <c r="J42" s="23"/>
      <c r="L42" s="21"/>
      <c r="M42" s="22" t="str">
        <f>H42</f>
        <v>ISO</v>
      </c>
      <c r="N42" s="22" t="str">
        <f>I42</f>
        <v>1x45s</v>
      </c>
      <c r="O42" s="23"/>
      <c r="Q42" s="21"/>
      <c r="R42" s="22" t="str">
        <f>H42</f>
        <v>ISO</v>
      </c>
      <c r="S42" s="22" t="str">
        <f>N42</f>
        <v>1x45s</v>
      </c>
      <c r="T42" s="23"/>
    </row>
    <row r="43" spans="2:20" s="1" customFormat="1" ht="19.899999999999999" customHeight="1" x14ac:dyDescent="0.25">
      <c r="B43" s="3">
        <v>14</v>
      </c>
      <c r="C43" s="567" t="s">
        <v>515</v>
      </c>
      <c r="D43" s="567"/>
      <c r="E43" s="568"/>
      <c r="G43" s="27"/>
      <c r="H43" s="28" t="s">
        <v>900</v>
      </c>
      <c r="I43" s="28" t="s">
        <v>209</v>
      </c>
      <c r="J43" s="29"/>
      <c r="L43" s="27"/>
      <c r="M43" s="28" t="str">
        <f>H43</f>
        <v>ISO</v>
      </c>
      <c r="N43" s="28" t="str">
        <f>I43</f>
        <v>1x45s</v>
      </c>
      <c r="O43" s="29"/>
      <c r="Q43" s="27"/>
      <c r="R43" s="28" t="str">
        <f>H43</f>
        <v>ISO</v>
      </c>
      <c r="S43" s="28" t="str">
        <f>N43</f>
        <v>1x45s</v>
      </c>
      <c r="T43" s="29"/>
    </row>
    <row r="44" spans="2:20" s="1" customFormat="1" ht="19.899999999999999" customHeight="1" thickBot="1" x14ac:dyDescent="0.3">
      <c r="B44" s="4">
        <v>15</v>
      </c>
      <c r="C44" s="571" t="s">
        <v>353</v>
      </c>
      <c r="D44" s="571"/>
      <c r="E44" s="572"/>
      <c r="F44" s="66"/>
      <c r="G44" s="24"/>
      <c r="H44" s="25" t="s">
        <v>900</v>
      </c>
      <c r="I44" s="25" t="s">
        <v>209</v>
      </c>
      <c r="J44" s="26"/>
      <c r="K44" s="66"/>
      <c r="L44" s="24"/>
      <c r="M44" s="25" t="str">
        <f>H44</f>
        <v>ISO</v>
      </c>
      <c r="N44" s="25" t="str">
        <f>I44</f>
        <v>1x45s</v>
      </c>
      <c r="O44" s="26"/>
      <c r="P44" s="66"/>
      <c r="Q44" s="24"/>
      <c r="R44" s="25" t="str">
        <f>H44</f>
        <v>ISO</v>
      </c>
      <c r="S44" s="25" t="str">
        <f>N44</f>
        <v>1x45s</v>
      </c>
      <c r="T44" s="26"/>
    </row>
  </sheetData>
  <mergeCells count="43">
    <mergeCell ref="O2:T7"/>
    <mergeCell ref="M10:N10"/>
    <mergeCell ref="B12:T12"/>
    <mergeCell ref="B13:D13"/>
    <mergeCell ref="E13:F13"/>
    <mergeCell ref="G13:I13"/>
    <mergeCell ref="J13:M13"/>
    <mergeCell ref="N13:Q13"/>
    <mergeCell ref="R13:T13"/>
    <mergeCell ref="J15:M15"/>
    <mergeCell ref="B16:E17"/>
    <mergeCell ref="G16:T16"/>
    <mergeCell ref="H17:I17"/>
    <mergeCell ref="M17:N17"/>
    <mergeCell ref="R17:S17"/>
    <mergeCell ref="N15:Q15"/>
    <mergeCell ref="R15:T15"/>
    <mergeCell ref="C25:E25"/>
    <mergeCell ref="B18:E18"/>
    <mergeCell ref="B15:D15"/>
    <mergeCell ref="E15:F15"/>
    <mergeCell ref="G15:I15"/>
    <mergeCell ref="C19:E19"/>
    <mergeCell ref="C20:E20"/>
    <mergeCell ref="C21:E21"/>
    <mergeCell ref="B23:E23"/>
    <mergeCell ref="C24:E24"/>
    <mergeCell ref="B14:T14"/>
    <mergeCell ref="B41:E41"/>
    <mergeCell ref="C42:E42"/>
    <mergeCell ref="C43:E43"/>
    <mergeCell ref="C44:E44"/>
    <mergeCell ref="C39:E39"/>
    <mergeCell ref="C26:E26"/>
    <mergeCell ref="C28:E28"/>
    <mergeCell ref="C29:E29"/>
    <mergeCell ref="C30:E30"/>
    <mergeCell ref="B32:E32"/>
    <mergeCell ref="C33:E33"/>
    <mergeCell ref="C34:E34"/>
    <mergeCell ref="C35:E35"/>
    <mergeCell ref="C37:E37"/>
    <mergeCell ref="C38:E38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00000000-0002-0000-0F00-000013000000}">
          <x14:formula1>
            <xm:f>' Unterkörper Progressionen '!$Z$2:$Z$17</xm:f>
          </x14:formula1>
          <xm:sqref>N29 S38 S34 N34 N38 S29</xm:sqref>
        </x14:dataValidation>
        <x14:dataValidation type="list" allowBlank="1" showInputMessage="1" showErrorMessage="1" xr:uid="{00000000-0002-0000-0F00-000001000000}">
          <x14:formula1>
            <xm:f>'Oberkörper Progressionen '!$Q:$Q</xm:f>
          </x14:formula1>
          <xm:sqref>C43:E43</xm:sqref>
        </x14:dataValidation>
        <x14:dataValidation type="list" allowBlank="1" showInputMessage="1" showErrorMessage="1" xr:uid="{00000000-0002-0000-0F00-000002000000}">
          <x14:formula1>
            <xm:f>'Oberkörper Progressionen '!$B:$B</xm:f>
          </x14:formula1>
          <xm:sqref>C19:E19</xm:sqref>
        </x14:dataValidation>
        <x14:dataValidation type="list" allowBlank="1" showInputMessage="1" showErrorMessage="1" xr:uid="{00000000-0002-0000-0F00-000005000000}">
          <x14:formula1>
            <xm:f>'Oberkörper Progressionen '!$E:$E</xm:f>
          </x14:formula1>
          <xm:sqref>C24:E24</xm:sqref>
        </x14:dataValidation>
        <x14:dataValidation type="list" allowBlank="1" showInputMessage="1" showErrorMessage="1" xr:uid="{00000000-0002-0000-0F00-000006000000}">
          <x14:formula1>
            <xm:f>'Oberkörper Progressionen '!$F:$F</xm:f>
          </x14:formula1>
          <xm:sqref>C25:E25</xm:sqref>
        </x14:dataValidation>
        <x14:dataValidation type="list" allowBlank="1" showInputMessage="1" showErrorMessage="1" xr:uid="{00000000-0002-0000-0F00-000007000000}">
          <x14:formula1>
            <xm:f>'Oberkörper Progressionen '!$N:$N</xm:f>
          </x14:formula1>
          <xm:sqref>C26:E26</xm:sqref>
        </x14:dataValidation>
        <x14:dataValidation type="list" allowBlank="1" showInputMessage="1" showErrorMessage="1" xr:uid="{00000000-0002-0000-0F00-000008000000}">
          <x14:formula1>
            <xm:f>'Oberkörper Progressionen '!$H:$H</xm:f>
          </x14:formula1>
          <xm:sqref>C28:E28</xm:sqref>
        </x14:dataValidation>
        <x14:dataValidation type="list" allowBlank="1" showInputMessage="1" showErrorMessage="1" xr:uid="{00000000-0002-0000-0F00-000009000000}">
          <x14:formula1>
            <xm:f>'Oberkörper Progressionen '!$I:$I</xm:f>
          </x14:formula1>
          <xm:sqref>C29:E29</xm:sqref>
        </x14:dataValidation>
        <x14:dataValidation type="list" allowBlank="1" showInputMessage="1" showErrorMessage="1" xr:uid="{00000000-0002-0000-0F00-00000A000000}">
          <x14:formula1>
            <xm:f>'Oberkörper Progressionen '!$G:$G</xm:f>
          </x14:formula1>
          <xm:sqref>C30:E31</xm:sqref>
        </x14:dataValidation>
        <x14:dataValidation type="list" allowBlank="1" showInputMessage="1" showErrorMessage="1" xr:uid="{00000000-0002-0000-0F00-00000B000000}">
          <x14:formula1>
            <xm:f>'Oberkörper Progressionen '!$L:$L</xm:f>
          </x14:formula1>
          <xm:sqref>C33:E33</xm:sqref>
        </x14:dataValidation>
        <x14:dataValidation type="list" allowBlank="1" showInputMessage="1" showErrorMessage="1" xr:uid="{00000000-0002-0000-0F00-00000C000000}">
          <x14:formula1>
            <xm:f>'Oberkörper Progressionen '!$M:$M</xm:f>
          </x14:formula1>
          <xm:sqref>C34:E34</xm:sqref>
        </x14:dataValidation>
        <x14:dataValidation type="list" allowBlank="1" showInputMessage="1" showErrorMessage="1" xr:uid="{00000000-0002-0000-0F00-00000D000000}">
          <x14:formula1>
            <xm:f>'Oberkörper Progressionen '!$J:$J</xm:f>
          </x14:formula1>
          <xm:sqref>C35:E35</xm:sqref>
        </x14:dataValidation>
        <x14:dataValidation type="list" allowBlank="1" showInputMessage="1" showErrorMessage="1" xr:uid="{00000000-0002-0000-0F00-00000E000000}">
          <x14:formula1>
            <xm:f>'Oberkörper Progressionen '!$O:$O</xm:f>
          </x14:formula1>
          <xm:sqref>C37:E37</xm:sqref>
        </x14:dataValidation>
        <x14:dataValidation type="list" allowBlank="1" showInputMessage="1" showErrorMessage="1" xr:uid="{00000000-0002-0000-0F00-00000F000000}">
          <x14:formula1>
            <xm:f>'Oberkörper Progressionen '!$P:$P</xm:f>
          </x14:formula1>
          <xm:sqref>C38:E38</xm:sqref>
        </x14:dataValidation>
        <x14:dataValidation type="list" allowBlank="1" showInputMessage="1" showErrorMessage="1" xr:uid="{00000000-0002-0000-0F00-000010000000}">
          <x14:formula1>
            <xm:f>'Oberkörper Progressionen '!$K:$K</xm:f>
          </x14:formula1>
          <xm:sqref>C39:E40</xm:sqref>
        </x14:dataValidation>
        <x14:dataValidation type="list" allowBlank="1" showInputMessage="1" showErrorMessage="1" xr:uid="{00000000-0002-0000-0F00-000011000000}">
          <x14:formula1>
            <xm:f>'Oberkörper Progressionen '!$R:$R</xm:f>
          </x14:formula1>
          <xm:sqref>C42:E42</xm:sqref>
        </x14:dataValidation>
        <x14:dataValidation type="list" allowBlank="1" showInputMessage="1" showErrorMessage="1" xr:uid="{00000000-0002-0000-0F00-000012000000}">
          <x14:formula1>
            <xm:f>'Oberkörper Progressionen '!$S:$S</xm:f>
          </x14:formula1>
          <xm:sqref>C44:E44</xm:sqref>
        </x14:dataValidation>
        <x14:dataValidation type="list" allowBlank="1" showInputMessage="1" showErrorMessage="1" xr:uid="{00000000-0002-0000-0F00-000003000000}">
          <x14:formula1>
            <xm:f>'Oberkörper Progressionen '!$C:$C</xm:f>
          </x14:formula1>
          <xm:sqref>C20:E20</xm:sqref>
        </x14:dataValidation>
        <x14:dataValidation type="list" allowBlank="1" showInputMessage="1" showErrorMessage="1" xr:uid="{00000000-0002-0000-0F00-000004000000}">
          <x14:formula1>
            <xm:f>'Oberkörper Progressionen '!$D:$D</xm:f>
          </x14:formula1>
          <xm:sqref>C21:E21</xm:sqref>
        </x14:dataValidation>
        <x14:dataValidation type="list" allowBlank="1" showInputMessage="1" showErrorMessage="1" xr:uid="{00000000-0002-0000-0F00-000014000000}">
          <x14:formula1>
            <xm:f>' Unterkörper Progressionen '!$Z:$Z</xm:f>
          </x14:formula1>
          <xm:sqref>I24:I25 I42:I44 I37:I40 I33:I35 I28:I31</xm:sqref>
        </x14:dataValidation>
        <x14:dataValidation type="list" allowBlank="1" showInputMessage="1" showErrorMessage="1" xr:uid="{00000000-0002-0000-0F00-000019000000}">
          <x14:formula1>
            <xm:f>' Unterkörper Progressionen '!$AA:$AA</xm:f>
          </x14:formula1>
          <xm:sqref>J20:J21</xm:sqref>
        </x14:dataValidation>
        <x14:dataValidation type="list" allowBlank="1" showInputMessage="1" showErrorMessage="1" xr:uid="{0C033129-E2DD-4CE2-9F08-6D2B45D1072A}">
          <x14:formula1>
            <xm:f>' Unterkörper Progressionen '!$AC:$AC</xm:f>
          </x14:formula1>
          <xm:sqref>S32 S23 I23 N23 S41 N41 I41 I32 N32</xm:sqref>
        </x14:dataValidation>
        <x14:dataValidation type="list" allowBlank="1" showInputMessage="1" showErrorMessage="1" xr:uid="{DD2F72FD-1ED9-47A8-95B6-F3E00E13750E}">
          <x14:formula1>
            <xm:f>' Unterkörper Progressionen '!$AB:$AB</xm:f>
          </x14:formula1>
          <xm:sqref>H19:H21 H42:H44 H37:H39 H33:H35 H28:H30 H24:H26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X54"/>
  <sheetViews>
    <sheetView topLeftCell="A13" zoomScale="90" zoomScaleNormal="90" workbookViewId="0">
      <selection activeCell="C39" sqref="C39:E39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ht="16.5" hidden="1" thickBot="1" x14ac:dyDescent="0.3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">
        <v>188</v>
      </c>
      <c r="C13" s="631"/>
      <c r="D13" s="631"/>
      <c r="E13" s="633" t="s">
        <v>738</v>
      </c>
      <c r="F13" s="634"/>
      <c r="G13" s="631" t="s">
        <v>39</v>
      </c>
      <c r="H13" s="631"/>
      <c r="I13" s="631"/>
      <c r="J13" s="631" t="s">
        <v>365</v>
      </c>
      <c r="K13" s="631"/>
      <c r="L13" s="631"/>
      <c r="M13" s="631"/>
      <c r="N13" s="631" t="s">
        <v>692</v>
      </c>
      <c r="O13" s="631"/>
      <c r="P13" s="631"/>
      <c r="Q13" s="631"/>
      <c r="R13" s="631" t="s">
        <v>348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">
        <v>683</v>
      </c>
      <c r="C15" s="553"/>
      <c r="D15" s="553"/>
      <c r="E15" s="625" t="s">
        <v>323</v>
      </c>
      <c r="F15" s="626"/>
      <c r="G15" s="553" t="s">
        <v>300</v>
      </c>
      <c r="H15" s="553"/>
      <c r="I15" s="553"/>
      <c r="J15" s="553" t="s">
        <v>340</v>
      </c>
      <c r="K15" s="553"/>
      <c r="L15" s="553"/>
      <c r="M15" s="553"/>
      <c r="N15" s="553" t="s">
        <v>69</v>
      </c>
      <c r="O15" s="553"/>
      <c r="P15" s="553"/>
      <c r="Q15" s="553"/>
      <c r="R15" s="553" t="s">
        <v>747</v>
      </c>
      <c r="S15" s="553"/>
      <c r="T15" s="556"/>
    </row>
    <row r="16" spans="2:23" ht="4.9000000000000004" hidden="1" customHeight="1" thickBot="1" x14ac:dyDescent="0.3"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2:24" ht="18" customHeight="1" thickBot="1" x14ac:dyDescent="0.3">
      <c r="B17" s="619" t="s">
        <v>368</v>
      </c>
      <c r="C17" s="620"/>
      <c r="D17" s="620"/>
      <c r="E17" s="621"/>
      <c r="F17" s="310"/>
      <c r="G17" s="589" t="s">
        <v>116</v>
      </c>
      <c r="H17" s="590"/>
      <c r="I17" s="590"/>
      <c r="J17" s="590"/>
      <c r="K17" s="590"/>
      <c r="L17" s="590"/>
      <c r="M17" s="590"/>
      <c r="N17" s="590"/>
      <c r="O17" s="590"/>
      <c r="P17" s="590"/>
      <c r="Q17" s="590"/>
      <c r="R17" s="590"/>
      <c r="S17" s="590"/>
      <c r="T17" s="591"/>
    </row>
    <row r="18" spans="2:24" ht="21.6" customHeight="1" thickBot="1" x14ac:dyDescent="0.3">
      <c r="B18" s="622"/>
      <c r="C18" s="623"/>
      <c r="D18" s="623"/>
      <c r="E18" s="624"/>
      <c r="F18" s="1"/>
      <c r="G18" s="70" t="s">
        <v>865</v>
      </c>
      <c r="H18" s="582" t="s">
        <v>877</v>
      </c>
      <c r="I18" s="583"/>
      <c r="J18" s="71" t="s">
        <v>866</v>
      </c>
      <c r="K18" s="64"/>
      <c r="L18" s="70" t="s">
        <v>867</v>
      </c>
      <c r="M18" s="582" t="s">
        <v>878</v>
      </c>
      <c r="N18" s="583"/>
      <c r="O18" s="71" t="s">
        <v>868</v>
      </c>
      <c r="P18" s="64"/>
      <c r="Q18" s="70" t="s">
        <v>869</v>
      </c>
      <c r="R18" s="595" t="s">
        <v>879</v>
      </c>
      <c r="S18" s="596"/>
      <c r="T18" s="71" t="s">
        <v>870</v>
      </c>
      <c r="W18" s="36"/>
      <c r="X18" s="1"/>
    </row>
    <row r="19" spans="2:24" ht="18" customHeight="1" thickBot="1" x14ac:dyDescent="0.3">
      <c r="B19" s="613" t="s">
        <v>8</v>
      </c>
      <c r="C19" s="614"/>
      <c r="D19" s="614"/>
      <c r="E19" s="615"/>
      <c r="F19" s="72"/>
      <c r="G19" s="529" t="s">
        <v>880</v>
      </c>
      <c r="H19" s="530" t="s">
        <v>9</v>
      </c>
      <c r="I19" s="530" t="s">
        <v>11</v>
      </c>
      <c r="J19" s="531" t="s">
        <v>880</v>
      </c>
      <c r="K19" s="1"/>
      <c r="L19" s="529" t="s">
        <v>9</v>
      </c>
      <c r="M19" s="530" t="s">
        <v>10</v>
      </c>
      <c r="N19" s="530" t="s">
        <v>11</v>
      </c>
      <c r="O19" s="531" t="s">
        <v>880</v>
      </c>
      <c r="P19" s="1"/>
      <c r="Q19" s="532" t="s">
        <v>9</v>
      </c>
      <c r="R19" s="533" t="s">
        <v>10</v>
      </c>
      <c r="S19" s="533" t="s">
        <v>11</v>
      </c>
      <c r="T19" s="534" t="s">
        <v>880</v>
      </c>
      <c r="W19" s="37"/>
      <c r="X19" s="1"/>
    </row>
    <row r="20" spans="2:24" s="1" customFormat="1" ht="19.899999999999999" customHeight="1" x14ac:dyDescent="0.25">
      <c r="B20" s="9">
        <v>1</v>
      </c>
      <c r="C20" s="560" t="s">
        <v>98</v>
      </c>
      <c r="D20" s="560"/>
      <c r="E20" s="561"/>
      <c r="G20" s="18"/>
      <c r="H20" s="22" t="s">
        <v>12</v>
      </c>
      <c r="I20" s="19" t="s">
        <v>14</v>
      </c>
      <c r="J20" s="20" t="s">
        <v>16</v>
      </c>
      <c r="L20" s="18" t="s">
        <v>12</v>
      </c>
      <c r="M20" s="19"/>
      <c r="N20" s="19" t="s">
        <v>14</v>
      </c>
      <c r="O20" s="20" t="s">
        <v>16</v>
      </c>
      <c r="Q20" s="43" t="s">
        <v>12</v>
      </c>
      <c r="R20" s="44"/>
      <c r="S20" s="44" t="s">
        <v>14</v>
      </c>
      <c r="T20" s="45" t="s">
        <v>16</v>
      </c>
      <c r="W20" s="36"/>
    </row>
    <row r="21" spans="2:24" s="1" customFormat="1" ht="19.899999999999999" customHeight="1" x14ac:dyDescent="0.25">
      <c r="B21" s="3">
        <v>2</v>
      </c>
      <c r="C21" s="567" t="s">
        <v>105</v>
      </c>
      <c r="D21" s="567"/>
      <c r="E21" s="568"/>
      <c r="G21" s="67"/>
      <c r="H21" s="28" t="s">
        <v>12</v>
      </c>
      <c r="I21" s="68" t="s">
        <v>14</v>
      </c>
      <c r="J21" s="69" t="s">
        <v>725</v>
      </c>
      <c r="L21" s="67" t="s">
        <v>12</v>
      </c>
      <c r="M21" s="68"/>
      <c r="N21" s="68" t="s">
        <v>14</v>
      </c>
      <c r="O21" s="69" t="str">
        <f>J21</f>
        <v>2kg</v>
      </c>
      <c r="Q21" s="75" t="s">
        <v>12</v>
      </c>
      <c r="R21" s="76"/>
      <c r="S21" s="76" t="s">
        <v>14</v>
      </c>
      <c r="T21" s="77" t="str">
        <f>J21</f>
        <v>2kg</v>
      </c>
      <c r="W21" s="36"/>
    </row>
    <row r="22" spans="2:24" s="1" customFormat="1" ht="19.899999999999999" customHeight="1" thickBot="1" x14ac:dyDescent="0.3">
      <c r="B22" s="4">
        <v>3</v>
      </c>
      <c r="C22" s="565" t="s">
        <v>104</v>
      </c>
      <c r="D22" s="565"/>
      <c r="E22" s="566"/>
      <c r="G22" s="24"/>
      <c r="H22" s="25" t="s">
        <v>12</v>
      </c>
      <c r="I22" s="25" t="s">
        <v>14</v>
      </c>
      <c r="J22" s="26" t="s">
        <v>725</v>
      </c>
      <c r="L22" s="24" t="s">
        <v>12</v>
      </c>
      <c r="M22" s="25"/>
      <c r="N22" s="25" t="s">
        <v>14</v>
      </c>
      <c r="O22" s="26" t="str">
        <f>J22</f>
        <v>2kg</v>
      </c>
      <c r="Q22" s="46" t="s">
        <v>12</v>
      </c>
      <c r="R22" s="47"/>
      <c r="S22" s="47" t="s">
        <v>14</v>
      </c>
      <c r="T22" s="48" t="str">
        <f>J22</f>
        <v>2kg</v>
      </c>
    </row>
    <row r="23" spans="2:24" s="2" customFormat="1" ht="4.9000000000000004" customHeight="1" thickBot="1" x14ac:dyDescent="0.3">
      <c r="B23" s="73"/>
      <c r="G23" s="1"/>
      <c r="H23" s="1"/>
      <c r="Q23" s="49"/>
      <c r="R23" s="49"/>
      <c r="S23" s="49"/>
      <c r="T23" s="74"/>
      <c r="X23" s="1"/>
    </row>
    <row r="24" spans="2:24" s="1" customFormat="1" ht="18" customHeight="1" thickBot="1" x14ac:dyDescent="0.3">
      <c r="B24" s="616" t="s">
        <v>882</v>
      </c>
      <c r="C24" s="617"/>
      <c r="D24" s="617"/>
      <c r="E24" s="618"/>
      <c r="G24" s="511" t="s">
        <v>880</v>
      </c>
      <c r="H24" s="512" t="s">
        <v>9</v>
      </c>
      <c r="I24" s="512" t="s">
        <v>897</v>
      </c>
      <c r="J24" s="513" t="s">
        <v>880</v>
      </c>
      <c r="L24" s="511" t="str">
        <f>G24</f>
        <v>GEWICHT</v>
      </c>
      <c r="M24" s="512" t="s">
        <v>9</v>
      </c>
      <c r="N24" s="512" t="str">
        <f>I24</f>
        <v>SxR/RPE 8-9</v>
      </c>
      <c r="O24" s="513" t="s">
        <v>880</v>
      </c>
      <c r="Q24" s="514" t="str">
        <f>L24</f>
        <v>GEWICHT</v>
      </c>
      <c r="R24" s="515" t="s">
        <v>9</v>
      </c>
      <c r="S24" s="512" t="str">
        <f>I24</f>
        <v>SxR/RPE 8-9</v>
      </c>
      <c r="T24" s="516" t="s">
        <v>880</v>
      </c>
    </row>
    <row r="25" spans="2:24" s="1" customFormat="1" ht="19.899999999999999" customHeight="1" x14ac:dyDescent="0.25">
      <c r="B25" s="9">
        <v>1</v>
      </c>
      <c r="C25" s="560" t="s">
        <v>388</v>
      </c>
      <c r="D25" s="560"/>
      <c r="E25" s="561"/>
      <c r="G25" s="21"/>
      <c r="H25" s="22" t="s">
        <v>888</v>
      </c>
      <c r="I25" s="28" t="s">
        <v>623</v>
      </c>
      <c r="J25" s="23"/>
      <c r="L25" s="21"/>
      <c r="M25" s="22" t="str">
        <f t="shared" ref="M25:M26" si="0">H25</f>
        <v>3-1-1-0</v>
      </c>
      <c r="N25" s="22" t="str">
        <f>I25</f>
        <v>1x10</v>
      </c>
      <c r="O25" s="23"/>
      <c r="Q25" s="50"/>
      <c r="R25" s="52" t="str">
        <f t="shared" ref="R25:R26" si="1">M25</f>
        <v>3-1-1-0</v>
      </c>
      <c r="S25" s="52" t="str">
        <f>N25</f>
        <v>1x10</v>
      </c>
      <c r="T25" s="53"/>
    </row>
    <row r="26" spans="2:24" s="1" customFormat="1" ht="19.899999999999999" customHeight="1" x14ac:dyDescent="0.25">
      <c r="B26" s="3">
        <v>2</v>
      </c>
      <c r="C26" s="567" t="s">
        <v>161</v>
      </c>
      <c r="D26" s="567"/>
      <c r="E26" s="568"/>
      <c r="G26" s="27"/>
      <c r="H26" s="28" t="s">
        <v>889</v>
      </c>
      <c r="I26" s="28" t="s">
        <v>623</v>
      </c>
      <c r="J26" s="29"/>
      <c r="L26" s="27"/>
      <c r="M26" s="28" t="str">
        <f t="shared" si="0"/>
        <v>3-1-1-1</v>
      </c>
      <c r="N26" s="28" t="str">
        <f>I26</f>
        <v>1x10</v>
      </c>
      <c r="O26" s="29"/>
      <c r="Q26" s="54"/>
      <c r="R26" s="56" t="str">
        <f t="shared" si="1"/>
        <v>3-1-1-1</v>
      </c>
      <c r="S26" s="56" t="str">
        <f>N26</f>
        <v>1x10</v>
      </c>
      <c r="T26" s="57"/>
    </row>
    <row r="27" spans="2:24" s="1" customFormat="1" ht="19.899999999999999" customHeight="1" thickBot="1" x14ac:dyDescent="0.3">
      <c r="B27" s="4">
        <v>3</v>
      </c>
      <c r="C27" s="565" t="s">
        <v>655</v>
      </c>
      <c r="D27" s="565"/>
      <c r="E27" s="566"/>
      <c r="G27" s="24"/>
      <c r="H27" s="25" t="s">
        <v>900</v>
      </c>
      <c r="I27" s="25" t="s">
        <v>623</v>
      </c>
      <c r="J27" s="26"/>
      <c r="L27" s="24"/>
      <c r="M27" s="25" t="str">
        <f>H27</f>
        <v>ISO</v>
      </c>
      <c r="N27" s="25" t="str">
        <f>I27</f>
        <v>1x10</v>
      </c>
      <c r="O27" s="26"/>
      <c r="Q27" s="46"/>
      <c r="R27" s="47" t="str">
        <f>H27</f>
        <v>ISO</v>
      </c>
      <c r="S27" s="47" t="str">
        <f>N27</f>
        <v>1x10</v>
      </c>
      <c r="T27" s="48"/>
    </row>
    <row r="28" spans="2:24" s="2" customFormat="1" ht="4.9000000000000004" customHeight="1" thickBot="1" x14ac:dyDescent="0.3">
      <c r="B28" s="73"/>
      <c r="G28" s="1"/>
      <c r="H28" s="1"/>
      <c r="L28" s="1"/>
      <c r="M28" s="1"/>
      <c r="Q28" s="547"/>
      <c r="R28" s="547"/>
      <c r="S28" s="49"/>
      <c r="T28" s="74"/>
    </row>
    <row r="29" spans="2:24" s="1" customFormat="1" ht="19.899999999999999" customHeight="1" x14ac:dyDescent="0.25">
      <c r="B29" s="9">
        <v>4</v>
      </c>
      <c r="C29" s="560" t="s">
        <v>691</v>
      </c>
      <c r="D29" s="560"/>
      <c r="E29" s="561"/>
      <c r="G29" s="21"/>
      <c r="H29" s="22" t="s">
        <v>888</v>
      </c>
      <c r="I29" s="22" t="s">
        <v>623</v>
      </c>
      <c r="J29" s="23"/>
      <c r="L29" s="21"/>
      <c r="M29" s="22" t="str">
        <f t="shared" ref="M29:M30" si="2">H29</f>
        <v>3-1-1-0</v>
      </c>
      <c r="N29" s="22" t="str">
        <f>I29</f>
        <v>1x10</v>
      </c>
      <c r="O29" s="23"/>
      <c r="Q29" s="50"/>
      <c r="R29" s="52" t="str">
        <f>H29</f>
        <v>3-1-1-0</v>
      </c>
      <c r="S29" s="52" t="str">
        <f>N29</f>
        <v>1x10</v>
      </c>
      <c r="T29" s="53"/>
    </row>
    <row r="30" spans="2:24" s="1" customFormat="1" ht="19.899999999999999" customHeight="1" x14ac:dyDescent="0.25">
      <c r="B30" s="3">
        <v>5</v>
      </c>
      <c r="C30" s="567" t="s">
        <v>174</v>
      </c>
      <c r="D30" s="567"/>
      <c r="E30" s="568"/>
      <c r="G30" s="27"/>
      <c r="H30" s="28" t="s">
        <v>889</v>
      </c>
      <c r="I30" s="28" t="s">
        <v>623</v>
      </c>
      <c r="J30" s="29"/>
      <c r="L30" s="27"/>
      <c r="M30" s="28" t="str">
        <f t="shared" si="2"/>
        <v>3-1-1-1</v>
      </c>
      <c r="N30" s="28" t="str">
        <f>I30</f>
        <v>1x10</v>
      </c>
      <c r="O30" s="29"/>
      <c r="Q30" s="54"/>
      <c r="R30" s="56" t="str">
        <f>H29</f>
        <v>3-1-1-0</v>
      </c>
      <c r="S30" s="28" t="str">
        <f>N30</f>
        <v>1x10</v>
      </c>
      <c r="T30" s="57"/>
    </row>
    <row r="31" spans="2:24" s="1" customFormat="1" ht="19.899999999999999" customHeight="1" thickBot="1" x14ac:dyDescent="0.3">
      <c r="B31" s="4">
        <v>6</v>
      </c>
      <c r="C31" s="565" t="s">
        <v>78</v>
      </c>
      <c r="D31" s="565"/>
      <c r="E31" s="566"/>
      <c r="G31" s="24"/>
      <c r="H31" s="25" t="s">
        <v>890</v>
      </c>
      <c r="I31" s="25" t="s">
        <v>715</v>
      </c>
      <c r="J31" s="26"/>
      <c r="L31" s="24"/>
      <c r="M31" s="25" t="str">
        <f>H31</f>
        <v>2-1-1-0</v>
      </c>
      <c r="N31" s="25" t="str">
        <f>I31</f>
        <v>3x10s ea</v>
      </c>
      <c r="O31" s="26"/>
      <c r="Q31" s="46"/>
      <c r="R31" s="47" t="str">
        <f>H31</f>
        <v>2-1-1-0</v>
      </c>
      <c r="S31" s="47" t="str">
        <f>N31</f>
        <v>3x10s ea</v>
      </c>
      <c r="T31" s="48"/>
    </row>
    <row r="32" spans="2:24" s="1" customFormat="1" ht="5.0999999999999996" customHeight="1" thickBot="1" x14ac:dyDescent="0.3">
      <c r="B32" s="4"/>
      <c r="C32" s="66"/>
      <c r="D32" s="66"/>
      <c r="E32" s="113"/>
      <c r="G32" s="4"/>
      <c r="H32" s="66"/>
      <c r="I32" s="66"/>
      <c r="J32" s="66"/>
      <c r="L32" s="66"/>
      <c r="M32" s="66"/>
      <c r="N32" s="66"/>
      <c r="O32" s="66"/>
      <c r="Q32" s="115"/>
      <c r="R32" s="115"/>
      <c r="S32" s="115"/>
      <c r="T32" s="116"/>
    </row>
    <row r="33" spans="2:22" s="2" customFormat="1" ht="18" customHeight="1" thickBot="1" x14ac:dyDescent="0.3">
      <c r="B33" s="610" t="s">
        <v>883</v>
      </c>
      <c r="C33" s="611"/>
      <c r="D33" s="611"/>
      <c r="E33" s="612"/>
      <c r="F33" s="64"/>
      <c r="G33" s="541" t="s">
        <v>880</v>
      </c>
      <c r="H33" s="542" t="s">
        <v>9</v>
      </c>
      <c r="I33" s="542" t="s">
        <v>897</v>
      </c>
      <c r="J33" s="543" t="s">
        <v>880</v>
      </c>
      <c r="K33" s="1"/>
      <c r="L33" s="541" t="s">
        <v>880</v>
      </c>
      <c r="M33" s="542" t="s">
        <v>9</v>
      </c>
      <c r="N33" s="542" t="str">
        <f>I33</f>
        <v>SxR/RPE 8-9</v>
      </c>
      <c r="O33" s="543" t="s">
        <v>880</v>
      </c>
      <c r="P33" s="1"/>
      <c r="Q33" s="541" t="s">
        <v>880</v>
      </c>
      <c r="R33" s="542" t="s">
        <v>9</v>
      </c>
      <c r="S33" s="542" t="str">
        <f>I33</f>
        <v>SxR/RPE 8-9</v>
      </c>
      <c r="T33" s="543" t="s">
        <v>880</v>
      </c>
    </row>
    <row r="34" spans="2:22" s="1" customFormat="1" ht="19.899999999999999" customHeight="1" x14ac:dyDescent="0.25">
      <c r="B34" s="9">
        <v>7</v>
      </c>
      <c r="C34" s="560" t="s">
        <v>753</v>
      </c>
      <c r="D34" s="560"/>
      <c r="E34" s="561"/>
      <c r="G34" s="21"/>
      <c r="H34" s="22" t="s">
        <v>889</v>
      </c>
      <c r="I34" s="22" t="s">
        <v>623</v>
      </c>
      <c r="J34" s="23"/>
      <c r="L34" s="21"/>
      <c r="M34" s="22" t="str">
        <f t="shared" ref="M34:M36" si="3">H34</f>
        <v>3-1-1-1</v>
      </c>
      <c r="N34" s="22" t="str">
        <f>I34</f>
        <v>1x10</v>
      </c>
      <c r="O34" s="23"/>
      <c r="Q34" s="50"/>
      <c r="R34" s="52" t="str">
        <f>H34</f>
        <v>3-1-1-1</v>
      </c>
      <c r="S34" s="52" t="str">
        <f>I34</f>
        <v>1x10</v>
      </c>
      <c r="T34" s="53"/>
    </row>
    <row r="35" spans="2:22" s="1" customFormat="1" ht="19.899999999999999" customHeight="1" x14ac:dyDescent="0.25">
      <c r="B35" s="3">
        <v>8</v>
      </c>
      <c r="C35" s="567" t="s">
        <v>426</v>
      </c>
      <c r="D35" s="567"/>
      <c r="E35" s="568"/>
      <c r="G35" s="27"/>
      <c r="H35" s="28" t="s">
        <v>910</v>
      </c>
      <c r="I35" s="28" t="s">
        <v>754</v>
      </c>
      <c r="J35" s="29"/>
      <c r="L35" s="27"/>
      <c r="M35" s="28" t="str">
        <f t="shared" si="3"/>
        <v>2-2-2-2</v>
      </c>
      <c r="N35" s="28" t="str">
        <f>I35</f>
        <v>3x5 ea</v>
      </c>
      <c r="O35" s="29"/>
      <c r="Q35" s="54"/>
      <c r="R35" s="56" t="str">
        <f>H35</f>
        <v>2-2-2-2</v>
      </c>
      <c r="S35" s="28" t="str">
        <f>N35</f>
        <v>3x5 ea</v>
      </c>
      <c r="T35" s="57"/>
    </row>
    <row r="36" spans="2:22" s="1" customFormat="1" ht="19.899999999999999" customHeight="1" thickBot="1" x14ac:dyDescent="0.3">
      <c r="B36" s="4">
        <v>9</v>
      </c>
      <c r="C36" s="565" t="s">
        <v>410</v>
      </c>
      <c r="D36" s="565"/>
      <c r="E36" s="566"/>
      <c r="G36" s="24"/>
      <c r="H36" s="25" t="s">
        <v>890</v>
      </c>
      <c r="I36" s="25" t="s">
        <v>623</v>
      </c>
      <c r="J36" s="26"/>
      <c r="L36" s="24"/>
      <c r="M36" s="25" t="str">
        <f t="shared" si="3"/>
        <v>2-1-1-0</v>
      </c>
      <c r="N36" s="25" t="str">
        <f>I36</f>
        <v>1x10</v>
      </c>
      <c r="O36" s="26"/>
      <c r="Q36" s="46"/>
      <c r="R36" s="47" t="str">
        <f>H36</f>
        <v>2-1-1-0</v>
      </c>
      <c r="S36" s="47" t="str">
        <f>N36</f>
        <v>1x10</v>
      </c>
      <c r="T36" s="48"/>
    </row>
    <row r="37" spans="2:22" s="2" customFormat="1" ht="4.9000000000000004" customHeight="1" thickBot="1" x14ac:dyDescent="0.3">
      <c r="B37" s="73"/>
      <c r="G37" s="1"/>
      <c r="H37" s="1"/>
      <c r="L37" s="1"/>
      <c r="M37" s="1"/>
      <c r="Q37" s="547"/>
      <c r="R37" s="547"/>
      <c r="S37" s="49"/>
      <c r="T37" s="74"/>
    </row>
    <row r="38" spans="2:22" s="1" customFormat="1" ht="19.899999999999999" customHeight="1" x14ac:dyDescent="0.25">
      <c r="B38" s="9">
        <v>10</v>
      </c>
      <c r="C38" s="560" t="s">
        <v>415</v>
      </c>
      <c r="D38" s="560"/>
      <c r="E38" s="561"/>
      <c r="G38" s="21"/>
      <c r="H38" s="22" t="s">
        <v>889</v>
      </c>
      <c r="I38" s="22" t="s">
        <v>623</v>
      </c>
      <c r="J38" s="23"/>
      <c r="L38" s="21"/>
      <c r="M38" s="22" t="str">
        <f t="shared" ref="M38:M40" si="4">H38</f>
        <v>3-1-1-1</v>
      </c>
      <c r="N38" s="22" t="str">
        <f>I38</f>
        <v>1x10</v>
      </c>
      <c r="O38" s="23"/>
      <c r="Q38" s="21"/>
      <c r="R38" s="22" t="str">
        <f>H38</f>
        <v>3-1-1-1</v>
      </c>
      <c r="S38" s="52" t="str">
        <f>N38</f>
        <v>1x10</v>
      </c>
      <c r="T38" s="23"/>
    </row>
    <row r="39" spans="2:22" s="1" customFormat="1" ht="19.899999999999999" customHeight="1" x14ac:dyDescent="0.25">
      <c r="B39" s="3">
        <v>11</v>
      </c>
      <c r="C39" s="567" t="s">
        <v>770</v>
      </c>
      <c r="D39" s="567"/>
      <c r="E39" s="568"/>
      <c r="G39" s="27"/>
      <c r="H39" s="28" t="s">
        <v>900</v>
      </c>
      <c r="I39" s="28" t="s">
        <v>715</v>
      </c>
      <c r="J39" s="29"/>
      <c r="L39" s="27"/>
      <c r="M39" s="28" t="str">
        <f t="shared" si="4"/>
        <v>ISO</v>
      </c>
      <c r="N39" s="28" t="str">
        <f>I39</f>
        <v>3x10s ea</v>
      </c>
      <c r="O39" s="29"/>
      <c r="Q39" s="27"/>
      <c r="R39" s="28" t="str">
        <f>H39</f>
        <v>ISO</v>
      </c>
      <c r="S39" s="28" t="str">
        <f>N39</f>
        <v>3x10s ea</v>
      </c>
      <c r="T39" s="29"/>
    </row>
    <row r="40" spans="2:22" s="1" customFormat="1" ht="19.899999999999999" customHeight="1" thickBot="1" x14ac:dyDescent="0.3">
      <c r="B40" s="4">
        <v>12</v>
      </c>
      <c r="C40" s="565" t="s">
        <v>440</v>
      </c>
      <c r="D40" s="565"/>
      <c r="E40" s="566"/>
      <c r="G40" s="24"/>
      <c r="H40" s="25" t="s">
        <v>889</v>
      </c>
      <c r="I40" s="25" t="s">
        <v>623</v>
      </c>
      <c r="J40" s="26"/>
      <c r="L40" s="24"/>
      <c r="M40" s="25" t="str">
        <f t="shared" si="4"/>
        <v>3-1-1-1</v>
      </c>
      <c r="N40" s="25" t="str">
        <f>I40</f>
        <v>1x10</v>
      </c>
      <c r="O40" s="26"/>
      <c r="Q40" s="46"/>
      <c r="R40" s="47" t="str">
        <f>H40</f>
        <v>3-1-1-1</v>
      </c>
      <c r="S40" s="47" t="str">
        <f>N40</f>
        <v>1x10</v>
      </c>
      <c r="T40" s="48"/>
    </row>
    <row r="41" spans="2:22" s="1" customFormat="1" ht="5.0999999999999996" customHeight="1" thickBot="1" x14ac:dyDescent="0.3">
      <c r="B41" s="4"/>
      <c r="C41" s="66"/>
      <c r="D41" s="66"/>
      <c r="E41" s="113"/>
      <c r="G41" s="4"/>
      <c r="H41" s="66"/>
      <c r="I41" s="66"/>
      <c r="J41" s="66"/>
      <c r="L41" s="66"/>
      <c r="M41" s="66"/>
      <c r="N41" s="66"/>
      <c r="O41" s="66"/>
      <c r="Q41" s="115"/>
      <c r="R41" s="115"/>
      <c r="S41" s="115"/>
      <c r="T41" s="116"/>
    </row>
    <row r="42" spans="2:22" s="2" customFormat="1" ht="18" customHeight="1" thickBot="1" x14ac:dyDescent="0.3">
      <c r="B42" s="607" t="s">
        <v>875</v>
      </c>
      <c r="C42" s="608"/>
      <c r="D42" s="608"/>
      <c r="E42" s="609"/>
      <c r="F42" s="1"/>
      <c r="G42" s="549" t="s">
        <v>880</v>
      </c>
      <c r="H42" s="550" t="s">
        <v>9</v>
      </c>
      <c r="I42" s="550" t="s">
        <v>901</v>
      </c>
      <c r="J42" s="551" t="s">
        <v>880</v>
      </c>
      <c r="K42" s="523"/>
      <c r="L42" s="549" t="str">
        <f>G42</f>
        <v>GEWICHT</v>
      </c>
      <c r="M42" s="550" t="s">
        <v>9</v>
      </c>
      <c r="N42" s="550" t="str">
        <f>I42</f>
        <v>SxR/RPE 9</v>
      </c>
      <c r="O42" s="551" t="s">
        <v>880</v>
      </c>
      <c r="P42" s="547"/>
      <c r="Q42" s="549" t="str">
        <f>L42</f>
        <v>GEWICHT</v>
      </c>
      <c r="R42" s="550" t="s">
        <v>9</v>
      </c>
      <c r="S42" s="550" t="str">
        <f>I42</f>
        <v>SxR/RPE 9</v>
      </c>
      <c r="T42" s="551" t="s">
        <v>880</v>
      </c>
    </row>
    <row r="43" spans="2:22" s="1" customFormat="1" ht="19.899999999999999" customHeight="1" x14ac:dyDescent="0.25">
      <c r="B43" s="9">
        <v>13</v>
      </c>
      <c r="C43" s="560" t="s">
        <v>182</v>
      </c>
      <c r="D43" s="560"/>
      <c r="E43" s="561"/>
      <c r="G43" s="21"/>
      <c r="H43" s="22" t="s">
        <v>900</v>
      </c>
      <c r="I43" s="22" t="s">
        <v>210</v>
      </c>
      <c r="J43" s="23"/>
      <c r="L43" s="21"/>
      <c r="M43" s="22" t="str">
        <f>H43</f>
        <v>ISO</v>
      </c>
      <c r="N43" s="22" t="str">
        <f>I43</f>
        <v>1x60s</v>
      </c>
      <c r="O43" s="23"/>
      <c r="Q43" s="21"/>
      <c r="R43" s="22" t="str">
        <f>H43</f>
        <v>ISO</v>
      </c>
      <c r="S43" s="22" t="str">
        <f>N43</f>
        <v>1x60s</v>
      </c>
      <c r="T43" s="23"/>
    </row>
    <row r="44" spans="2:22" s="1" customFormat="1" ht="19.899999999999999" customHeight="1" x14ac:dyDescent="0.25">
      <c r="B44" s="3">
        <v>14</v>
      </c>
      <c r="C44" s="567" t="s">
        <v>36</v>
      </c>
      <c r="D44" s="567"/>
      <c r="E44" s="568"/>
      <c r="G44" s="27"/>
      <c r="H44" s="28" t="s">
        <v>900</v>
      </c>
      <c r="I44" s="28" t="s">
        <v>210</v>
      </c>
      <c r="J44" s="29"/>
      <c r="L44" s="27"/>
      <c r="M44" s="28" t="str">
        <f>H43</f>
        <v>ISO</v>
      </c>
      <c r="N44" s="28" t="str">
        <f>I44</f>
        <v>1x60s</v>
      </c>
      <c r="O44" s="29"/>
      <c r="Q44" s="27"/>
      <c r="R44" s="28" t="str">
        <f>H43</f>
        <v>ISO</v>
      </c>
      <c r="S44" s="28" t="str">
        <f>N44</f>
        <v>1x60s</v>
      </c>
      <c r="T44" s="29"/>
    </row>
    <row r="45" spans="2:22" s="1" customFormat="1" ht="19.899999999999999" customHeight="1" thickBot="1" x14ac:dyDescent="0.3">
      <c r="B45" s="4">
        <v>15</v>
      </c>
      <c r="C45" s="571" t="s">
        <v>338</v>
      </c>
      <c r="D45" s="571"/>
      <c r="E45" s="572"/>
      <c r="F45" s="66"/>
      <c r="G45" s="24"/>
      <c r="H45" s="25" t="s">
        <v>900</v>
      </c>
      <c r="I45" s="25" t="s">
        <v>210</v>
      </c>
      <c r="J45" s="26"/>
      <c r="K45" s="66"/>
      <c r="L45" s="24"/>
      <c r="M45" s="25" t="str">
        <f>H43</f>
        <v>ISO</v>
      </c>
      <c r="N45" s="25" t="str">
        <f>I45</f>
        <v>1x60s</v>
      </c>
      <c r="O45" s="26"/>
      <c r="P45" s="66"/>
      <c r="Q45" s="24"/>
      <c r="R45" s="25" t="str">
        <f>H43</f>
        <v>ISO</v>
      </c>
      <c r="S45" s="25" t="str">
        <f>N45</f>
        <v>1x60s</v>
      </c>
      <c r="T45" s="26"/>
    </row>
    <row r="46" spans="2:22" s="2" customFormat="1" ht="4.9000000000000004" customHeight="1" x14ac:dyDescent="0.25">
      <c r="Q46" s="49"/>
      <c r="R46" s="49"/>
      <c r="S46" s="49"/>
      <c r="T46" s="49"/>
    </row>
    <row r="47" spans="2:22" x14ac:dyDescent="0.25">
      <c r="V47" s="1"/>
    </row>
    <row r="48" spans="2:22" x14ac:dyDescent="0.25">
      <c r="V48" s="1"/>
    </row>
    <row r="49" spans="22:22" x14ac:dyDescent="0.25">
      <c r="V49" s="1"/>
    </row>
    <row r="50" spans="22:22" x14ac:dyDescent="0.25">
      <c r="V50" s="1"/>
    </row>
    <row r="51" spans="22:22" x14ac:dyDescent="0.25">
      <c r="V51" s="1"/>
    </row>
    <row r="52" spans="22:22" x14ac:dyDescent="0.25">
      <c r="V52" s="1"/>
    </row>
    <row r="53" spans="22:22" x14ac:dyDescent="0.25">
      <c r="V53" s="1"/>
    </row>
    <row r="54" spans="22:22" x14ac:dyDescent="0.25">
      <c r="V54" s="1"/>
    </row>
  </sheetData>
  <mergeCells count="44">
    <mergeCell ref="O2:T7"/>
    <mergeCell ref="E10:G10"/>
    <mergeCell ref="I10:L10"/>
    <mergeCell ref="B12:T12"/>
    <mergeCell ref="B13:D13"/>
    <mergeCell ref="E13:F13"/>
    <mergeCell ref="G13:I13"/>
    <mergeCell ref="J13:M13"/>
    <mergeCell ref="N13:Q13"/>
    <mergeCell ref="R13:T13"/>
    <mergeCell ref="B15:D15"/>
    <mergeCell ref="E15:F15"/>
    <mergeCell ref="G15:I15"/>
    <mergeCell ref="J15:M15"/>
    <mergeCell ref="B17:E18"/>
    <mergeCell ref="G17:T17"/>
    <mergeCell ref="H18:I18"/>
    <mergeCell ref="M18:N18"/>
    <mergeCell ref="R18:S18"/>
    <mergeCell ref="N15:Q15"/>
    <mergeCell ref="R15:T15"/>
    <mergeCell ref="C45:E45"/>
    <mergeCell ref="C35:E35"/>
    <mergeCell ref="C36:E36"/>
    <mergeCell ref="C38:E38"/>
    <mergeCell ref="C39:E39"/>
    <mergeCell ref="C40:E40"/>
    <mergeCell ref="B42:E42"/>
    <mergeCell ref="B14:T14"/>
    <mergeCell ref="C43:E43"/>
    <mergeCell ref="C44:E44"/>
    <mergeCell ref="C34:E34"/>
    <mergeCell ref="C20:E20"/>
    <mergeCell ref="C21:E21"/>
    <mergeCell ref="C22:E22"/>
    <mergeCell ref="B24:E24"/>
    <mergeCell ref="C25:E25"/>
    <mergeCell ref="C26:E26"/>
    <mergeCell ref="C27:E27"/>
    <mergeCell ref="C29:E29"/>
    <mergeCell ref="C30:E30"/>
    <mergeCell ref="C31:E31"/>
    <mergeCell ref="B33:E33"/>
    <mergeCell ref="B19:E19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showInputMessage="1" showErrorMessage="1" xr:uid="{00000000-0002-0000-1000-000000000000}">
          <x14:formula1>
            <xm:f>'BH1-2 Progressionen'!$L:$L</xm:f>
          </x14:formula1>
          <xm:sqref>N15</xm:sqref>
        </x14:dataValidation>
        <x14:dataValidation type="list" allowBlank="1" showInputMessage="1" showErrorMessage="1" xr:uid="{00000000-0002-0000-1000-000001000000}">
          <x14:formula1>
            <xm:f>'BH1-2 Progressionen'!$F:$F</xm:f>
          </x14:formula1>
          <xm:sqref>N13</xm:sqref>
        </x14:dataValidation>
        <x14:dataValidation type="list" allowBlank="1" showInputMessage="1" showErrorMessage="1" xr:uid="{00000000-0002-0000-1000-000002000000}">
          <x14:formula1>
            <xm:f>'BH1-2 Progressionen'!$K:$K</xm:f>
          </x14:formula1>
          <xm:sqref>J15</xm:sqref>
        </x14:dataValidation>
        <x14:dataValidation type="list" allowBlank="1" showInputMessage="1" showErrorMessage="1" xr:uid="{00000000-0002-0000-1000-000003000000}">
          <x14:formula1>
            <xm:f>'BH1-2 Progressionen'!$E:$E</xm:f>
          </x14:formula1>
          <xm:sqref>J13</xm:sqref>
        </x14:dataValidation>
        <x14:dataValidation type="list" allowBlank="1" showInputMessage="1" showErrorMessage="1" xr:uid="{00000000-0002-0000-1000-000004000000}">
          <x14:formula1>
            <xm:f>'BH1-2 Progressionen'!$J:$J</xm:f>
          </x14:formula1>
          <xm:sqref>G15</xm:sqref>
        </x14:dataValidation>
        <x14:dataValidation type="list" allowBlank="1" showInputMessage="1" showErrorMessage="1" xr:uid="{00000000-0002-0000-1000-000005000000}">
          <x14:formula1>
            <xm:f>'BH1-2 Progressionen'!$D:$D</xm:f>
          </x14:formula1>
          <xm:sqref>G13</xm:sqref>
        </x14:dataValidation>
        <x14:dataValidation type="list" allowBlank="1" showInputMessage="1" showErrorMessage="1" xr:uid="{00000000-0002-0000-1000-000006000000}">
          <x14:formula1>
            <xm:f>'BH1-2 Progressionen'!$M:$M</xm:f>
          </x14:formula1>
          <xm:sqref>R15:T15</xm:sqref>
        </x14:dataValidation>
        <x14:dataValidation type="list" allowBlank="1" showInputMessage="1" showErrorMessage="1" xr:uid="{00000000-0002-0000-1000-000007000000}">
          <x14:formula1>
            <xm:f>'BH1-2 Progressionen'!$I:$I</xm:f>
          </x14:formula1>
          <xm:sqref>E15</xm:sqref>
        </x14:dataValidation>
        <x14:dataValidation type="list" allowBlank="1" showInputMessage="1" showErrorMessage="1" xr:uid="{00000000-0002-0000-1000-000008000000}">
          <x14:formula1>
            <xm:f>'BH1-2 Progressionen'!$H:$H</xm:f>
          </x14:formula1>
          <xm:sqref>B15:D15</xm:sqref>
        </x14:dataValidation>
        <x14:dataValidation type="list" allowBlank="1" showInputMessage="1" showErrorMessage="1" xr:uid="{00000000-0002-0000-1000-000009000000}">
          <x14:formula1>
            <xm:f>'BH1-2 Progressionen'!$G:$G</xm:f>
          </x14:formula1>
          <xm:sqref>R13:T13</xm:sqref>
        </x14:dataValidation>
        <x14:dataValidation type="list" allowBlank="1" showInputMessage="1" showErrorMessage="1" xr:uid="{00000000-0002-0000-1000-00000A000000}">
          <x14:formula1>
            <xm:f>'BH1-2 Progressionen'!$C:$C</xm:f>
          </x14:formula1>
          <xm:sqref>E13</xm:sqref>
        </x14:dataValidation>
        <x14:dataValidation type="list" allowBlank="1" showInputMessage="1" showErrorMessage="1" xr:uid="{00000000-0002-0000-1000-00000B000000}">
          <x14:formula1>
            <xm:f>'BH1-2 Progressionen'!$B:$B</xm:f>
          </x14:formula1>
          <xm:sqref>B13:D13</xm:sqref>
        </x14:dataValidation>
        <x14:dataValidation type="list" allowBlank="1" showInputMessage="1" showErrorMessage="1" xr:uid="{00000000-0002-0000-1000-00000C000000}">
          <x14:formula1>
            <xm:f>'BH1-2 Progressionen'!$A:$A</xm:f>
          </x14:formula1>
          <xm:sqref>B17:E18</xm:sqref>
        </x14:dataValidation>
        <x14:dataValidation type="list" allowBlank="1" showInputMessage="1" showErrorMessage="1" xr:uid="{00000000-0002-0000-1000-00000D000000}">
          <x14:formula1>
            <xm:f>' Unterkörper Progressionen '!$W:$W</xm:f>
          </x14:formula1>
          <xm:sqref>C45:E45</xm:sqref>
        </x14:dataValidation>
        <x14:dataValidation type="list" allowBlank="1" showInputMessage="1" showErrorMessage="1" xr:uid="{00000000-0002-0000-1000-00000E000000}">
          <x14:formula1>
            <xm:f>' Unterkörper Progressionen '!$V:$V</xm:f>
          </x14:formula1>
          <xm:sqref>C44:E44</xm:sqref>
        </x14:dataValidation>
        <x14:dataValidation type="list" allowBlank="1" showInputMessage="1" showErrorMessage="1" xr:uid="{00000000-0002-0000-1000-00000F000000}">
          <x14:formula1>
            <xm:f>' Unterkörper Progressionen '!$U:$U</xm:f>
          </x14:formula1>
          <xm:sqref>C43:E43</xm:sqref>
        </x14:dataValidation>
        <x14:dataValidation type="list" allowBlank="1" showInputMessage="1" showErrorMessage="1" xr:uid="{00000000-0002-0000-1000-000010000000}">
          <x14:formula1>
            <xm:f>' Unterkörper Progressionen '!$S:$S</xm:f>
          </x14:formula1>
          <xm:sqref>C40:E40</xm:sqref>
        </x14:dataValidation>
        <x14:dataValidation type="list" allowBlank="1" showInputMessage="1" showErrorMessage="1" xr:uid="{00000000-0002-0000-1000-000011000000}">
          <x14:formula1>
            <xm:f>' Unterkörper Progressionen '!$R:$R</xm:f>
          </x14:formula1>
          <xm:sqref>C39:E39</xm:sqref>
        </x14:dataValidation>
        <x14:dataValidation type="list" allowBlank="1" showInputMessage="1" showErrorMessage="1" xr:uid="{00000000-0002-0000-1000-000012000000}">
          <x14:formula1>
            <xm:f>' Unterkörper Progressionen '!$Q:$Q</xm:f>
          </x14:formula1>
          <xm:sqref>C38:E38</xm:sqref>
        </x14:dataValidation>
        <x14:dataValidation type="list" allowBlank="1" showInputMessage="1" showErrorMessage="1" xr:uid="{00000000-0002-0000-1000-000013000000}">
          <x14:formula1>
            <xm:f>' Unterkörper Progressionen '!$P:$P</xm:f>
          </x14:formula1>
          <xm:sqref>C36:E36</xm:sqref>
        </x14:dataValidation>
        <x14:dataValidation type="list" allowBlank="1" showInputMessage="1" showErrorMessage="1" xr:uid="{00000000-0002-0000-1000-000014000000}">
          <x14:formula1>
            <xm:f>' Unterkörper Progressionen '!$M:$M</xm:f>
          </x14:formula1>
          <xm:sqref>C35:E35</xm:sqref>
        </x14:dataValidation>
        <x14:dataValidation type="list" allowBlank="1" showInputMessage="1" showErrorMessage="1" xr:uid="{00000000-0002-0000-1000-000015000000}">
          <x14:formula1>
            <xm:f>' Unterkörper Progressionen '!$L:$L</xm:f>
          </x14:formula1>
          <xm:sqref>C34:E34</xm:sqref>
        </x14:dataValidation>
        <x14:dataValidation type="list" allowBlank="1" showInputMessage="1" showErrorMessage="1" xr:uid="{00000000-0002-0000-1000-000016000000}">
          <x14:formula1>
            <xm:f>' Unterkörper Progressionen '!$J:$J</xm:f>
          </x14:formula1>
          <xm:sqref>C31:E31</xm:sqref>
        </x14:dataValidation>
        <x14:dataValidation type="list" allowBlank="1" showInputMessage="1" showErrorMessage="1" xr:uid="{00000000-0002-0000-1000-000017000000}">
          <x14:formula1>
            <xm:f>' Unterkörper Progressionen '!$I:$I</xm:f>
          </x14:formula1>
          <xm:sqref>C30:E30</xm:sqref>
        </x14:dataValidation>
        <x14:dataValidation type="list" allowBlank="1" showInputMessage="1" showErrorMessage="1" xr:uid="{00000000-0002-0000-1000-000018000000}">
          <x14:formula1>
            <xm:f>' Unterkörper Progressionen '!$H:$H</xm:f>
          </x14:formula1>
          <xm:sqref>C29:E29</xm:sqref>
        </x14:dataValidation>
        <x14:dataValidation type="list" allowBlank="1" showInputMessage="1" showErrorMessage="1" xr:uid="{00000000-0002-0000-1000-000019000000}">
          <x14:formula1>
            <xm:f>' Unterkörper Progressionen '!$G:$G</xm:f>
          </x14:formula1>
          <xm:sqref>C27:E27</xm:sqref>
        </x14:dataValidation>
        <x14:dataValidation type="list" allowBlank="1" showInputMessage="1" showErrorMessage="1" xr:uid="{00000000-0002-0000-1000-00001A000000}">
          <x14:formula1>
            <xm:f>' Unterkörper Progressionen '!$F:$F</xm:f>
          </x14:formula1>
          <xm:sqref>C26:E26</xm:sqref>
        </x14:dataValidation>
        <x14:dataValidation type="list" allowBlank="1" showInputMessage="1" showErrorMessage="1" xr:uid="{00000000-0002-0000-1000-00001B000000}">
          <x14:formula1>
            <xm:f>' Unterkörper Progressionen '!$E:$E</xm:f>
          </x14:formula1>
          <xm:sqref>C25:E25</xm:sqref>
        </x14:dataValidation>
        <x14:dataValidation type="list" allowBlank="1" showInputMessage="1" showErrorMessage="1" xr:uid="{00000000-0002-0000-1000-00001C000000}">
          <x14:formula1>
            <xm:f>' Unterkörper Progressionen '!$D:$D</xm:f>
          </x14:formula1>
          <xm:sqref>C22:E22</xm:sqref>
        </x14:dataValidation>
        <x14:dataValidation type="list" allowBlank="1" showInputMessage="1" showErrorMessage="1" xr:uid="{00000000-0002-0000-1000-00001D000000}">
          <x14:formula1>
            <xm:f>' Unterkörper Progressionen '!$C:$C</xm:f>
          </x14:formula1>
          <xm:sqref>C21:E21</xm:sqref>
        </x14:dataValidation>
        <x14:dataValidation type="list" allowBlank="1" showInputMessage="1" showErrorMessage="1" xr:uid="{00000000-0002-0000-1000-00001E000000}">
          <x14:formula1>
            <xm:f>' Unterkörper Progressionen '!$B:$B</xm:f>
          </x14:formula1>
          <xm:sqref>C20:E20</xm:sqref>
        </x14:dataValidation>
        <x14:dataValidation type="list" allowBlank="1" showInputMessage="1" showErrorMessage="1" xr:uid="{00000000-0002-0000-1000-00001F000000}">
          <x14:formula1>
            <xm:f>' Unterkörper Progressionen '!$AA:$AA</xm:f>
          </x14:formula1>
          <xm:sqref>J21</xm:sqref>
        </x14:dataValidation>
        <x14:dataValidation type="list" allowBlank="1" showInputMessage="1" showErrorMessage="1" xr:uid="{00000000-0002-0000-1000-000020000000}">
          <x14:formula1>
            <xm:f>' Unterkörper Progressionen '!$Z:$Z</xm:f>
          </x14:formula1>
          <xm:sqref>I43:I45 I25:I27 I29:I32 I38:I41 I34:I36</xm:sqref>
        </x14:dataValidation>
        <x14:dataValidation type="list" allowBlank="1" showInputMessage="1" showErrorMessage="1" xr:uid="{F150F1B0-AD65-4A73-BCEB-F63D18F2B7CE}">
          <x14:formula1>
            <xm:f>' Unterkörper Progressionen '!$AC:$AC</xm:f>
          </x14:formula1>
          <xm:sqref>S33 I24 S42 N42 I42 I33 N33</xm:sqref>
        </x14:dataValidation>
        <x14:dataValidation type="list" allowBlank="1" showInputMessage="1" showErrorMessage="1" xr:uid="{A89B086E-2E58-49EA-893B-C11CCB1B4BBF}">
          <x14:formula1>
            <xm:f>' Unterkörper Progressionen '!$AB:$AB</xm:f>
          </x14:formula1>
          <xm:sqref>H25:H27 H20:H22 H43:H45 H38:H40 H34:H36 H29:H31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W44"/>
  <sheetViews>
    <sheetView topLeftCell="A6" zoomScale="94" zoomScaleNormal="100" workbookViewId="0">
      <selection activeCell="B41" sqref="B41:E41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W9" s="2"/>
    </row>
    <row r="10" spans="2:23" ht="16.5" hidden="1" thickBot="1" x14ac:dyDescent="0.3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1" customFormat="1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tr">
        <f>Unterkörper3!B13</f>
        <v>BALANCE - TGU - POST TO HIGH PELVIS</v>
      </c>
      <c r="C13" s="631"/>
      <c r="D13" s="631"/>
      <c r="E13" s="633" t="str">
        <f>Unterkörper3!E13</f>
        <v>LOADED SIDE CRAWL</v>
      </c>
      <c r="F13" s="634"/>
      <c r="G13" s="631" t="str">
        <f>Unterkörper3!G13</f>
        <v>1KB BOTTOM-UP WAITER CARRY</v>
      </c>
      <c r="H13" s="631"/>
      <c r="I13" s="631"/>
      <c r="J13" s="631" t="str">
        <f>Unterkörper3!J13</f>
        <v>KB GOBLET SQUAT</v>
      </c>
      <c r="K13" s="631"/>
      <c r="L13" s="631"/>
      <c r="M13" s="631"/>
      <c r="N13" s="631" t="str">
        <f>Unterkörper3!N13</f>
        <v>1-ARM 1KB SUITCASE DEADLIFT</v>
      </c>
      <c r="O13" s="631"/>
      <c r="P13" s="631"/>
      <c r="Q13" s="631"/>
      <c r="R13" s="631" t="str">
        <f>Unterkörper3!R13</f>
        <v>LANDMINE 1-LEG DEADLIFT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tr">
        <f>Unterkörper3!B15</f>
        <v>LOADED ANKLE ROCKERS WIPERS</v>
      </c>
      <c r="C15" s="553"/>
      <c r="D15" s="553"/>
      <c r="E15" s="625" t="str">
        <f>Unterkörper3!E15</f>
        <v>ANKLE POS. 1 45 SEC</v>
      </c>
      <c r="F15" s="626"/>
      <c r="G15" s="553" t="str">
        <f>Unterkörper3!G15</f>
        <v>LOADED ANKLE BOUNDS</v>
      </c>
      <c r="H15" s="553"/>
      <c r="I15" s="553"/>
      <c r="J15" s="553" t="str">
        <f>Unterkörper3!J15</f>
        <v>LOADED 1-LEG A-SKIP</v>
      </c>
      <c r="K15" s="553"/>
      <c r="L15" s="553"/>
      <c r="M15" s="553"/>
      <c r="N15" s="553" t="str">
        <f>Unterkörper3!N15</f>
        <v xml:space="preserve">REACTIVE 1-LEG LATERAL HOP - TO BOX (NCM) </v>
      </c>
      <c r="O15" s="553"/>
      <c r="P15" s="553"/>
      <c r="Q15" s="553"/>
      <c r="R15" s="553" t="str">
        <f>Unterkörper3!R15</f>
        <v>LOADED SQUAT JUMP - DC</v>
      </c>
      <c r="S15" s="553"/>
      <c r="T15" s="556"/>
    </row>
    <row r="16" spans="2:23" ht="16.5" customHeight="1" thickBot="1" x14ac:dyDescent="0.3">
      <c r="B16" s="647" t="str">
        <f>Unterkörper3!B17</f>
        <v>LEVEL 3</v>
      </c>
      <c r="C16" s="648"/>
      <c r="D16" s="648"/>
      <c r="E16" s="649"/>
      <c r="F16" s="1"/>
      <c r="G16" s="592" t="s">
        <v>352</v>
      </c>
      <c r="H16" s="593"/>
      <c r="I16" s="593"/>
      <c r="J16" s="593"/>
      <c r="K16" s="593"/>
      <c r="L16" s="593"/>
      <c r="M16" s="593"/>
      <c r="N16" s="593"/>
      <c r="O16" s="593"/>
      <c r="P16" s="593"/>
      <c r="Q16" s="593"/>
      <c r="R16" s="593"/>
      <c r="S16" s="593"/>
      <c r="T16" s="594"/>
    </row>
    <row r="17" spans="2:23" ht="21.6" customHeight="1" thickBot="1" x14ac:dyDescent="0.3">
      <c r="B17" s="622"/>
      <c r="C17" s="623"/>
      <c r="D17" s="623"/>
      <c r="E17" s="624"/>
      <c r="F17" s="1"/>
      <c r="G17" s="70" t="s">
        <v>865</v>
      </c>
      <c r="H17" s="582" t="s">
        <v>877</v>
      </c>
      <c r="I17" s="583"/>
      <c r="J17" s="71" t="s">
        <v>866</v>
      </c>
      <c r="K17" s="64"/>
      <c r="L17" s="70" t="s">
        <v>867</v>
      </c>
      <c r="M17" s="582" t="s">
        <v>878</v>
      </c>
      <c r="N17" s="583"/>
      <c r="O17" s="71" t="s">
        <v>868</v>
      </c>
      <c r="P17" s="64"/>
      <c r="Q17" s="70" t="s">
        <v>869</v>
      </c>
      <c r="R17" s="595" t="s">
        <v>879</v>
      </c>
      <c r="S17" s="596"/>
      <c r="T17" s="71" t="s">
        <v>870</v>
      </c>
    </row>
    <row r="18" spans="2:23" ht="18" customHeight="1" thickBot="1" x14ac:dyDescent="0.3">
      <c r="B18" s="641" t="s">
        <v>8</v>
      </c>
      <c r="C18" s="642"/>
      <c r="D18" s="642"/>
      <c r="E18" s="643"/>
      <c r="F18" s="72"/>
      <c r="G18" s="501" t="s">
        <v>880</v>
      </c>
      <c r="H18" s="502" t="s">
        <v>9</v>
      </c>
      <c r="I18" s="502" t="s">
        <v>11</v>
      </c>
      <c r="J18" s="503" t="s">
        <v>880</v>
      </c>
      <c r="K18" s="1"/>
      <c r="L18" s="501" t="s">
        <v>880</v>
      </c>
      <c r="M18" s="502" t="s">
        <v>9</v>
      </c>
      <c r="N18" s="502" t="s">
        <v>11</v>
      </c>
      <c r="O18" s="503" t="s">
        <v>880</v>
      </c>
      <c r="P18" s="1"/>
      <c r="Q18" s="504" t="s">
        <v>880</v>
      </c>
      <c r="R18" s="505" t="s">
        <v>9</v>
      </c>
      <c r="S18" s="505" t="s">
        <v>11</v>
      </c>
      <c r="T18" s="506" t="s">
        <v>880</v>
      </c>
    </row>
    <row r="19" spans="2:23" s="1" customFormat="1" ht="19.899999999999999" customHeight="1" x14ac:dyDescent="0.25">
      <c r="B19" s="9">
        <v>1</v>
      </c>
      <c r="C19" s="560" t="s">
        <v>256</v>
      </c>
      <c r="D19" s="560"/>
      <c r="E19" s="561"/>
      <c r="G19" s="18"/>
      <c r="H19" s="22" t="s">
        <v>12</v>
      </c>
      <c r="I19" s="19" t="s">
        <v>14</v>
      </c>
      <c r="J19" s="20" t="s">
        <v>16</v>
      </c>
      <c r="L19" s="18"/>
      <c r="M19" s="19" t="str">
        <f t="shared" ref="M19:M21" si="0">H19</f>
        <v>EXPL</v>
      </c>
      <c r="N19" s="19" t="s">
        <v>14</v>
      </c>
      <c r="O19" s="20" t="s">
        <v>16</v>
      </c>
      <c r="Q19" s="43"/>
      <c r="R19" s="44" t="str">
        <f t="shared" ref="R19:R21" si="1">H19</f>
        <v>EXPL</v>
      </c>
      <c r="S19" s="44" t="s">
        <v>14</v>
      </c>
      <c r="T19" s="45" t="s">
        <v>16</v>
      </c>
    </row>
    <row r="20" spans="2:23" s="1" customFormat="1" ht="19.899999999999999" customHeight="1" x14ac:dyDescent="0.25">
      <c r="B20" s="3">
        <v>2</v>
      </c>
      <c r="C20" s="567" t="s">
        <v>224</v>
      </c>
      <c r="D20" s="567"/>
      <c r="E20" s="568"/>
      <c r="G20" s="67"/>
      <c r="H20" s="28" t="s">
        <v>12</v>
      </c>
      <c r="I20" s="68" t="s">
        <v>14</v>
      </c>
      <c r="J20" s="69" t="s">
        <v>725</v>
      </c>
      <c r="L20" s="67"/>
      <c r="M20" s="68" t="str">
        <f t="shared" si="0"/>
        <v>EXPL</v>
      </c>
      <c r="N20" s="68" t="s">
        <v>14</v>
      </c>
      <c r="O20" s="69" t="str">
        <f>J20</f>
        <v>2kg</v>
      </c>
      <c r="Q20" s="75"/>
      <c r="R20" s="76" t="str">
        <f t="shared" si="1"/>
        <v>EXPL</v>
      </c>
      <c r="S20" s="76" t="s">
        <v>14</v>
      </c>
      <c r="T20" s="77" t="str">
        <f>J20</f>
        <v>2kg</v>
      </c>
    </row>
    <row r="21" spans="2:23" s="1" customFormat="1" ht="19.899999999999999" customHeight="1" thickBot="1" x14ac:dyDescent="0.3">
      <c r="B21" s="4">
        <v>3</v>
      </c>
      <c r="C21" s="565" t="s">
        <v>222</v>
      </c>
      <c r="D21" s="565"/>
      <c r="E21" s="566"/>
      <c r="G21" s="24"/>
      <c r="H21" s="25" t="s">
        <v>12</v>
      </c>
      <c r="I21" s="25" t="s">
        <v>14</v>
      </c>
      <c r="J21" s="26" t="s">
        <v>725</v>
      </c>
      <c r="L21" s="24"/>
      <c r="M21" s="25" t="str">
        <f t="shared" si="0"/>
        <v>EXPL</v>
      </c>
      <c r="N21" s="25" t="s">
        <v>14</v>
      </c>
      <c r="O21" s="26" t="str">
        <f>J21</f>
        <v>2kg</v>
      </c>
      <c r="Q21" s="46"/>
      <c r="R21" s="47" t="str">
        <f t="shared" si="1"/>
        <v>EXPL</v>
      </c>
      <c r="S21" s="47" t="s">
        <v>14</v>
      </c>
      <c r="T21" s="48" t="str">
        <f>J21</f>
        <v>2kg</v>
      </c>
    </row>
    <row r="22" spans="2:23" s="2" customFormat="1" ht="4.9000000000000004" customHeight="1" thickBot="1" x14ac:dyDescent="0.3">
      <c r="B22" s="73"/>
      <c r="Q22" s="49"/>
      <c r="R22" s="49"/>
      <c r="S22" s="49"/>
      <c r="T22" s="74"/>
    </row>
    <row r="23" spans="2:23" s="523" customFormat="1" ht="18" customHeight="1" thickBot="1" x14ac:dyDescent="0.3">
      <c r="B23" s="644" t="s">
        <v>871</v>
      </c>
      <c r="C23" s="645"/>
      <c r="D23" s="645"/>
      <c r="E23" s="646"/>
      <c r="G23" s="524" t="s">
        <v>880</v>
      </c>
      <c r="H23" s="525" t="s">
        <v>9</v>
      </c>
      <c r="I23" s="525" t="s">
        <v>896</v>
      </c>
      <c r="J23" s="526" t="s">
        <v>880</v>
      </c>
      <c r="L23" s="524" t="str">
        <f>G23</f>
        <v>GEWICHT</v>
      </c>
      <c r="M23" s="525" t="s">
        <v>9</v>
      </c>
      <c r="N23" s="525" t="str">
        <f>I23</f>
        <v>SxR/RPE 7-8</v>
      </c>
      <c r="O23" s="526" t="s">
        <v>880</v>
      </c>
      <c r="Q23" s="524" t="str">
        <f>L23</f>
        <v>GEWICHT</v>
      </c>
      <c r="R23" s="525" t="s">
        <v>9</v>
      </c>
      <c r="S23" s="525" t="str">
        <f>I23</f>
        <v>SxR/RPE 7-8</v>
      </c>
      <c r="T23" s="526" t="s">
        <v>880</v>
      </c>
      <c r="W23" s="527"/>
    </row>
    <row r="24" spans="2:23" s="1" customFormat="1" ht="19.899999999999999" customHeight="1" x14ac:dyDescent="0.25">
      <c r="B24" s="9">
        <v>1</v>
      </c>
      <c r="C24" s="560" t="s">
        <v>484</v>
      </c>
      <c r="D24" s="560"/>
      <c r="E24" s="561"/>
      <c r="G24" s="21"/>
      <c r="H24" s="22" t="s">
        <v>888</v>
      </c>
      <c r="I24" s="28" t="s">
        <v>623</v>
      </c>
      <c r="J24" s="23"/>
      <c r="L24" s="21"/>
      <c r="M24" s="22" t="str">
        <f>H24</f>
        <v>3-1-1-0</v>
      </c>
      <c r="N24" s="22" t="str">
        <f>I24</f>
        <v>1x10</v>
      </c>
      <c r="O24" s="23"/>
      <c r="Q24" s="50"/>
      <c r="R24" s="52" t="str">
        <f>H24</f>
        <v>3-1-1-0</v>
      </c>
      <c r="S24" s="52" t="str">
        <f>I24</f>
        <v>1x10</v>
      </c>
      <c r="T24" s="53"/>
      <c r="W24" s="36"/>
    </row>
    <row r="25" spans="2:23" s="1" customFormat="1" ht="19.899999999999999" customHeight="1" x14ac:dyDescent="0.25">
      <c r="B25" s="3">
        <v>2</v>
      </c>
      <c r="C25" s="567" t="s">
        <v>253</v>
      </c>
      <c r="D25" s="567"/>
      <c r="E25" s="568"/>
      <c r="G25" s="27"/>
      <c r="H25" s="28" t="s">
        <v>889</v>
      </c>
      <c r="I25" s="28" t="s">
        <v>623</v>
      </c>
      <c r="J25" s="29"/>
      <c r="L25" s="27"/>
      <c r="M25" s="28" t="str">
        <f>H25</f>
        <v>3-1-1-1</v>
      </c>
      <c r="N25" s="28" t="str">
        <f>I25</f>
        <v>1x10</v>
      </c>
      <c r="O25" s="29"/>
      <c r="Q25" s="54"/>
      <c r="R25" s="56" t="str">
        <f>H25</f>
        <v>3-1-1-1</v>
      </c>
      <c r="S25" s="56" t="str">
        <f>I25</f>
        <v>1x10</v>
      </c>
      <c r="T25" s="57"/>
      <c r="W25" s="36"/>
    </row>
    <row r="26" spans="2:23" s="1" customFormat="1" ht="19.899999999999999" customHeight="1" thickBot="1" x14ac:dyDescent="0.3">
      <c r="B26" s="4">
        <v>3</v>
      </c>
      <c r="C26" s="565" t="s">
        <v>738</v>
      </c>
      <c r="D26" s="565"/>
      <c r="E26" s="566"/>
      <c r="G26" s="24"/>
      <c r="H26" s="25" t="s">
        <v>915</v>
      </c>
      <c r="I26" s="25" t="s">
        <v>712</v>
      </c>
      <c r="J26" s="26"/>
      <c r="L26" s="24"/>
      <c r="M26" s="25" t="str">
        <f>H26</f>
        <v>1-1-1-1</v>
      </c>
      <c r="N26" s="25" t="str">
        <f>I26</f>
        <v>2x15m</v>
      </c>
      <c r="O26" s="26"/>
      <c r="Q26" s="46"/>
      <c r="R26" s="47" t="str">
        <f>H26</f>
        <v>1-1-1-1</v>
      </c>
      <c r="S26" s="47" t="str">
        <f>I26</f>
        <v>2x15m</v>
      </c>
      <c r="T26" s="48"/>
    </row>
    <row r="27" spans="2:23" s="2" customFormat="1" ht="4.9000000000000004" customHeight="1" thickBot="1" x14ac:dyDescent="0.3">
      <c r="B27" s="73"/>
      <c r="Q27" s="49"/>
      <c r="R27" s="49"/>
      <c r="S27" s="49"/>
      <c r="T27" s="74"/>
    </row>
    <row r="28" spans="2:23" s="1" customFormat="1" ht="19.899999999999999" customHeight="1" x14ac:dyDescent="0.25">
      <c r="B28" s="9">
        <v>4</v>
      </c>
      <c r="C28" s="560" t="s">
        <v>199</v>
      </c>
      <c r="D28" s="560"/>
      <c r="E28" s="561"/>
      <c r="G28" s="21"/>
      <c r="H28" s="22" t="s">
        <v>888</v>
      </c>
      <c r="I28" s="22" t="s">
        <v>623</v>
      </c>
      <c r="J28" s="23"/>
      <c r="L28" s="21"/>
      <c r="M28" s="22" t="str">
        <f t="shared" ref="M28:M30" si="2">H28</f>
        <v>3-1-1-0</v>
      </c>
      <c r="N28" s="22" t="str">
        <f>I28</f>
        <v>1x10</v>
      </c>
      <c r="O28" s="23"/>
      <c r="Q28" s="50"/>
      <c r="R28" s="52" t="str">
        <f t="shared" ref="R28:R30" si="3">H28</f>
        <v>3-1-1-0</v>
      </c>
      <c r="S28" s="52" t="str">
        <f>I28</f>
        <v>1x10</v>
      </c>
      <c r="T28" s="53"/>
    </row>
    <row r="29" spans="2:23" s="1" customFormat="1" ht="19.899999999999999" customHeight="1" x14ac:dyDescent="0.25">
      <c r="B29" s="3">
        <v>5</v>
      </c>
      <c r="C29" s="567" t="s">
        <v>501</v>
      </c>
      <c r="D29" s="567"/>
      <c r="E29" s="568"/>
      <c r="G29" s="27"/>
      <c r="H29" s="28" t="s">
        <v>889</v>
      </c>
      <c r="I29" s="28" t="s">
        <v>623</v>
      </c>
      <c r="J29" s="29"/>
      <c r="L29" s="27"/>
      <c r="M29" s="28" t="str">
        <f t="shared" si="2"/>
        <v>3-1-1-1</v>
      </c>
      <c r="N29" s="28" t="str">
        <f>I29</f>
        <v>1x10</v>
      </c>
      <c r="O29" s="29"/>
      <c r="Q29" s="54"/>
      <c r="R29" s="56" t="str">
        <f t="shared" si="3"/>
        <v>3-1-1-1</v>
      </c>
      <c r="S29" s="28" t="str">
        <f>I29</f>
        <v>1x10</v>
      </c>
      <c r="T29" s="57"/>
    </row>
    <row r="30" spans="2:23" s="1" customFormat="1" ht="19.899999999999999" customHeight="1" thickBot="1" x14ac:dyDescent="0.3">
      <c r="B30" s="4">
        <v>6</v>
      </c>
      <c r="C30" s="565" t="s">
        <v>655</v>
      </c>
      <c r="D30" s="565"/>
      <c r="E30" s="566"/>
      <c r="G30" s="24"/>
      <c r="H30" s="25" t="s">
        <v>890</v>
      </c>
      <c r="I30" s="25" t="s">
        <v>623</v>
      </c>
      <c r="J30" s="26"/>
      <c r="L30" s="24"/>
      <c r="M30" s="25" t="str">
        <f t="shared" si="2"/>
        <v>2-1-1-0</v>
      </c>
      <c r="N30" s="25" t="str">
        <f>I30</f>
        <v>1x10</v>
      </c>
      <c r="O30" s="26"/>
      <c r="Q30" s="46"/>
      <c r="R30" s="47" t="str">
        <f t="shared" si="3"/>
        <v>2-1-1-0</v>
      </c>
      <c r="S30" s="47" t="str">
        <f>I30</f>
        <v>1x10</v>
      </c>
      <c r="T30" s="48"/>
    </row>
    <row r="31" spans="2:23" s="1" customFormat="1" ht="5.0999999999999996" customHeight="1" thickBot="1" x14ac:dyDescent="0.3">
      <c r="B31" s="4"/>
      <c r="C31" s="66"/>
      <c r="D31" s="66"/>
      <c r="E31" s="113"/>
      <c r="G31" s="4"/>
      <c r="H31" s="66"/>
      <c r="I31" s="66"/>
      <c r="J31" s="66"/>
      <c r="L31" s="66"/>
      <c r="M31" s="66"/>
      <c r="N31" s="66"/>
      <c r="O31" s="66"/>
      <c r="Q31" s="115"/>
      <c r="R31" s="115"/>
      <c r="S31" s="115"/>
      <c r="T31" s="116"/>
    </row>
    <row r="32" spans="2:23" s="2" customFormat="1" ht="18" customHeight="1" thickBot="1" x14ac:dyDescent="0.3">
      <c r="B32" s="635" t="s">
        <v>872</v>
      </c>
      <c r="C32" s="636"/>
      <c r="D32" s="636"/>
      <c r="E32" s="637"/>
      <c r="F32" s="114"/>
      <c r="G32" s="517" t="s">
        <v>880</v>
      </c>
      <c r="H32" s="518" t="s">
        <v>9</v>
      </c>
      <c r="I32" s="518" t="s">
        <v>897</v>
      </c>
      <c r="J32" s="519" t="s">
        <v>880</v>
      </c>
      <c r="K32" s="1"/>
      <c r="L32" s="517" t="s">
        <v>880</v>
      </c>
      <c r="M32" s="518" t="s">
        <v>9</v>
      </c>
      <c r="N32" s="518" t="str">
        <f>I32</f>
        <v>SxR/RPE 8-9</v>
      </c>
      <c r="O32" s="519" t="s">
        <v>880</v>
      </c>
      <c r="P32" s="1"/>
      <c r="Q32" s="517" t="s">
        <v>880</v>
      </c>
      <c r="R32" s="518" t="s">
        <v>9</v>
      </c>
      <c r="S32" s="518" t="str">
        <f>I32</f>
        <v>SxR/RPE 8-9</v>
      </c>
      <c r="T32" s="519" t="s">
        <v>880</v>
      </c>
    </row>
    <row r="33" spans="2:20" s="1" customFormat="1" ht="19.899999999999999" customHeight="1" x14ac:dyDescent="0.25">
      <c r="B33" s="9">
        <v>7</v>
      </c>
      <c r="C33" s="560" t="s">
        <v>262</v>
      </c>
      <c r="D33" s="560"/>
      <c r="E33" s="561"/>
      <c r="G33" s="21"/>
      <c r="H33" s="22" t="s">
        <v>889</v>
      </c>
      <c r="I33" s="22" t="s">
        <v>623</v>
      </c>
      <c r="J33" s="23"/>
      <c r="L33" s="21"/>
      <c r="M33" s="22" t="str">
        <f>H33</f>
        <v>3-1-1-1</v>
      </c>
      <c r="N33" s="22" t="str">
        <f>I33</f>
        <v>1x10</v>
      </c>
      <c r="O33" s="23"/>
      <c r="Q33" s="50"/>
      <c r="R33" s="52" t="str">
        <f>H33</f>
        <v>3-1-1-1</v>
      </c>
      <c r="S33" s="52" t="str">
        <f>I33</f>
        <v>1x10</v>
      </c>
      <c r="T33" s="53"/>
    </row>
    <row r="34" spans="2:20" s="1" customFormat="1" ht="19.899999999999999" customHeight="1" x14ac:dyDescent="0.25">
      <c r="B34" s="3">
        <v>8</v>
      </c>
      <c r="C34" s="567" t="s">
        <v>203</v>
      </c>
      <c r="D34" s="567"/>
      <c r="E34" s="568"/>
      <c r="G34" s="27"/>
      <c r="H34" s="28" t="s">
        <v>890</v>
      </c>
      <c r="I34" s="28" t="s">
        <v>623</v>
      </c>
      <c r="J34" s="29"/>
      <c r="L34" s="27"/>
      <c r="M34" s="28" t="str">
        <f>H34</f>
        <v>2-1-1-0</v>
      </c>
      <c r="N34" s="28" t="str">
        <f>I34</f>
        <v>1x10</v>
      </c>
      <c r="O34" s="29"/>
      <c r="Q34" s="54"/>
      <c r="R34" s="56" t="str">
        <f>H34</f>
        <v>2-1-1-0</v>
      </c>
      <c r="S34" s="28" t="str">
        <f>I34</f>
        <v>1x10</v>
      </c>
      <c r="T34" s="57"/>
    </row>
    <row r="35" spans="2:20" s="1" customFormat="1" ht="19.899999999999999" customHeight="1" thickBot="1" x14ac:dyDescent="0.3">
      <c r="B35" s="4">
        <v>9</v>
      </c>
      <c r="C35" s="565" t="s">
        <v>402</v>
      </c>
      <c r="D35" s="565"/>
      <c r="E35" s="566"/>
      <c r="G35" s="24"/>
      <c r="H35" s="25" t="s">
        <v>890</v>
      </c>
      <c r="I35" s="25" t="s">
        <v>715</v>
      </c>
      <c r="J35" s="26"/>
      <c r="L35" s="24"/>
      <c r="M35" s="25" t="str">
        <f>H35</f>
        <v>2-1-1-0</v>
      </c>
      <c r="N35" s="25" t="str">
        <f>I35</f>
        <v>3x10s ea</v>
      </c>
      <c r="O35" s="26"/>
      <c r="Q35" s="46"/>
      <c r="R35" s="47" t="str">
        <f>H35</f>
        <v>2-1-1-0</v>
      </c>
      <c r="S35" s="47" t="str">
        <f>I35</f>
        <v>3x10s ea</v>
      </c>
      <c r="T35" s="48"/>
    </row>
    <row r="36" spans="2:20" s="2" customFormat="1" ht="4.9000000000000004" customHeight="1" thickBot="1" x14ac:dyDescent="0.3">
      <c r="B36" s="73"/>
      <c r="H36" s="1"/>
      <c r="Q36" s="49"/>
      <c r="R36" s="49"/>
      <c r="S36" s="49"/>
      <c r="T36" s="74"/>
    </row>
    <row r="37" spans="2:20" s="1" customFormat="1" ht="19.899999999999999" customHeight="1" x14ac:dyDescent="0.25">
      <c r="B37" s="9">
        <v>10</v>
      </c>
      <c r="C37" s="560" t="s">
        <v>263</v>
      </c>
      <c r="D37" s="560"/>
      <c r="E37" s="561"/>
      <c r="G37" s="21"/>
      <c r="H37" s="22" t="s">
        <v>890</v>
      </c>
      <c r="I37" s="22" t="s">
        <v>623</v>
      </c>
      <c r="J37" s="23"/>
      <c r="L37" s="21"/>
      <c r="M37" s="22" t="str">
        <f t="shared" ref="M37:M39" si="4">H37</f>
        <v>2-1-1-0</v>
      </c>
      <c r="N37" s="22" t="str">
        <f>I37</f>
        <v>1x10</v>
      </c>
      <c r="O37" s="23"/>
      <c r="Q37" s="21"/>
      <c r="R37" s="22" t="str">
        <f t="shared" ref="R37:R39" si="5">H37</f>
        <v>2-1-1-0</v>
      </c>
      <c r="S37" s="52" t="str">
        <f>I37</f>
        <v>1x10</v>
      </c>
      <c r="T37" s="23"/>
    </row>
    <row r="38" spans="2:20" s="1" customFormat="1" ht="19.899999999999999" customHeight="1" x14ac:dyDescent="0.25">
      <c r="B38" s="3">
        <v>11</v>
      </c>
      <c r="C38" s="567" t="s">
        <v>513</v>
      </c>
      <c r="D38" s="567"/>
      <c r="E38" s="568"/>
      <c r="G38" s="27"/>
      <c r="H38" s="28" t="s">
        <v>911</v>
      </c>
      <c r="I38" s="28" t="s">
        <v>623</v>
      </c>
      <c r="J38" s="29"/>
      <c r="L38" s="27"/>
      <c r="M38" s="28" t="str">
        <f t="shared" si="4"/>
        <v>5-0-3-0</v>
      </c>
      <c r="N38" s="28" t="str">
        <f>I38</f>
        <v>1x10</v>
      </c>
      <c r="O38" s="29"/>
      <c r="Q38" s="27"/>
      <c r="R38" s="28" t="str">
        <f t="shared" si="5"/>
        <v>5-0-3-0</v>
      </c>
      <c r="S38" s="28" t="str">
        <f>I38</f>
        <v>1x10</v>
      </c>
      <c r="T38" s="29"/>
    </row>
    <row r="39" spans="2:20" s="1" customFormat="1" ht="19.899999999999999" customHeight="1" thickBot="1" x14ac:dyDescent="0.3">
      <c r="B39" s="4">
        <v>12</v>
      </c>
      <c r="C39" s="565" t="s">
        <v>502</v>
      </c>
      <c r="D39" s="565"/>
      <c r="E39" s="566"/>
      <c r="G39" s="24"/>
      <c r="H39" s="25" t="s">
        <v>889</v>
      </c>
      <c r="I39" s="25" t="s">
        <v>623</v>
      </c>
      <c r="J39" s="26"/>
      <c r="L39" s="24"/>
      <c r="M39" s="25" t="str">
        <f t="shared" si="4"/>
        <v>3-1-1-1</v>
      </c>
      <c r="N39" s="25" t="str">
        <f>I39</f>
        <v>1x10</v>
      </c>
      <c r="O39" s="26"/>
      <c r="Q39" s="46"/>
      <c r="R39" s="47" t="str">
        <f t="shared" si="5"/>
        <v>3-1-1-1</v>
      </c>
      <c r="S39" s="47" t="str">
        <f>I39</f>
        <v>1x10</v>
      </c>
      <c r="T39" s="48"/>
    </row>
    <row r="40" spans="2:20" s="1" customFormat="1" ht="5.0999999999999996" customHeight="1" thickBot="1" x14ac:dyDescent="0.3">
      <c r="B40" s="4"/>
      <c r="C40" s="66"/>
      <c r="D40" s="66"/>
      <c r="E40" s="113"/>
      <c r="G40" s="4"/>
      <c r="H40" s="66"/>
      <c r="I40" s="66"/>
      <c r="J40" s="66"/>
      <c r="L40" s="66"/>
      <c r="M40" s="66"/>
      <c r="N40" s="66"/>
      <c r="O40" s="66"/>
      <c r="Q40" s="115"/>
      <c r="R40" s="115"/>
      <c r="S40" s="115"/>
      <c r="T40" s="116"/>
    </row>
    <row r="41" spans="2:20" s="2" customFormat="1" ht="18" customHeight="1" thickBot="1" x14ac:dyDescent="0.3">
      <c r="B41" s="638" t="s">
        <v>876</v>
      </c>
      <c r="C41" s="639"/>
      <c r="D41" s="639"/>
      <c r="E41" s="640"/>
      <c r="G41" s="520" t="s">
        <v>880</v>
      </c>
      <c r="H41" s="521" t="s">
        <v>9</v>
      </c>
      <c r="I41" s="521" t="s">
        <v>901</v>
      </c>
      <c r="J41" s="522" t="s">
        <v>880</v>
      </c>
      <c r="K41" s="523"/>
      <c r="L41" s="520" t="str">
        <f>G41</f>
        <v>GEWICHT</v>
      </c>
      <c r="M41" s="521" t="s">
        <v>9</v>
      </c>
      <c r="N41" s="521" t="str">
        <f>I41</f>
        <v>SxR/RPE 9</v>
      </c>
      <c r="O41" s="522" t="s">
        <v>880</v>
      </c>
      <c r="P41" s="523"/>
      <c r="Q41" s="520" t="str">
        <f>L41</f>
        <v>GEWICHT</v>
      </c>
      <c r="R41" s="521" t="s">
        <v>9</v>
      </c>
      <c r="S41" s="521" t="str">
        <f>I41</f>
        <v>SxR/RPE 9</v>
      </c>
      <c r="T41" s="522" t="s">
        <v>880</v>
      </c>
    </row>
    <row r="42" spans="2:20" s="1" customFormat="1" ht="19.899999999999999" customHeight="1" x14ac:dyDescent="0.25">
      <c r="B42" s="9">
        <v>13</v>
      </c>
      <c r="C42" s="560" t="s">
        <v>208</v>
      </c>
      <c r="D42" s="560"/>
      <c r="E42" s="561"/>
      <c r="G42" s="21"/>
      <c r="H42" s="22" t="s">
        <v>900</v>
      </c>
      <c r="I42" s="22" t="s">
        <v>210</v>
      </c>
      <c r="J42" s="23"/>
      <c r="L42" s="21"/>
      <c r="M42" s="22" t="str">
        <f>H42</f>
        <v>ISO</v>
      </c>
      <c r="N42" s="22" t="str">
        <f>I42</f>
        <v>1x60s</v>
      </c>
      <c r="O42" s="23"/>
      <c r="Q42" s="21"/>
      <c r="R42" s="22" t="str">
        <f>H42</f>
        <v>ISO</v>
      </c>
      <c r="S42" s="22" t="str">
        <f>N42</f>
        <v>1x60s</v>
      </c>
      <c r="T42" s="23"/>
    </row>
    <row r="43" spans="2:20" s="1" customFormat="1" ht="19.899999999999999" customHeight="1" x14ac:dyDescent="0.25">
      <c r="B43" s="3">
        <v>14</v>
      </c>
      <c r="C43" s="567" t="s">
        <v>515</v>
      </c>
      <c r="D43" s="567"/>
      <c r="E43" s="568"/>
      <c r="G43" s="27"/>
      <c r="H43" s="28" t="s">
        <v>900</v>
      </c>
      <c r="I43" s="28" t="s">
        <v>210</v>
      </c>
      <c r="J43" s="29"/>
      <c r="L43" s="27"/>
      <c r="M43" s="28" t="str">
        <f>H43</f>
        <v>ISO</v>
      </c>
      <c r="N43" s="28" t="str">
        <f>I43</f>
        <v>1x60s</v>
      </c>
      <c r="O43" s="29"/>
      <c r="Q43" s="27"/>
      <c r="R43" s="28" t="str">
        <f>H43</f>
        <v>ISO</v>
      </c>
      <c r="S43" s="28" t="str">
        <f>N43</f>
        <v>1x60s</v>
      </c>
      <c r="T43" s="29"/>
    </row>
    <row r="44" spans="2:20" s="1" customFormat="1" ht="19.899999999999999" customHeight="1" thickBot="1" x14ac:dyDescent="0.3">
      <c r="B44" s="4">
        <v>15</v>
      </c>
      <c r="C44" s="571" t="s">
        <v>353</v>
      </c>
      <c r="D44" s="571"/>
      <c r="E44" s="572"/>
      <c r="F44" s="66"/>
      <c r="G44" s="24"/>
      <c r="H44" s="25" t="s">
        <v>900</v>
      </c>
      <c r="I44" s="25" t="s">
        <v>210</v>
      </c>
      <c r="J44" s="26"/>
      <c r="K44" s="66"/>
      <c r="L44" s="24"/>
      <c r="M44" s="25" t="str">
        <f>H44</f>
        <v>ISO</v>
      </c>
      <c r="N44" s="25" t="str">
        <f>I44</f>
        <v>1x60s</v>
      </c>
      <c r="O44" s="26"/>
      <c r="P44" s="66"/>
      <c r="Q44" s="24"/>
      <c r="R44" s="25" t="str">
        <f>H44</f>
        <v>ISO</v>
      </c>
      <c r="S44" s="25" t="str">
        <f>N44</f>
        <v>1x60s</v>
      </c>
      <c r="T44" s="26"/>
    </row>
  </sheetData>
  <mergeCells count="43">
    <mergeCell ref="O2:T7"/>
    <mergeCell ref="M10:N10"/>
    <mergeCell ref="B12:T12"/>
    <mergeCell ref="B13:D13"/>
    <mergeCell ref="E13:F13"/>
    <mergeCell ref="G13:I13"/>
    <mergeCell ref="J13:M13"/>
    <mergeCell ref="N13:Q13"/>
    <mergeCell ref="R13:T13"/>
    <mergeCell ref="G16:T16"/>
    <mergeCell ref="H17:I17"/>
    <mergeCell ref="M17:N17"/>
    <mergeCell ref="R17:S17"/>
    <mergeCell ref="N15:Q15"/>
    <mergeCell ref="R15:T15"/>
    <mergeCell ref="C44:E44"/>
    <mergeCell ref="C39:E39"/>
    <mergeCell ref="C26:E26"/>
    <mergeCell ref="C28:E28"/>
    <mergeCell ref="C29:E29"/>
    <mergeCell ref="C30:E30"/>
    <mergeCell ref="B32:E32"/>
    <mergeCell ref="C33:E33"/>
    <mergeCell ref="C34:E34"/>
    <mergeCell ref="C35:E35"/>
    <mergeCell ref="C37:E37"/>
    <mergeCell ref="C38:E38"/>
    <mergeCell ref="B14:T14"/>
    <mergeCell ref="B41:E41"/>
    <mergeCell ref="C42:E42"/>
    <mergeCell ref="C43:E43"/>
    <mergeCell ref="C19:E19"/>
    <mergeCell ref="C20:E20"/>
    <mergeCell ref="C21:E21"/>
    <mergeCell ref="B23:E23"/>
    <mergeCell ref="C24:E24"/>
    <mergeCell ref="C25:E25"/>
    <mergeCell ref="B18:E18"/>
    <mergeCell ref="B15:D15"/>
    <mergeCell ref="E15:F15"/>
    <mergeCell ref="G15:I15"/>
    <mergeCell ref="J15:M15"/>
    <mergeCell ref="B16:E17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00000000-0002-0000-1100-000001000000}">
          <x14:formula1>
            <xm:f>' Unterkörper Progressionen '!$Z$2:$Z$17</xm:f>
          </x14:formula1>
          <xm:sqref>N29 S38 S34 N34 N38 S29</xm:sqref>
        </x14:dataValidation>
        <x14:dataValidation type="list" allowBlank="1" showInputMessage="1" showErrorMessage="1" xr:uid="{00000000-0002-0000-1100-000002000000}">
          <x14:formula1>
            <xm:f>'Oberkörper Progressionen '!$S:$S</xm:f>
          </x14:formula1>
          <xm:sqref>C44:E44</xm:sqref>
        </x14:dataValidation>
        <x14:dataValidation type="list" allowBlank="1" showInputMessage="1" showErrorMessage="1" xr:uid="{00000000-0002-0000-1100-000003000000}">
          <x14:formula1>
            <xm:f>'Oberkörper Progressionen '!$R:$R</xm:f>
          </x14:formula1>
          <xm:sqref>C42:E42</xm:sqref>
        </x14:dataValidation>
        <x14:dataValidation type="list" allowBlank="1" showInputMessage="1" showErrorMessage="1" xr:uid="{00000000-0002-0000-1100-000004000000}">
          <x14:formula1>
            <xm:f>'Oberkörper Progressionen '!$K:$K</xm:f>
          </x14:formula1>
          <xm:sqref>C39:E40</xm:sqref>
        </x14:dataValidation>
        <x14:dataValidation type="list" allowBlank="1" showInputMessage="1" showErrorMessage="1" xr:uid="{00000000-0002-0000-1100-000005000000}">
          <x14:formula1>
            <xm:f>'Oberkörper Progressionen '!$P:$P</xm:f>
          </x14:formula1>
          <xm:sqref>C38:E38</xm:sqref>
        </x14:dataValidation>
        <x14:dataValidation type="list" allowBlank="1" showInputMessage="1" showErrorMessage="1" xr:uid="{00000000-0002-0000-1100-000006000000}">
          <x14:formula1>
            <xm:f>'Oberkörper Progressionen '!$O:$O</xm:f>
          </x14:formula1>
          <xm:sqref>C37:E37</xm:sqref>
        </x14:dataValidation>
        <x14:dataValidation type="list" allowBlank="1" showInputMessage="1" showErrorMessage="1" xr:uid="{00000000-0002-0000-1100-000007000000}">
          <x14:formula1>
            <xm:f>'Oberkörper Progressionen '!$J:$J</xm:f>
          </x14:formula1>
          <xm:sqref>C35:E35</xm:sqref>
        </x14:dataValidation>
        <x14:dataValidation type="list" allowBlank="1" showInputMessage="1" showErrorMessage="1" xr:uid="{00000000-0002-0000-1100-000008000000}">
          <x14:formula1>
            <xm:f>'Oberkörper Progressionen '!$M:$M</xm:f>
          </x14:formula1>
          <xm:sqref>C34:E34</xm:sqref>
        </x14:dataValidation>
        <x14:dataValidation type="list" allowBlank="1" showInputMessage="1" showErrorMessage="1" xr:uid="{00000000-0002-0000-1100-000009000000}">
          <x14:formula1>
            <xm:f>'Oberkörper Progressionen '!$L:$L</xm:f>
          </x14:formula1>
          <xm:sqref>C33:E33</xm:sqref>
        </x14:dataValidation>
        <x14:dataValidation type="list" allowBlank="1" showInputMessage="1" showErrorMessage="1" xr:uid="{00000000-0002-0000-1100-00000A000000}">
          <x14:formula1>
            <xm:f>'Oberkörper Progressionen '!$G:$G</xm:f>
          </x14:formula1>
          <xm:sqref>C30:E31</xm:sqref>
        </x14:dataValidation>
        <x14:dataValidation type="list" allowBlank="1" showInputMessage="1" showErrorMessage="1" xr:uid="{00000000-0002-0000-1100-00000B000000}">
          <x14:formula1>
            <xm:f>'Oberkörper Progressionen '!$I:$I</xm:f>
          </x14:formula1>
          <xm:sqref>C29:E29</xm:sqref>
        </x14:dataValidation>
        <x14:dataValidation type="list" allowBlank="1" showInputMessage="1" showErrorMessage="1" xr:uid="{00000000-0002-0000-1100-00000C000000}">
          <x14:formula1>
            <xm:f>'Oberkörper Progressionen '!$H:$H</xm:f>
          </x14:formula1>
          <xm:sqref>C28:E28</xm:sqref>
        </x14:dataValidation>
        <x14:dataValidation type="list" allowBlank="1" showInputMessage="1" showErrorMessage="1" xr:uid="{00000000-0002-0000-1100-00000D000000}">
          <x14:formula1>
            <xm:f>'Oberkörper Progressionen '!$N:$N</xm:f>
          </x14:formula1>
          <xm:sqref>C26:E26</xm:sqref>
        </x14:dataValidation>
        <x14:dataValidation type="list" allowBlank="1" showInputMessage="1" showErrorMessage="1" xr:uid="{00000000-0002-0000-1100-00000E000000}">
          <x14:formula1>
            <xm:f>'Oberkörper Progressionen '!$F:$F</xm:f>
          </x14:formula1>
          <xm:sqref>C25:E25</xm:sqref>
        </x14:dataValidation>
        <x14:dataValidation type="list" allowBlank="1" showInputMessage="1" showErrorMessage="1" xr:uid="{00000000-0002-0000-1100-00000F000000}">
          <x14:formula1>
            <xm:f>'Oberkörper Progressionen '!$E:$E</xm:f>
          </x14:formula1>
          <xm:sqref>C24:E24</xm:sqref>
        </x14:dataValidation>
        <x14:dataValidation type="list" allowBlank="1" showInputMessage="1" showErrorMessage="1" xr:uid="{00000000-0002-0000-1100-000012000000}">
          <x14:formula1>
            <xm:f>'Oberkörper Progressionen '!$B:$B</xm:f>
          </x14:formula1>
          <xm:sqref>C19:E19</xm:sqref>
        </x14:dataValidation>
        <x14:dataValidation type="list" allowBlank="1" showInputMessage="1" showErrorMessage="1" xr:uid="{00000000-0002-0000-1100-000013000000}">
          <x14:formula1>
            <xm:f>'Oberkörper Progressionen '!$Q:$Q</xm:f>
          </x14:formula1>
          <xm:sqref>C43:E43</xm:sqref>
        </x14:dataValidation>
        <x14:dataValidation type="list" allowBlank="1" showInputMessage="1" showErrorMessage="1" xr:uid="{00000000-0002-0000-1100-000010000000}">
          <x14:formula1>
            <xm:f>'Oberkörper Progressionen '!$D:$D</xm:f>
          </x14:formula1>
          <xm:sqref>C21:E21</xm:sqref>
        </x14:dataValidation>
        <x14:dataValidation type="list" allowBlank="1" showInputMessage="1" showErrorMessage="1" xr:uid="{00000000-0002-0000-1100-000011000000}">
          <x14:formula1>
            <xm:f>'Oberkörper Progressionen '!$C:$C</xm:f>
          </x14:formula1>
          <xm:sqref>C20:E20</xm:sqref>
        </x14:dataValidation>
        <x14:dataValidation type="list" allowBlank="1" showInputMessage="1" showErrorMessage="1" xr:uid="{00000000-0002-0000-1100-000014000000}">
          <x14:formula1>
            <xm:f>' Unterkörper Progressionen '!$AA:$AA</xm:f>
          </x14:formula1>
          <xm:sqref>J20:J21</xm:sqref>
        </x14:dataValidation>
        <x14:dataValidation type="list" allowBlank="1" showInputMessage="1" showErrorMessage="1" xr:uid="{00000000-0002-0000-1100-000015000000}">
          <x14:formula1>
            <xm:f>' Unterkörper Progressionen '!$Z:$Z</xm:f>
          </x14:formula1>
          <xm:sqref>I42:I44 I24:I25 I28:I31 I33:I35 I37:I40</xm:sqref>
        </x14:dataValidation>
        <x14:dataValidation type="list" allowBlank="1" showInputMessage="1" showErrorMessage="1" xr:uid="{951EE4E7-E517-4EF6-9A37-4E1CE5FE3BBB}">
          <x14:formula1>
            <xm:f>' Unterkörper Progressionen '!$AC:$AC</xm:f>
          </x14:formula1>
          <xm:sqref>S32 S23 I23 N23 S41 N41 I41 I32 N32</xm:sqref>
        </x14:dataValidation>
        <x14:dataValidation type="list" allowBlank="1" showInputMessage="1" showErrorMessage="1" xr:uid="{4681ECEB-FAE6-42DC-BC61-B6F0B4E9C36C}">
          <x14:formula1>
            <xm:f>' Unterkörper Progressionen '!$AB:$AB</xm:f>
          </x14:formula1>
          <xm:sqref>H19:H21 H42:H44 H37:H39 H33:H35 H28:H30 H24:H26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7DE7-FE96-4DEA-B514-65E279145641}">
  <sheetPr>
    <pageSetUpPr fitToPage="1"/>
  </sheetPr>
  <dimension ref="B1:X54"/>
  <sheetViews>
    <sheetView topLeftCell="A19" zoomScaleNormal="100" workbookViewId="0">
      <selection activeCell="M38" sqref="M38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ht="16.5" hidden="1" thickBot="1" x14ac:dyDescent="0.3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">
        <v>191</v>
      </c>
      <c r="C13" s="631"/>
      <c r="D13" s="631"/>
      <c r="E13" s="633" t="s">
        <v>739</v>
      </c>
      <c r="F13" s="634"/>
      <c r="G13" s="631" t="s">
        <v>547</v>
      </c>
      <c r="H13" s="631"/>
      <c r="I13" s="631"/>
      <c r="J13" s="631" t="s">
        <v>364</v>
      </c>
      <c r="K13" s="631"/>
      <c r="L13" s="631"/>
      <c r="M13" s="631"/>
      <c r="N13" s="631" t="s">
        <v>742</v>
      </c>
      <c r="O13" s="631"/>
      <c r="P13" s="631"/>
      <c r="Q13" s="631"/>
      <c r="R13" s="631" t="s">
        <v>349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">
        <v>684</v>
      </c>
      <c r="C15" s="553"/>
      <c r="D15" s="553"/>
      <c r="E15" s="625" t="s">
        <v>324</v>
      </c>
      <c r="F15" s="626"/>
      <c r="G15" s="553" t="s">
        <v>301</v>
      </c>
      <c r="H15" s="553"/>
      <c r="I15" s="553"/>
      <c r="J15" s="553" t="s">
        <v>341</v>
      </c>
      <c r="K15" s="553"/>
      <c r="L15" s="553"/>
      <c r="M15" s="553"/>
      <c r="N15" s="553" t="s">
        <v>61</v>
      </c>
      <c r="O15" s="553"/>
      <c r="P15" s="553"/>
      <c r="Q15" s="553"/>
      <c r="R15" s="553" t="s">
        <v>751</v>
      </c>
      <c r="S15" s="553"/>
      <c r="T15" s="556"/>
    </row>
    <row r="16" spans="2:23" ht="4.9000000000000004" hidden="1" customHeight="1" thickBot="1" x14ac:dyDescent="0.3"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2:24" ht="18" customHeight="1" thickBot="1" x14ac:dyDescent="0.3">
      <c r="B17" s="619" t="s">
        <v>369</v>
      </c>
      <c r="C17" s="620"/>
      <c r="D17" s="620"/>
      <c r="E17" s="621"/>
      <c r="F17" s="310"/>
      <c r="G17" s="589" t="s">
        <v>116</v>
      </c>
      <c r="H17" s="590"/>
      <c r="I17" s="590"/>
      <c r="J17" s="590"/>
      <c r="K17" s="590"/>
      <c r="L17" s="590"/>
      <c r="M17" s="590"/>
      <c r="N17" s="590"/>
      <c r="O17" s="590"/>
      <c r="P17" s="590"/>
      <c r="Q17" s="590"/>
      <c r="R17" s="590"/>
      <c r="S17" s="590"/>
      <c r="T17" s="591"/>
    </row>
    <row r="18" spans="2:24" ht="21.6" customHeight="1" thickBot="1" x14ac:dyDescent="0.3">
      <c r="B18" s="622"/>
      <c r="C18" s="623"/>
      <c r="D18" s="623"/>
      <c r="E18" s="624"/>
      <c r="F18" s="1"/>
      <c r="G18" s="70" t="s">
        <v>865</v>
      </c>
      <c r="H18" s="582" t="s">
        <v>877</v>
      </c>
      <c r="I18" s="583"/>
      <c r="J18" s="71" t="s">
        <v>866</v>
      </c>
      <c r="K18" s="64"/>
      <c r="L18" s="70" t="s">
        <v>867</v>
      </c>
      <c r="M18" s="582" t="s">
        <v>878</v>
      </c>
      <c r="N18" s="583"/>
      <c r="O18" s="71" t="s">
        <v>868</v>
      </c>
      <c r="P18" s="64"/>
      <c r="Q18" s="70" t="s">
        <v>869</v>
      </c>
      <c r="R18" s="595" t="s">
        <v>879</v>
      </c>
      <c r="S18" s="596"/>
      <c r="T18" s="71" t="s">
        <v>870</v>
      </c>
      <c r="W18" s="36"/>
      <c r="X18" s="1"/>
    </row>
    <row r="19" spans="2:24" ht="18" customHeight="1" thickBot="1" x14ac:dyDescent="0.3">
      <c r="B19" s="613" t="s">
        <v>8</v>
      </c>
      <c r="C19" s="614"/>
      <c r="D19" s="614"/>
      <c r="E19" s="615"/>
      <c r="F19" s="72"/>
      <c r="G19" s="529" t="s">
        <v>880</v>
      </c>
      <c r="H19" s="530" t="s">
        <v>9</v>
      </c>
      <c r="I19" s="530" t="s">
        <v>11</v>
      </c>
      <c r="J19" s="531" t="s">
        <v>880</v>
      </c>
      <c r="K19" s="1"/>
      <c r="L19" s="529" t="s">
        <v>9</v>
      </c>
      <c r="M19" s="530" t="s">
        <v>10</v>
      </c>
      <c r="N19" s="530" t="s">
        <v>11</v>
      </c>
      <c r="O19" s="531" t="s">
        <v>880</v>
      </c>
      <c r="P19" s="1"/>
      <c r="Q19" s="532" t="s">
        <v>9</v>
      </c>
      <c r="R19" s="533" t="s">
        <v>10</v>
      </c>
      <c r="S19" s="533" t="s">
        <v>11</v>
      </c>
      <c r="T19" s="534" t="s">
        <v>880</v>
      </c>
      <c r="W19" s="37"/>
      <c r="X19" s="1"/>
    </row>
    <row r="20" spans="2:24" s="1" customFormat="1" ht="19.899999999999999" customHeight="1" x14ac:dyDescent="0.25">
      <c r="B20" s="9">
        <v>1</v>
      </c>
      <c r="C20" s="560" t="s">
        <v>99</v>
      </c>
      <c r="D20" s="560"/>
      <c r="E20" s="561"/>
      <c r="G20" s="18"/>
      <c r="H20" s="22" t="s">
        <v>12</v>
      </c>
      <c r="I20" s="19" t="s">
        <v>14</v>
      </c>
      <c r="J20" s="20" t="s">
        <v>16</v>
      </c>
      <c r="L20" s="18" t="s">
        <v>12</v>
      </c>
      <c r="M20" s="19"/>
      <c r="N20" s="19" t="s">
        <v>14</v>
      </c>
      <c r="O20" s="20" t="s">
        <v>16</v>
      </c>
      <c r="Q20" s="43" t="s">
        <v>12</v>
      </c>
      <c r="R20" s="44"/>
      <c r="S20" s="44" t="s">
        <v>14</v>
      </c>
      <c r="T20" s="45" t="s">
        <v>16</v>
      </c>
      <c r="W20" s="36"/>
    </row>
    <row r="21" spans="2:24" s="1" customFormat="1" ht="19.899999999999999" customHeight="1" x14ac:dyDescent="0.25">
      <c r="B21" s="3">
        <v>2</v>
      </c>
      <c r="C21" s="567" t="s">
        <v>760</v>
      </c>
      <c r="D21" s="567"/>
      <c r="E21" s="568"/>
      <c r="G21" s="67"/>
      <c r="H21" s="28" t="s">
        <v>12</v>
      </c>
      <c r="I21" s="68" t="s">
        <v>14</v>
      </c>
      <c r="J21" s="69"/>
      <c r="L21" s="67" t="s">
        <v>12</v>
      </c>
      <c r="M21" s="68"/>
      <c r="N21" s="68" t="s">
        <v>14</v>
      </c>
      <c r="O21" s="69"/>
      <c r="Q21" s="75" t="s">
        <v>12</v>
      </c>
      <c r="R21" s="76"/>
      <c r="S21" s="76" t="s">
        <v>14</v>
      </c>
      <c r="T21" s="77"/>
      <c r="W21" s="36"/>
    </row>
    <row r="22" spans="2:24" s="1" customFormat="1" ht="19.899999999999999" customHeight="1" thickBot="1" x14ac:dyDescent="0.3">
      <c r="B22" s="4">
        <v>3</v>
      </c>
      <c r="C22" s="565" t="s">
        <v>761</v>
      </c>
      <c r="D22" s="565"/>
      <c r="E22" s="566"/>
      <c r="G22" s="24"/>
      <c r="H22" s="25" t="s">
        <v>12</v>
      </c>
      <c r="I22" s="25" t="s">
        <v>14</v>
      </c>
      <c r="J22" s="26"/>
      <c r="L22" s="24" t="s">
        <v>12</v>
      </c>
      <c r="M22" s="25"/>
      <c r="N22" s="25" t="s">
        <v>14</v>
      </c>
      <c r="O22" s="26"/>
      <c r="Q22" s="46" t="s">
        <v>12</v>
      </c>
      <c r="R22" s="47"/>
      <c r="S22" s="47" t="s">
        <v>14</v>
      </c>
      <c r="T22" s="48"/>
    </row>
    <row r="23" spans="2:24" s="2" customFormat="1" ht="4.9000000000000004" customHeight="1" thickBot="1" x14ac:dyDescent="0.3">
      <c r="B23" s="73"/>
      <c r="G23" s="1"/>
      <c r="H23" s="1"/>
      <c r="Q23" s="49"/>
      <c r="R23" s="49"/>
      <c r="S23" s="49"/>
      <c r="T23" s="74"/>
      <c r="X23" s="1"/>
    </row>
    <row r="24" spans="2:24" s="1" customFormat="1" ht="18" customHeight="1" thickBot="1" x14ac:dyDescent="0.3">
      <c r="B24" s="616" t="s">
        <v>882</v>
      </c>
      <c r="C24" s="617"/>
      <c r="D24" s="617"/>
      <c r="E24" s="618"/>
      <c r="G24" s="511" t="s">
        <v>880</v>
      </c>
      <c r="H24" s="512" t="s">
        <v>9</v>
      </c>
      <c r="I24" s="512" t="s">
        <v>897</v>
      </c>
      <c r="J24" s="513" t="s">
        <v>880</v>
      </c>
      <c r="L24" s="511" t="str">
        <f>G24</f>
        <v>GEWICHT</v>
      </c>
      <c r="M24" s="512" t="s">
        <v>9</v>
      </c>
      <c r="N24" s="512" t="str">
        <f>I24</f>
        <v>SxR/RPE 8-9</v>
      </c>
      <c r="O24" s="513" t="s">
        <v>880</v>
      </c>
      <c r="Q24" s="514" t="str">
        <f>L24</f>
        <v>GEWICHT</v>
      </c>
      <c r="R24" s="515" t="s">
        <v>9</v>
      </c>
      <c r="S24" s="512" t="str">
        <f>I24</f>
        <v>SxR/RPE 8-9</v>
      </c>
      <c r="T24" s="516" t="s">
        <v>880</v>
      </c>
    </row>
    <row r="25" spans="2:24" s="1" customFormat="1" ht="19.899999999999999" customHeight="1" x14ac:dyDescent="0.25">
      <c r="B25" s="9">
        <v>1</v>
      </c>
      <c r="C25" s="560" t="s">
        <v>405</v>
      </c>
      <c r="D25" s="560"/>
      <c r="E25" s="561"/>
      <c r="G25" s="21"/>
      <c r="H25" s="22" t="s">
        <v>888</v>
      </c>
      <c r="I25" s="28" t="s">
        <v>7</v>
      </c>
      <c r="J25" s="23"/>
      <c r="L25" s="21"/>
      <c r="M25" s="22" t="str">
        <f t="shared" ref="M25:M26" si="0">H25</f>
        <v>3-1-1-0</v>
      </c>
      <c r="N25" s="22" t="str">
        <f>I25</f>
        <v>1x20</v>
      </c>
      <c r="O25" s="23"/>
      <c r="Q25" s="50"/>
      <c r="R25" s="52" t="str">
        <f t="shared" ref="R25:R26" si="1">M25</f>
        <v>3-1-1-0</v>
      </c>
      <c r="S25" s="52" t="str">
        <f>N25</f>
        <v>1x20</v>
      </c>
      <c r="T25" s="53"/>
    </row>
    <row r="26" spans="2:24" s="1" customFormat="1" ht="19.899999999999999" customHeight="1" x14ac:dyDescent="0.25">
      <c r="B26" s="3">
        <v>2</v>
      </c>
      <c r="C26" s="567" t="s">
        <v>162</v>
      </c>
      <c r="D26" s="567"/>
      <c r="E26" s="568"/>
      <c r="G26" s="27"/>
      <c r="H26" s="28" t="s">
        <v>889</v>
      </c>
      <c r="I26" s="28" t="s">
        <v>7</v>
      </c>
      <c r="J26" s="29"/>
      <c r="L26" s="27"/>
      <c r="M26" s="28" t="str">
        <f t="shared" si="0"/>
        <v>3-1-1-1</v>
      </c>
      <c r="N26" s="28" t="str">
        <f>I26</f>
        <v>1x20</v>
      </c>
      <c r="O26" s="29"/>
      <c r="Q26" s="54"/>
      <c r="R26" s="56" t="str">
        <f t="shared" si="1"/>
        <v>3-1-1-1</v>
      </c>
      <c r="S26" s="56" t="str">
        <f>N26</f>
        <v>1x20</v>
      </c>
      <c r="T26" s="57"/>
    </row>
    <row r="27" spans="2:24" s="1" customFormat="1" ht="19.899999999999999" customHeight="1" thickBot="1" x14ac:dyDescent="0.3">
      <c r="B27" s="4">
        <v>3</v>
      </c>
      <c r="C27" s="565" t="s">
        <v>59</v>
      </c>
      <c r="D27" s="565"/>
      <c r="E27" s="566"/>
      <c r="G27" s="24"/>
      <c r="H27" s="25" t="s">
        <v>900</v>
      </c>
      <c r="I27" s="25" t="s">
        <v>14</v>
      </c>
      <c r="J27" s="26"/>
      <c r="L27" s="24"/>
      <c r="M27" s="25" t="str">
        <f>H27</f>
        <v>ISO</v>
      </c>
      <c r="N27" s="25" t="str">
        <f>I27</f>
        <v>3x5</v>
      </c>
      <c r="O27" s="26"/>
      <c r="Q27" s="46"/>
      <c r="R27" s="47" t="str">
        <f>H27</f>
        <v>ISO</v>
      </c>
      <c r="S27" s="47" t="str">
        <f>N27</f>
        <v>3x5</v>
      </c>
      <c r="T27" s="48"/>
    </row>
    <row r="28" spans="2:24" s="2" customFormat="1" ht="4.9000000000000004" customHeight="1" thickBot="1" x14ac:dyDescent="0.3">
      <c r="B28" s="73"/>
      <c r="G28" s="1"/>
      <c r="H28" s="1"/>
      <c r="L28" s="1"/>
      <c r="M28" s="1"/>
      <c r="Q28" s="547"/>
      <c r="R28" s="547"/>
      <c r="S28" s="49"/>
      <c r="T28" s="74"/>
    </row>
    <row r="29" spans="2:24" s="1" customFormat="1" ht="19.899999999999999" customHeight="1" x14ac:dyDescent="0.25">
      <c r="B29" s="9">
        <v>4</v>
      </c>
      <c r="C29" s="560" t="s">
        <v>693</v>
      </c>
      <c r="D29" s="560"/>
      <c r="E29" s="561"/>
      <c r="G29" s="21"/>
      <c r="H29" s="22" t="s">
        <v>888</v>
      </c>
      <c r="I29" s="22" t="s">
        <v>7</v>
      </c>
      <c r="J29" s="23"/>
      <c r="L29" s="21"/>
      <c r="M29" s="22" t="str">
        <f t="shared" ref="M29:M30" si="2">H29</f>
        <v>3-1-1-0</v>
      </c>
      <c r="N29" s="22" t="str">
        <f>I29</f>
        <v>1x20</v>
      </c>
      <c r="O29" s="23"/>
      <c r="Q29" s="50"/>
      <c r="R29" s="52" t="str">
        <f>H29</f>
        <v>3-1-1-0</v>
      </c>
      <c r="S29" s="52" t="str">
        <f>N29</f>
        <v>1x20</v>
      </c>
      <c r="T29" s="53"/>
    </row>
    <row r="30" spans="2:24" s="1" customFormat="1" ht="19.899999999999999" customHeight="1" x14ac:dyDescent="0.25">
      <c r="B30" s="3">
        <v>5</v>
      </c>
      <c r="C30" s="567" t="s">
        <v>633</v>
      </c>
      <c r="D30" s="567"/>
      <c r="E30" s="568"/>
      <c r="G30" s="27"/>
      <c r="H30" s="28" t="s">
        <v>889</v>
      </c>
      <c r="I30" s="28" t="s">
        <v>7</v>
      </c>
      <c r="J30" s="29"/>
      <c r="L30" s="27"/>
      <c r="M30" s="28" t="str">
        <f t="shared" si="2"/>
        <v>3-1-1-1</v>
      </c>
      <c r="N30" s="28" t="str">
        <f>I30</f>
        <v>1x20</v>
      </c>
      <c r="O30" s="29"/>
      <c r="Q30" s="54"/>
      <c r="R30" s="56" t="str">
        <f>H29</f>
        <v>3-1-1-0</v>
      </c>
      <c r="S30" s="28" t="str">
        <f>N30</f>
        <v>1x20</v>
      </c>
      <c r="T30" s="57"/>
    </row>
    <row r="31" spans="2:24" s="1" customFormat="1" ht="19.899999999999999" customHeight="1" thickBot="1" x14ac:dyDescent="0.3">
      <c r="B31" s="4">
        <v>6</v>
      </c>
      <c r="C31" s="565" t="s">
        <v>79</v>
      </c>
      <c r="D31" s="565"/>
      <c r="E31" s="566"/>
      <c r="G31" s="24"/>
      <c r="H31" s="25" t="s">
        <v>900</v>
      </c>
      <c r="I31" s="25" t="s">
        <v>715</v>
      </c>
      <c r="J31" s="26"/>
      <c r="L31" s="24"/>
      <c r="M31" s="25" t="str">
        <f>H31</f>
        <v>ISO</v>
      </c>
      <c r="N31" s="25" t="str">
        <f>I31</f>
        <v>3x10s ea</v>
      </c>
      <c r="O31" s="26"/>
      <c r="Q31" s="46"/>
      <c r="R31" s="47" t="str">
        <f>H31</f>
        <v>ISO</v>
      </c>
      <c r="S31" s="47" t="str">
        <f>N31</f>
        <v>3x10s ea</v>
      </c>
      <c r="T31" s="48"/>
    </row>
    <row r="32" spans="2:24" s="1" customFormat="1" ht="5.0999999999999996" customHeight="1" thickBot="1" x14ac:dyDescent="0.3">
      <c r="B32" s="4"/>
      <c r="C32" s="66"/>
      <c r="D32" s="66"/>
      <c r="E32" s="113"/>
      <c r="G32" s="4"/>
      <c r="H32" s="66"/>
      <c r="I32" s="66"/>
      <c r="J32" s="66"/>
      <c r="L32" s="66"/>
      <c r="M32" s="66"/>
      <c r="N32" s="66"/>
      <c r="O32" s="66"/>
      <c r="Q32" s="115"/>
      <c r="R32" s="115"/>
      <c r="S32" s="115"/>
      <c r="T32" s="116"/>
    </row>
    <row r="33" spans="2:22" s="2" customFormat="1" ht="18" customHeight="1" thickBot="1" x14ac:dyDescent="0.3">
      <c r="B33" s="610" t="s">
        <v>883</v>
      </c>
      <c r="C33" s="611"/>
      <c r="D33" s="611"/>
      <c r="E33" s="612"/>
      <c r="F33" s="64"/>
      <c r="G33" s="541" t="s">
        <v>880</v>
      </c>
      <c r="H33" s="542" t="s">
        <v>9</v>
      </c>
      <c r="I33" s="542" t="s">
        <v>897</v>
      </c>
      <c r="J33" s="543" t="s">
        <v>880</v>
      </c>
      <c r="K33" s="1"/>
      <c r="L33" s="541" t="s">
        <v>880</v>
      </c>
      <c r="M33" s="542" t="s">
        <v>9</v>
      </c>
      <c r="N33" s="542" t="str">
        <f>I33</f>
        <v>SxR/RPE 8-9</v>
      </c>
      <c r="O33" s="543" t="s">
        <v>880</v>
      </c>
      <c r="P33" s="1"/>
      <c r="Q33" s="541" t="s">
        <v>880</v>
      </c>
      <c r="R33" s="542" t="s">
        <v>9</v>
      </c>
      <c r="S33" s="542" t="str">
        <f>I33</f>
        <v>SxR/RPE 8-9</v>
      </c>
      <c r="T33" s="543" t="s">
        <v>880</v>
      </c>
    </row>
    <row r="34" spans="2:22" s="1" customFormat="1" ht="19.899999999999999" customHeight="1" x14ac:dyDescent="0.25">
      <c r="B34" s="9">
        <v>7</v>
      </c>
      <c r="C34" s="560" t="s">
        <v>467</v>
      </c>
      <c r="D34" s="560"/>
      <c r="E34" s="561"/>
      <c r="G34" s="21"/>
      <c r="H34" s="22" t="s">
        <v>889</v>
      </c>
      <c r="I34" s="22" t="s">
        <v>7</v>
      </c>
      <c r="J34" s="23"/>
      <c r="L34" s="21"/>
      <c r="M34" s="22" t="str">
        <f t="shared" ref="M34:M36" si="3">H34</f>
        <v>3-1-1-1</v>
      </c>
      <c r="N34" s="22" t="str">
        <f>I34</f>
        <v>1x20</v>
      </c>
      <c r="O34" s="23"/>
      <c r="Q34" s="50"/>
      <c r="R34" s="52" t="str">
        <f>H34</f>
        <v>3-1-1-1</v>
      </c>
      <c r="S34" s="52" t="str">
        <f>I34</f>
        <v>1x20</v>
      </c>
      <c r="T34" s="53"/>
    </row>
    <row r="35" spans="2:22" s="1" customFormat="1" ht="19.899999999999999" customHeight="1" x14ac:dyDescent="0.25">
      <c r="B35" s="3">
        <v>8</v>
      </c>
      <c r="C35" s="567" t="s">
        <v>90</v>
      </c>
      <c r="D35" s="567"/>
      <c r="E35" s="568"/>
      <c r="G35" s="27"/>
      <c r="H35" s="28" t="s">
        <v>900</v>
      </c>
      <c r="I35" s="28" t="s">
        <v>717</v>
      </c>
      <c r="J35" s="29"/>
      <c r="L35" s="27"/>
      <c r="M35" s="28" t="str">
        <f t="shared" si="3"/>
        <v>ISO</v>
      </c>
      <c r="N35" s="28" t="str">
        <f>I35</f>
        <v>6x5s ea</v>
      </c>
      <c r="O35" s="29"/>
      <c r="Q35" s="54"/>
      <c r="R35" s="56" t="str">
        <f>H35</f>
        <v>ISO</v>
      </c>
      <c r="S35" s="28" t="str">
        <f>N35</f>
        <v>6x5s ea</v>
      </c>
      <c r="T35" s="57"/>
    </row>
    <row r="36" spans="2:22" s="1" customFormat="1" ht="19.899999999999999" customHeight="1" thickBot="1" x14ac:dyDescent="0.3">
      <c r="B36" s="4">
        <v>9</v>
      </c>
      <c r="C36" s="565" t="s">
        <v>768</v>
      </c>
      <c r="D36" s="565"/>
      <c r="E36" s="566"/>
      <c r="G36" s="24"/>
      <c r="H36" s="25" t="s">
        <v>890</v>
      </c>
      <c r="I36" s="25" t="s">
        <v>7</v>
      </c>
      <c r="J36" s="26"/>
      <c r="L36" s="24"/>
      <c r="M36" s="25" t="str">
        <f t="shared" si="3"/>
        <v>2-1-1-0</v>
      </c>
      <c r="N36" s="25" t="str">
        <f>I36</f>
        <v>1x20</v>
      </c>
      <c r="O36" s="26"/>
      <c r="Q36" s="46"/>
      <c r="R36" s="47" t="str">
        <f>H36</f>
        <v>2-1-1-0</v>
      </c>
      <c r="S36" s="47" t="str">
        <f>N36</f>
        <v>1x20</v>
      </c>
      <c r="T36" s="48"/>
    </row>
    <row r="37" spans="2:22" s="2" customFormat="1" ht="4.9000000000000004" customHeight="1" thickBot="1" x14ac:dyDescent="0.3">
      <c r="B37" s="73"/>
      <c r="G37" s="1"/>
      <c r="H37" s="1"/>
      <c r="L37" s="1"/>
      <c r="M37" s="1"/>
      <c r="Q37" s="547"/>
      <c r="R37" s="547"/>
      <c r="S37" s="49"/>
      <c r="T37" s="74"/>
    </row>
    <row r="38" spans="2:22" s="1" customFormat="1" ht="19.899999999999999" customHeight="1" x14ac:dyDescent="0.25">
      <c r="B38" s="9">
        <v>10</v>
      </c>
      <c r="C38" s="560" t="s">
        <v>415</v>
      </c>
      <c r="D38" s="560"/>
      <c r="E38" s="561"/>
      <c r="G38" s="21"/>
      <c r="H38" s="22" t="s">
        <v>889</v>
      </c>
      <c r="I38" s="22" t="s">
        <v>7</v>
      </c>
      <c r="J38" s="23"/>
      <c r="L38" s="21"/>
      <c r="M38" s="22" t="str">
        <f t="shared" ref="M38:M40" si="4">H38</f>
        <v>3-1-1-1</v>
      </c>
      <c r="N38" s="22" t="str">
        <f>I38</f>
        <v>1x20</v>
      </c>
      <c r="O38" s="23"/>
      <c r="Q38" s="21"/>
      <c r="R38" s="22" t="str">
        <f>H38</f>
        <v>3-1-1-1</v>
      </c>
      <c r="S38" s="52" t="str">
        <f>N38</f>
        <v>1x20</v>
      </c>
      <c r="T38" s="23"/>
    </row>
    <row r="39" spans="2:22" s="1" customFormat="1" ht="19.899999999999999" customHeight="1" x14ac:dyDescent="0.25">
      <c r="B39" s="3">
        <v>11</v>
      </c>
      <c r="C39" s="567" t="s">
        <v>771</v>
      </c>
      <c r="D39" s="567"/>
      <c r="E39" s="568"/>
      <c r="G39" s="27"/>
      <c r="H39" s="28" t="s">
        <v>900</v>
      </c>
      <c r="I39" s="28" t="s">
        <v>715</v>
      </c>
      <c r="J39" s="29"/>
      <c r="L39" s="27"/>
      <c r="M39" s="28" t="str">
        <f t="shared" si="4"/>
        <v>ISO</v>
      </c>
      <c r="N39" s="28" t="str">
        <f>I39</f>
        <v>3x10s ea</v>
      </c>
      <c r="O39" s="29"/>
      <c r="Q39" s="27"/>
      <c r="R39" s="28" t="str">
        <f>H39</f>
        <v>ISO</v>
      </c>
      <c r="S39" s="28" t="str">
        <f>N39</f>
        <v>3x10s ea</v>
      </c>
      <c r="T39" s="29"/>
    </row>
    <row r="40" spans="2:22" s="1" customFormat="1" ht="19.899999999999999" customHeight="1" thickBot="1" x14ac:dyDescent="0.3">
      <c r="B40" s="4">
        <v>12</v>
      </c>
      <c r="C40" s="565" t="s">
        <v>772</v>
      </c>
      <c r="D40" s="565"/>
      <c r="E40" s="566"/>
      <c r="G40" s="24"/>
      <c r="H40" s="25" t="s">
        <v>889</v>
      </c>
      <c r="I40" s="25" t="s">
        <v>7</v>
      </c>
      <c r="J40" s="26"/>
      <c r="L40" s="24"/>
      <c r="M40" s="25" t="str">
        <f t="shared" si="4"/>
        <v>3-1-1-1</v>
      </c>
      <c r="N40" s="25" t="str">
        <f>I40</f>
        <v>1x20</v>
      </c>
      <c r="O40" s="26"/>
      <c r="Q40" s="46"/>
      <c r="R40" s="47" t="str">
        <f>H40</f>
        <v>3-1-1-1</v>
      </c>
      <c r="S40" s="47" t="str">
        <f>N40</f>
        <v>1x20</v>
      </c>
      <c r="T40" s="48"/>
    </row>
    <row r="41" spans="2:22" s="1" customFormat="1" ht="5.0999999999999996" customHeight="1" thickBot="1" x14ac:dyDescent="0.3">
      <c r="B41" s="4"/>
      <c r="C41" s="66"/>
      <c r="D41" s="66"/>
      <c r="E41" s="113"/>
      <c r="G41" s="4"/>
      <c r="H41" s="66"/>
      <c r="I41" s="66"/>
      <c r="J41" s="66"/>
      <c r="L41" s="66"/>
      <c r="M41" s="66"/>
      <c r="N41" s="66"/>
      <c r="O41" s="66"/>
      <c r="Q41" s="115"/>
      <c r="R41" s="115"/>
      <c r="S41" s="115"/>
      <c r="T41" s="116"/>
    </row>
    <row r="42" spans="2:22" s="2" customFormat="1" ht="18" customHeight="1" thickBot="1" x14ac:dyDescent="0.3">
      <c r="B42" s="607" t="s">
        <v>875</v>
      </c>
      <c r="C42" s="608"/>
      <c r="D42" s="608"/>
      <c r="E42" s="609"/>
      <c r="F42" s="1"/>
      <c r="G42" s="549" t="s">
        <v>880</v>
      </c>
      <c r="H42" s="550" t="s">
        <v>9</v>
      </c>
      <c r="I42" s="550" t="s">
        <v>901</v>
      </c>
      <c r="J42" s="551" t="s">
        <v>880</v>
      </c>
      <c r="K42" s="523"/>
      <c r="L42" s="549" t="str">
        <f>G42</f>
        <v>GEWICHT</v>
      </c>
      <c r="M42" s="550" t="s">
        <v>9</v>
      </c>
      <c r="N42" s="550" t="str">
        <f>I42</f>
        <v>SxR/RPE 9</v>
      </c>
      <c r="O42" s="551" t="s">
        <v>880</v>
      </c>
      <c r="P42" s="547"/>
      <c r="Q42" s="549" t="str">
        <f>L42</f>
        <v>GEWICHT</v>
      </c>
      <c r="R42" s="550" t="s">
        <v>9</v>
      </c>
      <c r="S42" s="550" t="str">
        <f>I42</f>
        <v>SxR/RPE 9</v>
      </c>
      <c r="T42" s="551" t="s">
        <v>880</v>
      </c>
    </row>
    <row r="43" spans="2:22" s="1" customFormat="1" ht="19.899999999999999" customHeight="1" x14ac:dyDescent="0.25">
      <c r="B43" s="9">
        <v>13</v>
      </c>
      <c r="C43" s="560" t="s">
        <v>182</v>
      </c>
      <c r="D43" s="560"/>
      <c r="E43" s="561"/>
      <c r="G43" s="21"/>
      <c r="H43" s="22" t="s">
        <v>900</v>
      </c>
      <c r="I43" s="22" t="s">
        <v>721</v>
      </c>
      <c r="J43" s="23"/>
      <c r="L43" s="21"/>
      <c r="M43" s="22" t="str">
        <f>H43</f>
        <v>ISO</v>
      </c>
      <c r="N43" s="22" t="str">
        <f>I43</f>
        <v>1x75s</v>
      </c>
      <c r="O43" s="23"/>
      <c r="Q43" s="21"/>
      <c r="R43" s="22" t="str">
        <f>H43</f>
        <v>ISO</v>
      </c>
      <c r="S43" s="22" t="str">
        <f>N43</f>
        <v>1x75s</v>
      </c>
      <c r="T43" s="23"/>
    </row>
    <row r="44" spans="2:22" s="1" customFormat="1" ht="19.899999999999999" customHeight="1" x14ac:dyDescent="0.25">
      <c r="B44" s="3">
        <v>14</v>
      </c>
      <c r="C44" s="567" t="s">
        <v>36</v>
      </c>
      <c r="D44" s="567"/>
      <c r="E44" s="568"/>
      <c r="G44" s="27"/>
      <c r="H44" s="28" t="s">
        <v>900</v>
      </c>
      <c r="I44" s="28" t="s">
        <v>721</v>
      </c>
      <c r="J44" s="29"/>
      <c r="L44" s="27"/>
      <c r="M44" s="28" t="str">
        <f>H43</f>
        <v>ISO</v>
      </c>
      <c r="N44" s="28" t="str">
        <f>I44</f>
        <v>1x75s</v>
      </c>
      <c r="O44" s="29"/>
      <c r="Q44" s="27"/>
      <c r="R44" s="28" t="str">
        <f>H43</f>
        <v>ISO</v>
      </c>
      <c r="S44" s="28" t="str">
        <f>N44</f>
        <v>1x75s</v>
      </c>
      <c r="T44" s="29"/>
    </row>
    <row r="45" spans="2:22" s="1" customFormat="1" ht="19.899999999999999" customHeight="1" thickBot="1" x14ac:dyDescent="0.3">
      <c r="B45" s="4">
        <v>15</v>
      </c>
      <c r="C45" s="571" t="s">
        <v>338</v>
      </c>
      <c r="D45" s="571"/>
      <c r="E45" s="572"/>
      <c r="F45" s="66"/>
      <c r="G45" s="24"/>
      <c r="H45" s="25" t="s">
        <v>900</v>
      </c>
      <c r="I45" s="25" t="s">
        <v>721</v>
      </c>
      <c r="J45" s="26"/>
      <c r="K45" s="66"/>
      <c r="L45" s="24"/>
      <c r="M45" s="25" t="str">
        <f>H43</f>
        <v>ISO</v>
      </c>
      <c r="N45" s="25" t="str">
        <f>I45</f>
        <v>1x75s</v>
      </c>
      <c r="O45" s="26"/>
      <c r="P45" s="66"/>
      <c r="Q45" s="24"/>
      <c r="R45" s="25" t="str">
        <f>H43</f>
        <v>ISO</v>
      </c>
      <c r="S45" s="25" t="str">
        <f>N45</f>
        <v>1x75s</v>
      </c>
      <c r="T45" s="26"/>
    </row>
    <row r="46" spans="2:22" s="2" customFormat="1" ht="4.9000000000000004" customHeight="1" x14ac:dyDescent="0.25">
      <c r="Q46" s="49"/>
      <c r="R46" s="49"/>
      <c r="S46" s="49"/>
      <c r="T46" s="49"/>
    </row>
    <row r="47" spans="2:22" x14ac:dyDescent="0.25">
      <c r="V47" s="1"/>
    </row>
    <row r="48" spans="2:22" x14ac:dyDescent="0.25">
      <c r="V48" s="1"/>
    </row>
    <row r="49" spans="22:22" x14ac:dyDescent="0.25">
      <c r="V49" s="1"/>
    </row>
    <row r="50" spans="22:22" x14ac:dyDescent="0.25">
      <c r="V50" s="1"/>
    </row>
    <row r="51" spans="22:22" x14ac:dyDescent="0.25">
      <c r="V51" s="1"/>
    </row>
    <row r="52" spans="22:22" x14ac:dyDescent="0.25">
      <c r="V52" s="1"/>
    </row>
    <row r="53" spans="22:22" x14ac:dyDescent="0.25">
      <c r="V53" s="1"/>
    </row>
    <row r="54" spans="22:22" x14ac:dyDescent="0.25">
      <c r="V54" s="1"/>
    </row>
  </sheetData>
  <mergeCells count="44">
    <mergeCell ref="O2:T7"/>
    <mergeCell ref="E10:G10"/>
    <mergeCell ref="I10:L10"/>
    <mergeCell ref="B12:T12"/>
    <mergeCell ref="B13:D13"/>
    <mergeCell ref="E13:F13"/>
    <mergeCell ref="G13:I13"/>
    <mergeCell ref="J13:M13"/>
    <mergeCell ref="N13:Q13"/>
    <mergeCell ref="R13:T13"/>
    <mergeCell ref="J15:M15"/>
    <mergeCell ref="B17:E18"/>
    <mergeCell ref="G17:T17"/>
    <mergeCell ref="H18:I18"/>
    <mergeCell ref="M18:N18"/>
    <mergeCell ref="R18:S18"/>
    <mergeCell ref="N15:Q15"/>
    <mergeCell ref="R15:T15"/>
    <mergeCell ref="B33:E33"/>
    <mergeCell ref="B19:E19"/>
    <mergeCell ref="B15:D15"/>
    <mergeCell ref="E15:F15"/>
    <mergeCell ref="G15:I15"/>
    <mergeCell ref="C26:E26"/>
    <mergeCell ref="C27:E27"/>
    <mergeCell ref="C29:E29"/>
    <mergeCell ref="C30:E30"/>
    <mergeCell ref="C31:E31"/>
    <mergeCell ref="B14:T14"/>
    <mergeCell ref="C43:E43"/>
    <mergeCell ref="C44:E44"/>
    <mergeCell ref="C45:E45"/>
    <mergeCell ref="C35:E35"/>
    <mergeCell ref="C36:E36"/>
    <mergeCell ref="C38:E38"/>
    <mergeCell ref="C39:E39"/>
    <mergeCell ref="C40:E40"/>
    <mergeCell ref="B42:E42"/>
    <mergeCell ref="C34:E34"/>
    <mergeCell ref="C20:E20"/>
    <mergeCell ref="C21:E21"/>
    <mergeCell ref="C22:E22"/>
    <mergeCell ref="B24:E24"/>
    <mergeCell ref="C25:E25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4">
        <x14:dataValidation type="list" allowBlank="1" showInputMessage="1" showErrorMessage="1" xr:uid="{1432C776-A1B0-461F-AB9D-84780D6E4304}">
          <x14:formula1>
            <xm:f>'BH1-2 Progressionen'!$A:$A</xm:f>
          </x14:formula1>
          <xm:sqref>B17:E18</xm:sqref>
        </x14:dataValidation>
        <x14:dataValidation type="list" allowBlank="1" showInputMessage="1" showErrorMessage="1" xr:uid="{C5ABFFC9-EC79-429E-9014-8365781501EC}">
          <x14:formula1>
            <xm:f>'BH1-2 Progressionen'!$B:$B</xm:f>
          </x14:formula1>
          <xm:sqref>B13:D13</xm:sqref>
        </x14:dataValidation>
        <x14:dataValidation type="list" allowBlank="1" showInputMessage="1" showErrorMessage="1" xr:uid="{A1868B78-559C-46EE-9413-34F89CE0BB0F}">
          <x14:formula1>
            <xm:f>'BH1-2 Progressionen'!$C:$C</xm:f>
          </x14:formula1>
          <xm:sqref>E13</xm:sqref>
        </x14:dataValidation>
        <x14:dataValidation type="list" allowBlank="1" showInputMessage="1" showErrorMessage="1" xr:uid="{FEFD0F96-F201-45A9-93E6-889EB79FF472}">
          <x14:formula1>
            <xm:f>'BH1-2 Progressionen'!$G:$G</xm:f>
          </x14:formula1>
          <xm:sqref>R13:T13</xm:sqref>
        </x14:dataValidation>
        <x14:dataValidation type="list" allowBlank="1" showInputMessage="1" showErrorMessage="1" xr:uid="{06DEBFEC-E22A-438F-9102-993D06EED884}">
          <x14:formula1>
            <xm:f>'BH1-2 Progressionen'!$H:$H</xm:f>
          </x14:formula1>
          <xm:sqref>B15:D15</xm:sqref>
        </x14:dataValidation>
        <x14:dataValidation type="list" allowBlank="1" showInputMessage="1" showErrorMessage="1" xr:uid="{0A03B320-EAAD-42E3-A565-12C093E640CA}">
          <x14:formula1>
            <xm:f>'BH1-2 Progressionen'!$I:$I</xm:f>
          </x14:formula1>
          <xm:sqref>E15</xm:sqref>
        </x14:dataValidation>
        <x14:dataValidation type="list" allowBlank="1" showInputMessage="1" showErrorMessage="1" xr:uid="{F1882C32-02A7-4602-9107-EFD5638C6840}">
          <x14:formula1>
            <xm:f>'BH1-2 Progressionen'!$M:$M</xm:f>
          </x14:formula1>
          <xm:sqref>R15:T15</xm:sqref>
        </x14:dataValidation>
        <x14:dataValidation type="list" allowBlank="1" showInputMessage="1" showErrorMessage="1" xr:uid="{AB9F357F-EDD1-4776-8F5F-8AEF0A2C50CB}">
          <x14:formula1>
            <xm:f>'BH1-2 Progressionen'!$D:$D</xm:f>
          </x14:formula1>
          <xm:sqref>G13</xm:sqref>
        </x14:dataValidation>
        <x14:dataValidation type="list" allowBlank="1" showInputMessage="1" showErrorMessage="1" xr:uid="{A2BF39A6-FE37-45BF-8C8C-9E633AAD60D9}">
          <x14:formula1>
            <xm:f>'BH1-2 Progressionen'!$J:$J</xm:f>
          </x14:formula1>
          <xm:sqref>G15</xm:sqref>
        </x14:dataValidation>
        <x14:dataValidation type="list" allowBlank="1" showInputMessage="1" showErrorMessage="1" xr:uid="{9F06B4F0-D979-4914-B133-90E8229BF754}">
          <x14:formula1>
            <xm:f>'BH1-2 Progressionen'!$E:$E</xm:f>
          </x14:formula1>
          <xm:sqref>J13</xm:sqref>
        </x14:dataValidation>
        <x14:dataValidation type="list" allowBlank="1" showInputMessage="1" showErrorMessage="1" xr:uid="{6DBCE2A0-557F-4833-B2BE-C9604FFBFB85}">
          <x14:formula1>
            <xm:f>'BH1-2 Progressionen'!$K:$K</xm:f>
          </x14:formula1>
          <xm:sqref>J15</xm:sqref>
        </x14:dataValidation>
        <x14:dataValidation type="list" allowBlank="1" showInputMessage="1" showErrorMessage="1" xr:uid="{E924BBB8-4581-4BF0-80ED-A4097EDC7382}">
          <x14:formula1>
            <xm:f>'BH1-2 Progressionen'!$F:$F</xm:f>
          </x14:formula1>
          <xm:sqref>N13</xm:sqref>
        </x14:dataValidation>
        <x14:dataValidation type="list" allowBlank="1" showInputMessage="1" showErrorMessage="1" xr:uid="{F6793275-BE24-4890-A07C-8112D38639FB}">
          <x14:formula1>
            <xm:f>'BH1-2 Progressionen'!$L:$L</xm:f>
          </x14:formula1>
          <xm:sqref>N15</xm:sqref>
        </x14:dataValidation>
        <x14:dataValidation type="list" allowBlank="1" showInputMessage="1" showErrorMessage="1" xr:uid="{0D138573-0166-4400-8380-E1CA507B5114}">
          <x14:formula1>
            <xm:f>' Unterkörper Progressionen '!$Z:$Z</xm:f>
          </x14:formula1>
          <xm:sqref>I43:I45 I25:I27 I29:I32 I38:I41 I34:I36</xm:sqref>
        </x14:dataValidation>
        <x14:dataValidation type="list" allowBlank="1" showInputMessage="1" showErrorMessage="1" xr:uid="{CCBA27FD-D5D1-4FD7-80A5-03D31C1F44DC}">
          <x14:formula1>
            <xm:f>' Unterkörper Progressionen '!$B:$B</xm:f>
          </x14:formula1>
          <xm:sqref>C20:E20</xm:sqref>
        </x14:dataValidation>
        <x14:dataValidation type="list" allowBlank="1" showInputMessage="1" showErrorMessage="1" xr:uid="{14E7EB61-5DC4-4E65-BB14-C121137243F9}">
          <x14:formula1>
            <xm:f>' Unterkörper Progressionen '!$C:$C</xm:f>
          </x14:formula1>
          <xm:sqref>C21:E21</xm:sqref>
        </x14:dataValidation>
        <x14:dataValidation type="list" allowBlank="1" showInputMessage="1" showErrorMessage="1" xr:uid="{C58E96EC-AA49-4B76-9495-2AA5652049B9}">
          <x14:formula1>
            <xm:f>' Unterkörper Progressionen '!$D:$D</xm:f>
          </x14:formula1>
          <xm:sqref>C22:E22</xm:sqref>
        </x14:dataValidation>
        <x14:dataValidation type="list" allowBlank="1" showInputMessage="1" showErrorMessage="1" xr:uid="{F336F628-CE0F-4645-B581-06CB30DCEB59}">
          <x14:formula1>
            <xm:f>' Unterkörper Progressionen '!$E:$E</xm:f>
          </x14:formula1>
          <xm:sqref>C25:E25</xm:sqref>
        </x14:dataValidation>
        <x14:dataValidation type="list" allowBlank="1" showInputMessage="1" showErrorMessage="1" xr:uid="{67DAFE92-77EF-4841-AFC8-715C9DBE4093}">
          <x14:formula1>
            <xm:f>' Unterkörper Progressionen '!$F:$F</xm:f>
          </x14:formula1>
          <xm:sqref>C26:E26</xm:sqref>
        </x14:dataValidation>
        <x14:dataValidation type="list" allowBlank="1" showInputMessage="1" showErrorMessage="1" xr:uid="{93CBD1C2-C0B8-40D7-BF10-5AFA1206DE20}">
          <x14:formula1>
            <xm:f>' Unterkörper Progressionen '!$G:$G</xm:f>
          </x14:formula1>
          <xm:sqref>C27:E27</xm:sqref>
        </x14:dataValidation>
        <x14:dataValidation type="list" allowBlank="1" showInputMessage="1" showErrorMessage="1" xr:uid="{110B699E-47A1-4137-95F0-844460C8E7BA}">
          <x14:formula1>
            <xm:f>' Unterkörper Progressionen '!$H:$H</xm:f>
          </x14:formula1>
          <xm:sqref>C29:E29</xm:sqref>
        </x14:dataValidation>
        <x14:dataValidation type="list" allowBlank="1" showInputMessage="1" showErrorMessage="1" xr:uid="{A655CC4F-7BB3-40F1-AA39-C5C855618131}">
          <x14:formula1>
            <xm:f>' Unterkörper Progressionen '!$I:$I</xm:f>
          </x14:formula1>
          <xm:sqref>C30:E30</xm:sqref>
        </x14:dataValidation>
        <x14:dataValidation type="list" allowBlank="1" showInputMessage="1" showErrorMessage="1" xr:uid="{D92F7152-CC0C-48FE-8455-4FA415DE192B}">
          <x14:formula1>
            <xm:f>' Unterkörper Progressionen '!$J:$J</xm:f>
          </x14:formula1>
          <xm:sqref>C31:E31</xm:sqref>
        </x14:dataValidation>
        <x14:dataValidation type="list" allowBlank="1" showInputMessage="1" showErrorMessage="1" xr:uid="{76A1C664-DF2F-4943-B23D-63C2C14BC657}">
          <x14:formula1>
            <xm:f>' Unterkörper Progressionen '!$L:$L</xm:f>
          </x14:formula1>
          <xm:sqref>C34:E34</xm:sqref>
        </x14:dataValidation>
        <x14:dataValidation type="list" allowBlank="1" showInputMessage="1" showErrorMessage="1" xr:uid="{E577E284-0C7B-4640-A0BF-C918AC09FF0F}">
          <x14:formula1>
            <xm:f>' Unterkörper Progressionen '!$M:$M</xm:f>
          </x14:formula1>
          <xm:sqref>C35:E35</xm:sqref>
        </x14:dataValidation>
        <x14:dataValidation type="list" allowBlank="1" showInputMessage="1" showErrorMessage="1" xr:uid="{BC0B3752-F8DA-43FD-B44C-FD75774F4F46}">
          <x14:formula1>
            <xm:f>' Unterkörper Progressionen '!$P:$P</xm:f>
          </x14:formula1>
          <xm:sqref>C36:E36</xm:sqref>
        </x14:dataValidation>
        <x14:dataValidation type="list" allowBlank="1" showInputMessage="1" showErrorMessage="1" xr:uid="{1BE26BCE-0A83-4F98-A11B-72793BD3F6CC}">
          <x14:formula1>
            <xm:f>' Unterkörper Progressionen '!$Q:$Q</xm:f>
          </x14:formula1>
          <xm:sqref>C38:E38</xm:sqref>
        </x14:dataValidation>
        <x14:dataValidation type="list" allowBlank="1" showInputMessage="1" showErrorMessage="1" xr:uid="{75737757-5AA4-41CD-8FF9-D43CF5CD7D64}">
          <x14:formula1>
            <xm:f>' Unterkörper Progressionen '!$R:$R</xm:f>
          </x14:formula1>
          <xm:sqref>C39:E39</xm:sqref>
        </x14:dataValidation>
        <x14:dataValidation type="list" allowBlank="1" showInputMessage="1" showErrorMessage="1" xr:uid="{C3A8123E-656E-4094-84C1-92CAED188FC3}">
          <x14:formula1>
            <xm:f>' Unterkörper Progressionen '!$S:$S</xm:f>
          </x14:formula1>
          <xm:sqref>C40:E40</xm:sqref>
        </x14:dataValidation>
        <x14:dataValidation type="list" allowBlank="1" showInputMessage="1" showErrorMessage="1" xr:uid="{C3277886-B108-4A4E-B734-7FF2BF5F691B}">
          <x14:formula1>
            <xm:f>' Unterkörper Progressionen '!$U:$U</xm:f>
          </x14:formula1>
          <xm:sqref>C43:E43</xm:sqref>
        </x14:dataValidation>
        <x14:dataValidation type="list" allowBlank="1" showInputMessage="1" showErrorMessage="1" xr:uid="{78560CEE-8CB9-40B6-8E1F-B57F010B4893}">
          <x14:formula1>
            <xm:f>' Unterkörper Progressionen '!$V:$V</xm:f>
          </x14:formula1>
          <xm:sqref>C44:E44</xm:sqref>
        </x14:dataValidation>
        <x14:dataValidation type="list" allowBlank="1" showInputMessage="1" showErrorMessage="1" xr:uid="{436AE8D3-431F-4819-B455-26F4CA4F7062}">
          <x14:formula1>
            <xm:f>' Unterkörper Progressionen '!$W:$W</xm:f>
          </x14:formula1>
          <xm:sqref>C45:E45</xm:sqref>
        </x14:dataValidation>
        <x14:dataValidation type="list" allowBlank="1" showInputMessage="1" showErrorMessage="1" xr:uid="{87BEB252-80CB-4F43-BFC1-14850AD8621D}">
          <x14:formula1>
            <xm:f>' Unterkörper Progressionen '!$AC:$AC</xm:f>
          </x14:formula1>
          <xm:sqref>S33 I24 S42 N42 I42 I33 N33</xm:sqref>
        </x14:dataValidation>
        <x14:dataValidation type="list" allowBlank="1" showInputMessage="1" showErrorMessage="1" xr:uid="{B3868AB7-6F67-4FE1-9BB0-F197349C35B4}">
          <x14:formula1>
            <xm:f>' Unterkörper Progressionen '!$AB:$AB</xm:f>
          </x14:formula1>
          <xm:sqref>H25:H27 H20:H22 H43:H45 H38:H40 H34:H36 H29:H31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75D2-777F-493E-81B7-8A5DA3132010}">
  <sheetPr>
    <pageSetUpPr fitToPage="1"/>
  </sheetPr>
  <dimension ref="B1:W44"/>
  <sheetViews>
    <sheetView topLeftCell="A6" zoomScale="94" zoomScaleNormal="100" workbookViewId="0">
      <selection activeCell="B41" sqref="B41:E41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W2" s="2"/>
    </row>
    <row r="3" spans="2:23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W9" s="2"/>
    </row>
    <row r="10" spans="2:23" ht="16.5" hidden="1" thickBot="1" x14ac:dyDescent="0.3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1" customFormat="1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tr">
        <f>Unterkörper4!B13</f>
        <v>BALANCE - TGU - 1/2-KN. TO STAND</v>
      </c>
      <c r="C13" s="631"/>
      <c r="D13" s="631"/>
      <c r="E13" s="633" t="str">
        <f>Unterkörper4!E13</f>
        <v>LOADED FOOT ELBOW CRAWL</v>
      </c>
      <c r="F13" s="634"/>
      <c r="G13" s="631" t="str">
        <f>Unterkörper4!G13</f>
        <v>2-ARM RACK CARRY</v>
      </c>
      <c r="H13" s="631"/>
      <c r="I13" s="631"/>
      <c r="J13" s="631" t="str">
        <f>Unterkörper4!J13</f>
        <v>BW RACK SQUAT</v>
      </c>
      <c r="K13" s="631"/>
      <c r="L13" s="631"/>
      <c r="M13" s="631"/>
      <c r="N13" s="631" t="str">
        <f>Unterkörper4!N13</f>
        <v>1 KB SUITCASE DEADLIFT</v>
      </c>
      <c r="O13" s="631"/>
      <c r="P13" s="631"/>
      <c r="Q13" s="631"/>
      <c r="R13" s="631" t="str">
        <f>Unterkörper4!R13</f>
        <v>1KB 1-LEG DEADLIFT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tr">
        <f>Unterkörper4!B15</f>
        <v>LOADED ANKLE ROCKER SHUFFLE</v>
      </c>
      <c r="C15" s="553"/>
      <c r="D15" s="553"/>
      <c r="E15" s="625" t="str">
        <f>Unterkörper4!E15</f>
        <v>ANKLE POS. 2 15 SEC</v>
      </c>
      <c r="F15" s="626"/>
      <c r="G15" s="553" t="str">
        <f>Unterkörper4!G15</f>
        <v>LOADED LATERAL ANKLE MARCH</v>
      </c>
      <c r="H15" s="553"/>
      <c r="I15" s="553"/>
      <c r="J15" s="553" t="str">
        <f>Unterkörper4!J15</f>
        <v>LOADED A-SKIP</v>
      </c>
      <c r="K15" s="553"/>
      <c r="L15" s="553"/>
      <c r="M15" s="553"/>
      <c r="N15" s="553" t="str">
        <f>Unterkörper4!N15</f>
        <v>REACTIVE 1-LEG MEDIAL HOP - TO BOX (NCM)</v>
      </c>
      <c r="O15" s="553"/>
      <c r="P15" s="553"/>
      <c r="Q15" s="553"/>
      <c r="R15" s="553" t="str">
        <f>Unterkörper4!R15</f>
        <v>LOADED REACTIVE SQUAT JUMP OF BOX TO BOX</v>
      </c>
      <c r="S15" s="553"/>
      <c r="T15" s="556"/>
    </row>
    <row r="16" spans="2:23" ht="16.5" customHeight="1" thickBot="1" x14ac:dyDescent="0.3">
      <c r="B16" s="647" t="str">
        <f>Unterkörper4!B17</f>
        <v>LEVEL 4</v>
      </c>
      <c r="C16" s="648"/>
      <c r="D16" s="648"/>
      <c r="E16" s="649"/>
      <c r="F16" s="1"/>
      <c r="G16" s="592" t="s">
        <v>352</v>
      </c>
      <c r="H16" s="593"/>
      <c r="I16" s="593"/>
      <c r="J16" s="593"/>
      <c r="K16" s="593"/>
      <c r="L16" s="593"/>
      <c r="M16" s="593"/>
      <c r="N16" s="593"/>
      <c r="O16" s="593"/>
      <c r="P16" s="593"/>
      <c r="Q16" s="593"/>
      <c r="R16" s="593"/>
      <c r="S16" s="593"/>
      <c r="T16" s="594"/>
    </row>
    <row r="17" spans="2:23" ht="21.6" customHeight="1" thickBot="1" x14ac:dyDescent="0.3">
      <c r="B17" s="622"/>
      <c r="C17" s="623"/>
      <c r="D17" s="623"/>
      <c r="E17" s="624"/>
      <c r="F17" s="1"/>
      <c r="G17" s="70" t="s">
        <v>865</v>
      </c>
      <c r="H17" s="582" t="s">
        <v>877</v>
      </c>
      <c r="I17" s="583"/>
      <c r="J17" s="71" t="s">
        <v>866</v>
      </c>
      <c r="K17" s="64"/>
      <c r="L17" s="70" t="s">
        <v>867</v>
      </c>
      <c r="M17" s="582" t="s">
        <v>878</v>
      </c>
      <c r="N17" s="583"/>
      <c r="O17" s="71" t="s">
        <v>868</v>
      </c>
      <c r="P17" s="64"/>
      <c r="Q17" s="70" t="s">
        <v>869</v>
      </c>
      <c r="R17" s="595" t="s">
        <v>879</v>
      </c>
      <c r="S17" s="596"/>
      <c r="T17" s="71" t="s">
        <v>870</v>
      </c>
    </row>
    <row r="18" spans="2:23" ht="18" customHeight="1" thickBot="1" x14ac:dyDescent="0.3">
      <c r="B18" s="641" t="s">
        <v>8</v>
      </c>
      <c r="C18" s="642"/>
      <c r="D18" s="642"/>
      <c r="E18" s="643"/>
      <c r="F18" s="72"/>
      <c r="G18" s="501" t="s">
        <v>880</v>
      </c>
      <c r="H18" s="502" t="s">
        <v>9</v>
      </c>
      <c r="I18" s="502" t="s">
        <v>11</v>
      </c>
      <c r="J18" s="503" t="s">
        <v>880</v>
      </c>
      <c r="K18" s="1"/>
      <c r="L18" s="501" t="s">
        <v>880</v>
      </c>
      <c r="M18" s="502" t="s">
        <v>9</v>
      </c>
      <c r="N18" s="502" t="s">
        <v>11</v>
      </c>
      <c r="O18" s="503" t="s">
        <v>880</v>
      </c>
      <c r="P18" s="1"/>
      <c r="Q18" s="504" t="s">
        <v>880</v>
      </c>
      <c r="R18" s="505" t="s">
        <v>9</v>
      </c>
      <c r="S18" s="505" t="s">
        <v>11</v>
      </c>
      <c r="T18" s="506" t="s">
        <v>880</v>
      </c>
    </row>
    <row r="19" spans="2:23" s="1" customFormat="1" ht="19.899999999999999" customHeight="1" x14ac:dyDescent="0.25">
      <c r="B19" s="9">
        <v>1</v>
      </c>
      <c r="C19" s="560" t="s">
        <v>257</v>
      </c>
      <c r="D19" s="560"/>
      <c r="E19" s="561"/>
      <c r="G19" s="18"/>
      <c r="H19" s="22" t="s">
        <v>12</v>
      </c>
      <c r="I19" s="19" t="s">
        <v>14</v>
      </c>
      <c r="J19" s="20" t="s">
        <v>16</v>
      </c>
      <c r="L19" s="18"/>
      <c r="M19" s="19" t="str">
        <f t="shared" ref="M19:M21" si="0">H19</f>
        <v>EXPL</v>
      </c>
      <c r="N19" s="19" t="s">
        <v>14</v>
      </c>
      <c r="O19" s="20" t="s">
        <v>16</v>
      </c>
      <c r="Q19" s="43"/>
      <c r="R19" s="44" t="str">
        <f t="shared" ref="R19:R21" si="1">H19</f>
        <v>EXPL</v>
      </c>
      <c r="S19" s="44" t="s">
        <v>14</v>
      </c>
      <c r="T19" s="45" t="s">
        <v>16</v>
      </c>
    </row>
    <row r="20" spans="2:23" s="1" customFormat="1" ht="19.899999999999999" customHeight="1" x14ac:dyDescent="0.25">
      <c r="B20" s="3">
        <v>2</v>
      </c>
      <c r="C20" s="567" t="s">
        <v>233</v>
      </c>
      <c r="D20" s="567"/>
      <c r="E20" s="568"/>
      <c r="G20" s="67"/>
      <c r="H20" s="28" t="s">
        <v>12</v>
      </c>
      <c r="I20" s="68" t="s">
        <v>14</v>
      </c>
      <c r="J20" s="69"/>
      <c r="L20" s="67"/>
      <c r="M20" s="68" t="str">
        <f t="shared" si="0"/>
        <v>EXPL</v>
      </c>
      <c r="N20" s="68" t="s">
        <v>14</v>
      </c>
      <c r="O20" s="69"/>
      <c r="Q20" s="75"/>
      <c r="R20" s="76" t="str">
        <f t="shared" si="1"/>
        <v>EXPL</v>
      </c>
      <c r="S20" s="76" t="s">
        <v>14</v>
      </c>
      <c r="T20" s="77"/>
    </row>
    <row r="21" spans="2:23" s="1" customFormat="1" ht="19.899999999999999" customHeight="1" thickBot="1" x14ac:dyDescent="0.3">
      <c r="B21" s="4">
        <v>3</v>
      </c>
      <c r="C21" s="565" t="s">
        <v>230</v>
      </c>
      <c r="D21" s="565"/>
      <c r="E21" s="566"/>
      <c r="G21" s="24"/>
      <c r="H21" s="25" t="s">
        <v>12</v>
      </c>
      <c r="I21" s="25" t="s">
        <v>14</v>
      </c>
      <c r="J21" s="26"/>
      <c r="L21" s="24"/>
      <c r="M21" s="25" t="str">
        <f t="shared" si="0"/>
        <v>EXPL</v>
      </c>
      <c r="N21" s="25" t="s">
        <v>14</v>
      </c>
      <c r="O21" s="26"/>
      <c r="Q21" s="46"/>
      <c r="R21" s="47" t="str">
        <f t="shared" si="1"/>
        <v>EXPL</v>
      </c>
      <c r="S21" s="47" t="s">
        <v>14</v>
      </c>
      <c r="T21" s="48"/>
    </row>
    <row r="22" spans="2:23" s="2" customFormat="1" ht="4.9000000000000004" customHeight="1" thickBot="1" x14ac:dyDescent="0.3">
      <c r="B22" s="73"/>
      <c r="Q22" s="49"/>
      <c r="R22" s="49"/>
      <c r="S22" s="49"/>
      <c r="T22" s="74"/>
    </row>
    <row r="23" spans="2:23" s="523" customFormat="1" ht="18" customHeight="1" thickBot="1" x14ac:dyDescent="0.3">
      <c r="B23" s="644" t="s">
        <v>871</v>
      </c>
      <c r="C23" s="645"/>
      <c r="D23" s="645"/>
      <c r="E23" s="646"/>
      <c r="G23" s="524" t="s">
        <v>880</v>
      </c>
      <c r="H23" s="525" t="s">
        <v>9</v>
      </c>
      <c r="I23" s="525" t="s">
        <v>897</v>
      </c>
      <c r="J23" s="526" t="s">
        <v>880</v>
      </c>
      <c r="L23" s="524" t="str">
        <f>G23</f>
        <v>GEWICHT</v>
      </c>
      <c r="M23" s="525" t="s">
        <v>9</v>
      </c>
      <c r="N23" s="525" t="str">
        <f>I23</f>
        <v>SxR/RPE 8-9</v>
      </c>
      <c r="O23" s="526" t="s">
        <v>880</v>
      </c>
      <c r="Q23" s="524" t="str">
        <f>L23</f>
        <v>GEWICHT</v>
      </c>
      <c r="R23" s="525" t="s">
        <v>9</v>
      </c>
      <c r="S23" s="525" t="str">
        <f>I23</f>
        <v>SxR/RPE 8-9</v>
      </c>
      <c r="T23" s="526" t="s">
        <v>880</v>
      </c>
      <c r="W23" s="527"/>
    </row>
    <row r="24" spans="2:23" s="1" customFormat="1" ht="19.899999999999999" customHeight="1" x14ac:dyDescent="0.25">
      <c r="B24" s="9">
        <v>1</v>
      </c>
      <c r="C24" s="560" t="s">
        <v>485</v>
      </c>
      <c r="D24" s="560"/>
      <c r="E24" s="561"/>
      <c r="G24" s="21"/>
      <c r="H24" s="22" t="s">
        <v>888</v>
      </c>
      <c r="I24" s="28" t="s">
        <v>7</v>
      </c>
      <c r="J24" s="23"/>
      <c r="L24" s="21"/>
      <c r="M24" s="22" t="str">
        <f>H24</f>
        <v>3-1-1-0</v>
      </c>
      <c r="N24" s="22" t="str">
        <f>I24</f>
        <v>1x20</v>
      </c>
      <c r="O24" s="23"/>
      <c r="Q24" s="50"/>
      <c r="R24" s="52" t="str">
        <f>H24</f>
        <v>3-1-1-0</v>
      </c>
      <c r="S24" s="52" t="str">
        <f>I24</f>
        <v>1x20</v>
      </c>
      <c r="T24" s="53"/>
      <c r="W24" s="36"/>
    </row>
    <row r="25" spans="2:23" s="1" customFormat="1" ht="19.899999999999999" customHeight="1" x14ac:dyDescent="0.25">
      <c r="B25" s="3">
        <v>2</v>
      </c>
      <c r="C25" s="567" t="s">
        <v>487</v>
      </c>
      <c r="D25" s="567"/>
      <c r="E25" s="568"/>
      <c r="G25" s="27"/>
      <c r="H25" s="28" t="s">
        <v>889</v>
      </c>
      <c r="I25" s="28" t="s">
        <v>7</v>
      </c>
      <c r="J25" s="29"/>
      <c r="L25" s="27"/>
      <c r="M25" s="28" t="str">
        <f>H25</f>
        <v>3-1-1-1</v>
      </c>
      <c r="N25" s="28" t="str">
        <f>I25</f>
        <v>1x20</v>
      </c>
      <c r="O25" s="29"/>
      <c r="Q25" s="54"/>
      <c r="R25" s="56" t="str">
        <f>H25</f>
        <v>3-1-1-1</v>
      </c>
      <c r="S25" s="56" t="str">
        <f>I25</f>
        <v>1x20</v>
      </c>
      <c r="T25" s="57"/>
      <c r="W25" s="36"/>
    </row>
    <row r="26" spans="2:23" s="1" customFormat="1" ht="19.899999999999999" customHeight="1" thickBot="1" x14ac:dyDescent="0.3">
      <c r="B26" s="4">
        <v>3</v>
      </c>
      <c r="C26" s="565" t="s">
        <v>739</v>
      </c>
      <c r="D26" s="565"/>
      <c r="E26" s="566"/>
      <c r="G26" s="24"/>
      <c r="H26" s="25" t="s">
        <v>915</v>
      </c>
      <c r="I26" s="25" t="s">
        <v>712</v>
      </c>
      <c r="J26" s="26"/>
      <c r="L26" s="24"/>
      <c r="M26" s="25" t="str">
        <f>H26</f>
        <v>1-1-1-1</v>
      </c>
      <c r="N26" s="25" t="str">
        <f>I26</f>
        <v>2x15m</v>
      </c>
      <c r="O26" s="26"/>
      <c r="Q26" s="46"/>
      <c r="R26" s="47" t="str">
        <f>H26</f>
        <v>1-1-1-1</v>
      </c>
      <c r="S26" s="47" t="str">
        <f>I26</f>
        <v>2x15m</v>
      </c>
      <c r="T26" s="48"/>
    </row>
    <row r="27" spans="2:23" s="2" customFormat="1" ht="4.9000000000000004" customHeight="1" thickBot="1" x14ac:dyDescent="0.3">
      <c r="B27" s="73"/>
      <c r="Q27" s="49"/>
      <c r="R27" s="49"/>
      <c r="S27" s="49"/>
      <c r="T27" s="74"/>
    </row>
    <row r="28" spans="2:23" s="1" customFormat="1" ht="19.899999999999999" customHeight="1" x14ac:dyDescent="0.25">
      <c r="B28" s="9">
        <v>4</v>
      </c>
      <c r="C28" s="560" t="s">
        <v>260</v>
      </c>
      <c r="D28" s="560"/>
      <c r="E28" s="561"/>
      <c r="G28" s="21"/>
      <c r="H28" s="22" t="s">
        <v>888</v>
      </c>
      <c r="I28" s="22" t="s">
        <v>7</v>
      </c>
      <c r="J28" s="23"/>
      <c r="L28" s="21"/>
      <c r="M28" s="22" t="str">
        <f t="shared" ref="M28:M30" si="2">H28</f>
        <v>3-1-1-0</v>
      </c>
      <c r="N28" s="22" t="str">
        <f>I28</f>
        <v>1x20</v>
      </c>
      <c r="O28" s="23"/>
      <c r="Q28" s="50"/>
      <c r="R28" s="52" t="str">
        <f t="shared" ref="R28:R30" si="3">H28</f>
        <v>3-1-1-0</v>
      </c>
      <c r="S28" s="52" t="str">
        <f>I28</f>
        <v>1x20</v>
      </c>
      <c r="T28" s="53"/>
    </row>
    <row r="29" spans="2:23" s="1" customFormat="1" ht="19.899999999999999" customHeight="1" x14ac:dyDescent="0.25">
      <c r="B29" s="3">
        <v>5</v>
      </c>
      <c r="C29" s="567" t="s">
        <v>775</v>
      </c>
      <c r="D29" s="567"/>
      <c r="E29" s="568"/>
      <c r="G29" s="27"/>
      <c r="H29" s="28" t="s">
        <v>889</v>
      </c>
      <c r="I29" s="28" t="s">
        <v>7</v>
      </c>
      <c r="J29" s="29"/>
      <c r="L29" s="27"/>
      <c r="M29" s="28" t="str">
        <f t="shared" si="2"/>
        <v>3-1-1-1</v>
      </c>
      <c r="N29" s="28" t="str">
        <f>I29</f>
        <v>1x20</v>
      </c>
      <c r="O29" s="29"/>
      <c r="Q29" s="54"/>
      <c r="R29" s="56" t="str">
        <f t="shared" si="3"/>
        <v>3-1-1-1</v>
      </c>
      <c r="S29" s="28" t="str">
        <f>I29</f>
        <v>1x20</v>
      </c>
      <c r="T29" s="57"/>
    </row>
    <row r="30" spans="2:23" s="1" customFormat="1" ht="19.899999999999999" customHeight="1" thickBot="1" x14ac:dyDescent="0.3">
      <c r="B30" s="4">
        <v>6</v>
      </c>
      <c r="C30" s="565" t="s">
        <v>59</v>
      </c>
      <c r="D30" s="565"/>
      <c r="E30" s="566"/>
      <c r="G30" s="24"/>
      <c r="H30" s="25" t="s">
        <v>890</v>
      </c>
      <c r="I30" s="25" t="s">
        <v>754</v>
      </c>
      <c r="J30" s="26"/>
      <c r="L30" s="24"/>
      <c r="M30" s="25" t="str">
        <f t="shared" si="2"/>
        <v>2-1-1-0</v>
      </c>
      <c r="N30" s="25" t="str">
        <f>I30</f>
        <v>3x5 ea</v>
      </c>
      <c r="O30" s="26"/>
      <c r="Q30" s="46"/>
      <c r="R30" s="47" t="str">
        <f t="shared" si="3"/>
        <v>2-1-1-0</v>
      </c>
      <c r="S30" s="47" t="str">
        <f>I30</f>
        <v>3x5 ea</v>
      </c>
      <c r="T30" s="48"/>
    </row>
    <row r="31" spans="2:23" s="1" customFormat="1" ht="5.0999999999999996" customHeight="1" thickBot="1" x14ac:dyDescent="0.3">
      <c r="B31" s="4"/>
      <c r="C31" s="66"/>
      <c r="D31" s="66"/>
      <c r="E31" s="113"/>
      <c r="G31" s="4"/>
      <c r="H31" s="66"/>
      <c r="I31" s="66"/>
      <c r="J31" s="66"/>
      <c r="L31" s="66"/>
      <c r="M31" s="66"/>
      <c r="N31" s="66"/>
      <c r="O31" s="66"/>
      <c r="Q31" s="115"/>
      <c r="R31" s="115"/>
      <c r="S31" s="115"/>
      <c r="T31" s="116"/>
    </row>
    <row r="32" spans="2:23" s="2" customFormat="1" ht="18" customHeight="1" thickBot="1" x14ac:dyDescent="0.3">
      <c r="B32" s="635" t="s">
        <v>872</v>
      </c>
      <c r="C32" s="636"/>
      <c r="D32" s="636"/>
      <c r="E32" s="637"/>
      <c r="F32" s="114"/>
      <c r="G32" s="517" t="s">
        <v>880</v>
      </c>
      <c r="H32" s="518" t="s">
        <v>9</v>
      </c>
      <c r="I32" s="518" t="s">
        <v>897</v>
      </c>
      <c r="J32" s="519" t="s">
        <v>880</v>
      </c>
      <c r="K32" s="1"/>
      <c r="L32" s="517" t="s">
        <v>880</v>
      </c>
      <c r="M32" s="518" t="s">
        <v>9</v>
      </c>
      <c r="N32" s="518" t="str">
        <f>I32</f>
        <v>SxR/RPE 8-9</v>
      </c>
      <c r="O32" s="519" t="s">
        <v>880</v>
      </c>
      <c r="P32" s="1"/>
      <c r="Q32" s="517" t="s">
        <v>880</v>
      </c>
      <c r="R32" s="518" t="s">
        <v>9</v>
      </c>
      <c r="S32" s="518" t="str">
        <f>I32</f>
        <v>SxR/RPE 8-9</v>
      </c>
      <c r="T32" s="519" t="s">
        <v>880</v>
      </c>
    </row>
    <row r="33" spans="2:20" s="1" customFormat="1" ht="19.899999999999999" customHeight="1" x14ac:dyDescent="0.25">
      <c r="B33" s="9">
        <v>7</v>
      </c>
      <c r="C33" s="560" t="s">
        <v>262</v>
      </c>
      <c r="D33" s="560"/>
      <c r="E33" s="561"/>
      <c r="G33" s="21"/>
      <c r="H33" s="22" t="s">
        <v>889</v>
      </c>
      <c r="I33" s="22" t="s">
        <v>7</v>
      </c>
      <c r="J33" s="23"/>
      <c r="L33" s="21"/>
      <c r="M33" s="22" t="str">
        <f>H33</f>
        <v>3-1-1-1</v>
      </c>
      <c r="N33" s="22" t="str">
        <f>I33</f>
        <v>1x20</v>
      </c>
      <c r="O33" s="23"/>
      <c r="Q33" s="50"/>
      <c r="R33" s="52" t="str">
        <f>H33</f>
        <v>3-1-1-1</v>
      </c>
      <c r="S33" s="52" t="str">
        <f>I33</f>
        <v>1x20</v>
      </c>
      <c r="T33" s="53"/>
    </row>
    <row r="34" spans="2:20" s="1" customFormat="1" ht="19.899999999999999" customHeight="1" x14ac:dyDescent="0.25">
      <c r="B34" s="3">
        <v>8</v>
      </c>
      <c r="C34" s="567" t="s">
        <v>265</v>
      </c>
      <c r="D34" s="567"/>
      <c r="E34" s="568"/>
      <c r="G34" s="27"/>
      <c r="H34" s="28" t="s">
        <v>890</v>
      </c>
      <c r="I34" s="28" t="s">
        <v>7</v>
      </c>
      <c r="J34" s="29"/>
      <c r="L34" s="27"/>
      <c r="M34" s="28" t="str">
        <f>H34</f>
        <v>2-1-1-0</v>
      </c>
      <c r="N34" s="28" t="str">
        <f>I34</f>
        <v>1x20</v>
      </c>
      <c r="O34" s="29"/>
      <c r="Q34" s="54"/>
      <c r="R34" s="56" t="str">
        <f>H34</f>
        <v>2-1-1-0</v>
      </c>
      <c r="S34" s="28" t="str">
        <f>I34</f>
        <v>1x20</v>
      </c>
      <c r="T34" s="57"/>
    </row>
    <row r="35" spans="2:20" s="1" customFormat="1" ht="19.899999999999999" customHeight="1" thickBot="1" x14ac:dyDescent="0.3">
      <c r="B35" s="4">
        <v>9</v>
      </c>
      <c r="C35" s="565" t="s">
        <v>776</v>
      </c>
      <c r="D35" s="565"/>
      <c r="E35" s="566"/>
      <c r="G35" s="24"/>
      <c r="H35" s="25" t="s">
        <v>890</v>
      </c>
      <c r="I35" s="25" t="s">
        <v>715</v>
      </c>
      <c r="J35" s="26"/>
      <c r="L35" s="24"/>
      <c r="M35" s="25" t="str">
        <f>H35</f>
        <v>2-1-1-0</v>
      </c>
      <c r="N35" s="25" t="str">
        <f>I35</f>
        <v>3x10s ea</v>
      </c>
      <c r="O35" s="26"/>
      <c r="Q35" s="46"/>
      <c r="R35" s="47" t="str">
        <f>H35</f>
        <v>2-1-1-0</v>
      </c>
      <c r="S35" s="47" t="str">
        <f>I35</f>
        <v>3x10s ea</v>
      </c>
      <c r="T35" s="48"/>
    </row>
    <row r="36" spans="2:20" s="2" customFormat="1" ht="4.9000000000000004" customHeight="1" thickBot="1" x14ac:dyDescent="0.3">
      <c r="B36" s="73"/>
      <c r="H36" s="1"/>
      <c r="Q36" s="49"/>
      <c r="R36" s="49"/>
      <c r="S36" s="49"/>
      <c r="T36" s="74"/>
    </row>
    <row r="37" spans="2:20" s="1" customFormat="1" ht="19.899999999999999" customHeight="1" x14ac:dyDescent="0.25">
      <c r="B37" s="9">
        <v>10</v>
      </c>
      <c r="C37" s="560" t="s">
        <v>263</v>
      </c>
      <c r="D37" s="560"/>
      <c r="E37" s="561"/>
      <c r="G37" s="21"/>
      <c r="H37" s="22" t="s">
        <v>890</v>
      </c>
      <c r="I37" s="22" t="s">
        <v>7</v>
      </c>
      <c r="J37" s="23"/>
      <c r="L37" s="21"/>
      <c r="M37" s="22" t="str">
        <f t="shared" ref="M37:M39" si="4">H37</f>
        <v>2-1-1-0</v>
      </c>
      <c r="N37" s="22" t="str">
        <f>I37</f>
        <v>1x20</v>
      </c>
      <c r="O37" s="23"/>
      <c r="Q37" s="21"/>
      <c r="R37" s="22" t="str">
        <f t="shared" ref="R37:R39" si="5">H37</f>
        <v>2-1-1-0</v>
      </c>
      <c r="S37" s="52" t="str">
        <f>I37</f>
        <v>1x20</v>
      </c>
      <c r="T37" s="23"/>
    </row>
    <row r="38" spans="2:20" s="1" customFormat="1" ht="19.899999999999999" customHeight="1" x14ac:dyDescent="0.25">
      <c r="B38" s="3">
        <v>11</v>
      </c>
      <c r="C38" s="567" t="s">
        <v>514</v>
      </c>
      <c r="D38" s="567"/>
      <c r="E38" s="568"/>
      <c r="G38" s="27"/>
      <c r="H38" s="28" t="s">
        <v>911</v>
      </c>
      <c r="I38" s="28" t="s">
        <v>7</v>
      </c>
      <c r="J38" s="29"/>
      <c r="L38" s="27"/>
      <c r="M38" s="28" t="str">
        <f t="shared" si="4"/>
        <v>5-0-3-0</v>
      </c>
      <c r="N38" s="28" t="str">
        <f>I38</f>
        <v>1x20</v>
      </c>
      <c r="O38" s="29"/>
      <c r="Q38" s="27"/>
      <c r="R38" s="28" t="str">
        <f t="shared" si="5"/>
        <v>5-0-3-0</v>
      </c>
      <c r="S38" s="28" t="str">
        <f>I38</f>
        <v>1x20</v>
      </c>
      <c r="T38" s="29"/>
    </row>
    <row r="39" spans="2:20" s="1" customFormat="1" ht="19.899999999999999" customHeight="1" thickBot="1" x14ac:dyDescent="0.3">
      <c r="B39" s="4">
        <v>12</v>
      </c>
      <c r="C39" s="565" t="s">
        <v>698</v>
      </c>
      <c r="D39" s="565"/>
      <c r="E39" s="566"/>
      <c r="G39" s="24"/>
      <c r="H39" s="25" t="s">
        <v>889</v>
      </c>
      <c r="I39" s="25" t="s">
        <v>7</v>
      </c>
      <c r="J39" s="26"/>
      <c r="L39" s="24"/>
      <c r="M39" s="25" t="str">
        <f t="shared" si="4"/>
        <v>3-1-1-1</v>
      </c>
      <c r="N39" s="25" t="str">
        <f>I39</f>
        <v>1x20</v>
      </c>
      <c r="O39" s="26"/>
      <c r="Q39" s="46"/>
      <c r="R39" s="47" t="str">
        <f t="shared" si="5"/>
        <v>3-1-1-1</v>
      </c>
      <c r="S39" s="47" t="str">
        <f>I39</f>
        <v>1x20</v>
      </c>
      <c r="T39" s="48"/>
    </row>
    <row r="40" spans="2:20" s="1" customFormat="1" ht="5.0999999999999996" customHeight="1" thickBot="1" x14ac:dyDescent="0.3">
      <c r="B40" s="4"/>
      <c r="C40" s="66"/>
      <c r="D40" s="66"/>
      <c r="E40" s="113"/>
      <c r="G40" s="4"/>
      <c r="H40" s="66"/>
      <c r="I40" s="66"/>
      <c r="J40" s="66"/>
      <c r="L40" s="66"/>
      <c r="M40" s="66"/>
      <c r="N40" s="66"/>
      <c r="O40" s="66"/>
      <c r="Q40" s="115"/>
      <c r="R40" s="115"/>
      <c r="S40" s="115"/>
      <c r="T40" s="116"/>
    </row>
    <row r="41" spans="2:20" s="2" customFormat="1" ht="18" customHeight="1" thickBot="1" x14ac:dyDescent="0.3">
      <c r="B41" s="638" t="s">
        <v>876</v>
      </c>
      <c r="C41" s="639"/>
      <c r="D41" s="639"/>
      <c r="E41" s="640"/>
      <c r="G41" s="520" t="s">
        <v>880</v>
      </c>
      <c r="H41" s="521" t="s">
        <v>9</v>
      </c>
      <c r="I41" s="521" t="s">
        <v>901</v>
      </c>
      <c r="J41" s="522" t="s">
        <v>880</v>
      </c>
      <c r="K41" s="523"/>
      <c r="L41" s="520" t="str">
        <f>G41</f>
        <v>GEWICHT</v>
      </c>
      <c r="M41" s="521" t="s">
        <v>9</v>
      </c>
      <c r="N41" s="521" t="str">
        <f>I41</f>
        <v>SxR/RPE 9</v>
      </c>
      <c r="O41" s="522" t="s">
        <v>880</v>
      </c>
      <c r="P41" s="523"/>
      <c r="Q41" s="520" t="str">
        <f>L41</f>
        <v>GEWICHT</v>
      </c>
      <c r="R41" s="521" t="s">
        <v>9</v>
      </c>
      <c r="S41" s="521" t="str">
        <f>I41</f>
        <v>SxR/RPE 9</v>
      </c>
      <c r="T41" s="522" t="s">
        <v>880</v>
      </c>
    </row>
    <row r="42" spans="2:20" s="1" customFormat="1" ht="19.899999999999999" customHeight="1" x14ac:dyDescent="0.25">
      <c r="B42" s="9">
        <v>13</v>
      </c>
      <c r="C42" s="560" t="s">
        <v>208</v>
      </c>
      <c r="D42" s="560"/>
      <c r="E42" s="561"/>
      <c r="G42" s="21"/>
      <c r="H42" s="22" t="s">
        <v>900</v>
      </c>
      <c r="I42" s="22" t="s">
        <v>721</v>
      </c>
      <c r="J42" s="23"/>
      <c r="L42" s="21"/>
      <c r="M42" s="22" t="str">
        <f>H42</f>
        <v>ISO</v>
      </c>
      <c r="N42" s="22" t="str">
        <f>I42</f>
        <v>1x75s</v>
      </c>
      <c r="O42" s="23"/>
      <c r="Q42" s="21"/>
      <c r="R42" s="22" t="str">
        <f>H42</f>
        <v>ISO</v>
      </c>
      <c r="S42" s="22" t="str">
        <f>N42</f>
        <v>1x75s</v>
      </c>
      <c r="T42" s="23"/>
    </row>
    <row r="43" spans="2:20" s="1" customFormat="1" ht="19.899999999999999" customHeight="1" x14ac:dyDescent="0.25">
      <c r="B43" s="3">
        <v>14</v>
      </c>
      <c r="C43" s="567" t="s">
        <v>515</v>
      </c>
      <c r="D43" s="567"/>
      <c r="E43" s="568"/>
      <c r="G43" s="27"/>
      <c r="H43" s="28" t="s">
        <v>900</v>
      </c>
      <c r="I43" s="28" t="s">
        <v>721</v>
      </c>
      <c r="J43" s="29"/>
      <c r="L43" s="27"/>
      <c r="M43" s="28" t="str">
        <f>H43</f>
        <v>ISO</v>
      </c>
      <c r="N43" s="28" t="str">
        <f>I43</f>
        <v>1x75s</v>
      </c>
      <c r="O43" s="29"/>
      <c r="Q43" s="27"/>
      <c r="R43" s="28" t="str">
        <f>H43</f>
        <v>ISO</v>
      </c>
      <c r="S43" s="28" t="str">
        <f>N43</f>
        <v>1x75s</v>
      </c>
      <c r="T43" s="29"/>
    </row>
    <row r="44" spans="2:20" s="1" customFormat="1" ht="19.899999999999999" customHeight="1" thickBot="1" x14ac:dyDescent="0.3">
      <c r="B44" s="4">
        <v>15</v>
      </c>
      <c r="C44" s="571" t="s">
        <v>353</v>
      </c>
      <c r="D44" s="571"/>
      <c r="E44" s="572"/>
      <c r="F44" s="66"/>
      <c r="G44" s="24"/>
      <c r="H44" s="25" t="s">
        <v>900</v>
      </c>
      <c r="I44" s="25" t="s">
        <v>721</v>
      </c>
      <c r="J44" s="26"/>
      <c r="K44" s="66"/>
      <c r="L44" s="24"/>
      <c r="M44" s="25" t="str">
        <f>H44</f>
        <v>ISO</v>
      </c>
      <c r="N44" s="25" t="str">
        <f>I44</f>
        <v>1x75s</v>
      </c>
      <c r="O44" s="26"/>
      <c r="P44" s="66"/>
      <c r="Q44" s="24"/>
      <c r="R44" s="25" t="str">
        <f>H44</f>
        <v>ISO</v>
      </c>
      <c r="S44" s="25" t="str">
        <f>N44</f>
        <v>1x75s</v>
      </c>
      <c r="T44" s="26"/>
    </row>
  </sheetData>
  <mergeCells count="43">
    <mergeCell ref="O2:T7"/>
    <mergeCell ref="M10:N10"/>
    <mergeCell ref="B12:T12"/>
    <mergeCell ref="B13:D13"/>
    <mergeCell ref="E13:F13"/>
    <mergeCell ref="G13:I13"/>
    <mergeCell ref="J13:M13"/>
    <mergeCell ref="N13:Q13"/>
    <mergeCell ref="R13:T13"/>
    <mergeCell ref="G16:T16"/>
    <mergeCell ref="H17:I17"/>
    <mergeCell ref="M17:N17"/>
    <mergeCell ref="R17:S17"/>
    <mergeCell ref="N15:Q15"/>
    <mergeCell ref="R15:T15"/>
    <mergeCell ref="C44:E44"/>
    <mergeCell ref="C39:E39"/>
    <mergeCell ref="C26:E26"/>
    <mergeCell ref="C28:E28"/>
    <mergeCell ref="C29:E29"/>
    <mergeCell ref="C30:E30"/>
    <mergeCell ref="B32:E32"/>
    <mergeCell ref="C33:E33"/>
    <mergeCell ref="C34:E34"/>
    <mergeCell ref="C35:E35"/>
    <mergeCell ref="C37:E37"/>
    <mergeCell ref="C38:E38"/>
    <mergeCell ref="B14:T14"/>
    <mergeCell ref="B41:E41"/>
    <mergeCell ref="C42:E42"/>
    <mergeCell ref="C43:E43"/>
    <mergeCell ref="C19:E19"/>
    <mergeCell ref="C20:E20"/>
    <mergeCell ref="C21:E21"/>
    <mergeCell ref="B23:E23"/>
    <mergeCell ref="C24:E24"/>
    <mergeCell ref="C25:E25"/>
    <mergeCell ref="B18:E18"/>
    <mergeCell ref="B15:D15"/>
    <mergeCell ref="E15:F15"/>
    <mergeCell ref="G15:I15"/>
    <mergeCell ref="J15:M15"/>
    <mergeCell ref="B16:E17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6744F3E7-43ED-4D4B-A1D5-547C70381071}">
          <x14:formula1>
            <xm:f>' Unterkörper Progressionen '!$Z$2:$Z$17</xm:f>
          </x14:formula1>
          <xm:sqref>N29 S38 S34 N34 N38 S29</xm:sqref>
        </x14:dataValidation>
        <x14:dataValidation type="list" allowBlank="1" showInputMessage="1" showErrorMessage="1" xr:uid="{006A6188-EBC4-4BAF-87D6-8AE27A6FDB32}">
          <x14:formula1>
            <xm:f>'Oberkörper Progressionen '!$Q:$Q</xm:f>
          </x14:formula1>
          <xm:sqref>C43:E43</xm:sqref>
        </x14:dataValidation>
        <x14:dataValidation type="list" allowBlank="1" showInputMessage="1" showErrorMessage="1" xr:uid="{5E17679E-D1D5-44D4-B58E-3FEBBDA28926}">
          <x14:formula1>
            <xm:f>'Oberkörper Progressionen '!$B:$B</xm:f>
          </x14:formula1>
          <xm:sqref>C19:E19</xm:sqref>
        </x14:dataValidation>
        <x14:dataValidation type="list" allowBlank="1" showInputMessage="1" showErrorMessage="1" xr:uid="{31444229-DC0D-40D7-82DA-9DBBD004F845}">
          <x14:formula1>
            <xm:f>'Oberkörper Progressionen '!$E:$E</xm:f>
          </x14:formula1>
          <xm:sqref>C24:E24</xm:sqref>
        </x14:dataValidation>
        <x14:dataValidation type="list" allowBlank="1" showInputMessage="1" showErrorMessage="1" xr:uid="{DEA7C5BF-F5D9-4E73-B953-A2C4521A0E74}">
          <x14:formula1>
            <xm:f>'Oberkörper Progressionen '!$F:$F</xm:f>
          </x14:formula1>
          <xm:sqref>C25:E25</xm:sqref>
        </x14:dataValidation>
        <x14:dataValidation type="list" allowBlank="1" showInputMessage="1" showErrorMessage="1" xr:uid="{42625D51-F15A-4403-BDDB-4465512249BD}">
          <x14:formula1>
            <xm:f>'Oberkörper Progressionen '!$N:$N</xm:f>
          </x14:formula1>
          <xm:sqref>C26:E26</xm:sqref>
        </x14:dataValidation>
        <x14:dataValidation type="list" allowBlank="1" showInputMessage="1" showErrorMessage="1" xr:uid="{59742B09-18C5-4F05-B724-23BA1B1A5FC2}">
          <x14:formula1>
            <xm:f>'Oberkörper Progressionen '!$H:$H</xm:f>
          </x14:formula1>
          <xm:sqref>C28:E28</xm:sqref>
        </x14:dataValidation>
        <x14:dataValidation type="list" allowBlank="1" showInputMessage="1" showErrorMessage="1" xr:uid="{764F9A64-6F0E-4F8B-A0B0-CDD25E6A7F9B}">
          <x14:formula1>
            <xm:f>'Oberkörper Progressionen '!$I:$I</xm:f>
          </x14:formula1>
          <xm:sqref>C29:E29</xm:sqref>
        </x14:dataValidation>
        <x14:dataValidation type="list" allowBlank="1" showInputMessage="1" showErrorMessage="1" xr:uid="{F7A499C3-BCCF-4C2D-A506-08672D435C19}">
          <x14:formula1>
            <xm:f>'Oberkörper Progressionen '!$G:$G</xm:f>
          </x14:formula1>
          <xm:sqref>C30:E31</xm:sqref>
        </x14:dataValidation>
        <x14:dataValidation type="list" allowBlank="1" showInputMessage="1" showErrorMessage="1" xr:uid="{5499ED42-6CBA-467B-9747-47F31A68D707}">
          <x14:formula1>
            <xm:f>'Oberkörper Progressionen '!$L:$L</xm:f>
          </x14:formula1>
          <xm:sqref>C33:E33</xm:sqref>
        </x14:dataValidation>
        <x14:dataValidation type="list" allowBlank="1" showInputMessage="1" showErrorMessage="1" xr:uid="{99720C32-0D78-482F-8166-5ED94511B801}">
          <x14:formula1>
            <xm:f>'Oberkörper Progressionen '!$M:$M</xm:f>
          </x14:formula1>
          <xm:sqref>C34:E34</xm:sqref>
        </x14:dataValidation>
        <x14:dataValidation type="list" allowBlank="1" showInputMessage="1" showErrorMessage="1" xr:uid="{B9598EF2-D848-4F0C-B745-1657F44AD687}">
          <x14:formula1>
            <xm:f>'Oberkörper Progressionen '!$J:$J</xm:f>
          </x14:formula1>
          <xm:sqref>C35:E35</xm:sqref>
        </x14:dataValidation>
        <x14:dataValidation type="list" allowBlank="1" showInputMessage="1" showErrorMessage="1" xr:uid="{D3B32ECF-DCF7-4C41-83DF-8762B53A33FB}">
          <x14:formula1>
            <xm:f>'Oberkörper Progressionen '!$O:$O</xm:f>
          </x14:formula1>
          <xm:sqref>C37:E37</xm:sqref>
        </x14:dataValidation>
        <x14:dataValidation type="list" allowBlank="1" showInputMessage="1" showErrorMessage="1" xr:uid="{775511CB-26C3-400C-A643-626A89DC3233}">
          <x14:formula1>
            <xm:f>'Oberkörper Progressionen '!$P:$P</xm:f>
          </x14:formula1>
          <xm:sqref>C38:E38</xm:sqref>
        </x14:dataValidation>
        <x14:dataValidation type="list" allowBlank="1" showInputMessage="1" showErrorMessage="1" xr:uid="{0A9A58C7-38E5-43C4-A397-E5D3AA77F580}">
          <x14:formula1>
            <xm:f>'Oberkörper Progressionen '!$K:$K</xm:f>
          </x14:formula1>
          <xm:sqref>C39:E40</xm:sqref>
        </x14:dataValidation>
        <x14:dataValidation type="list" allowBlank="1" showInputMessage="1" showErrorMessage="1" xr:uid="{7294D5AF-7A55-484E-BD27-57438995497D}">
          <x14:formula1>
            <xm:f>'Oberkörper Progressionen '!$R:$R</xm:f>
          </x14:formula1>
          <xm:sqref>C42:E42</xm:sqref>
        </x14:dataValidation>
        <x14:dataValidation type="list" allowBlank="1" showInputMessage="1" showErrorMessage="1" xr:uid="{F6A97123-608F-4641-B679-1F86E239043A}">
          <x14:formula1>
            <xm:f>'Oberkörper Progressionen '!$S:$S</xm:f>
          </x14:formula1>
          <xm:sqref>C44:E44</xm:sqref>
        </x14:dataValidation>
        <x14:dataValidation type="list" allowBlank="1" showInputMessage="1" showErrorMessage="1" xr:uid="{7AB0D6BD-2F43-4A11-8790-55CA5EB91B6E}">
          <x14:formula1>
            <xm:f>'Oberkörper Progressionen '!$C:$C</xm:f>
          </x14:formula1>
          <xm:sqref>C20:E20</xm:sqref>
        </x14:dataValidation>
        <x14:dataValidation type="list" allowBlank="1" showInputMessage="1" showErrorMessage="1" xr:uid="{32183AE5-81E2-4678-AF54-82C3AAA6E1EE}">
          <x14:formula1>
            <xm:f>'Oberkörper Progressionen '!$D:$D</xm:f>
          </x14:formula1>
          <xm:sqref>C21:E21</xm:sqref>
        </x14:dataValidation>
        <x14:dataValidation type="list" allowBlank="1" showInputMessage="1" showErrorMessage="1" xr:uid="{58636EB0-BA73-43BE-B72F-0EAE2D5F42F9}">
          <x14:formula1>
            <xm:f>' Unterkörper Progressionen '!$Z:$Z</xm:f>
          </x14:formula1>
          <xm:sqref>I42:I44 I24:I25 I28:I31 I33:I35 I37:I40</xm:sqref>
        </x14:dataValidation>
        <x14:dataValidation type="list" allowBlank="1" showInputMessage="1" showErrorMessage="1" xr:uid="{E1AC3DF5-774F-45FE-A050-586F3210C33F}">
          <x14:formula1>
            <xm:f>' Unterkörper Progressionen '!$AA:$AA</xm:f>
          </x14:formula1>
          <xm:sqref>J20:J21</xm:sqref>
        </x14:dataValidation>
        <x14:dataValidation type="list" allowBlank="1" showInputMessage="1" showErrorMessage="1" xr:uid="{50273E25-05A0-4393-B3CA-A72249BB7FB9}">
          <x14:formula1>
            <xm:f>' Unterkörper Progressionen '!$AC:$AC</xm:f>
          </x14:formula1>
          <xm:sqref>S32 S23 I23 N23 S41 N41 I41 I32 N32</xm:sqref>
        </x14:dataValidation>
        <x14:dataValidation type="list" allowBlank="1" showInputMessage="1" showErrorMessage="1" xr:uid="{44007C6B-04C6-4F7C-98C6-F6E5BC3BF048}">
          <x14:formula1>
            <xm:f>' Unterkörper Progressionen '!$AB:$AB</xm:f>
          </x14:formula1>
          <xm:sqref>H19:H21 H42:H44 H37:H39 H33:H35 H28:H30 H24:H26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5F3B-A8D5-4DE8-8321-A8EC0CB0F6FA}">
  <sheetPr>
    <pageSetUpPr fitToPage="1"/>
  </sheetPr>
  <dimension ref="B1:X54"/>
  <sheetViews>
    <sheetView topLeftCell="A20" zoomScaleNormal="100" workbookViewId="0">
      <selection activeCell="C39" sqref="C39:E39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ht="16.5" hidden="1" thickBot="1" x14ac:dyDescent="0.3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">
        <v>192</v>
      </c>
      <c r="C13" s="631"/>
      <c r="D13" s="631"/>
      <c r="E13" s="633" t="s">
        <v>740</v>
      </c>
      <c r="F13" s="634"/>
      <c r="G13" s="631" t="s">
        <v>40</v>
      </c>
      <c r="H13" s="631"/>
      <c r="I13" s="631"/>
      <c r="J13" s="631" t="s">
        <v>388</v>
      </c>
      <c r="K13" s="631"/>
      <c r="L13" s="631"/>
      <c r="M13" s="631"/>
      <c r="N13" s="631" t="s">
        <v>743</v>
      </c>
      <c r="O13" s="631"/>
      <c r="P13" s="631"/>
      <c r="Q13" s="631"/>
      <c r="R13" s="631" t="s">
        <v>350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">
        <v>685</v>
      </c>
      <c r="C15" s="553"/>
      <c r="D15" s="553"/>
      <c r="E15" s="625" t="s">
        <v>325</v>
      </c>
      <c r="F15" s="626"/>
      <c r="G15" s="553" t="s">
        <v>302</v>
      </c>
      <c r="H15" s="553"/>
      <c r="I15" s="553"/>
      <c r="J15" s="553" t="s">
        <v>342</v>
      </c>
      <c r="K15" s="553"/>
      <c r="L15" s="553"/>
      <c r="M15" s="553"/>
      <c r="N15" s="553" t="s">
        <v>680</v>
      </c>
      <c r="O15" s="553"/>
      <c r="P15" s="553"/>
      <c r="Q15" s="553"/>
      <c r="R15" s="553" t="s">
        <v>157</v>
      </c>
      <c r="S15" s="553"/>
      <c r="T15" s="556"/>
    </row>
    <row r="16" spans="2:23" ht="4.9000000000000004" hidden="1" customHeight="1" thickBot="1" x14ac:dyDescent="0.3"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2:24" ht="18" customHeight="1" thickBot="1" x14ac:dyDescent="0.3">
      <c r="B17" s="619" t="s">
        <v>370</v>
      </c>
      <c r="C17" s="620"/>
      <c r="D17" s="620"/>
      <c r="E17" s="621"/>
      <c r="F17" s="310"/>
      <c r="G17" s="589" t="s">
        <v>116</v>
      </c>
      <c r="H17" s="590"/>
      <c r="I17" s="590"/>
      <c r="J17" s="590"/>
      <c r="K17" s="590"/>
      <c r="L17" s="590"/>
      <c r="M17" s="590"/>
      <c r="N17" s="590"/>
      <c r="O17" s="590"/>
      <c r="P17" s="590"/>
      <c r="Q17" s="590"/>
      <c r="R17" s="590"/>
      <c r="S17" s="590"/>
      <c r="T17" s="591"/>
    </row>
    <row r="18" spans="2:24" ht="21.6" customHeight="1" thickBot="1" x14ac:dyDescent="0.3">
      <c r="B18" s="622"/>
      <c r="C18" s="623"/>
      <c r="D18" s="623"/>
      <c r="E18" s="624"/>
      <c r="F18" s="1"/>
      <c r="G18" s="70" t="s">
        <v>865</v>
      </c>
      <c r="H18" s="582" t="s">
        <v>877</v>
      </c>
      <c r="I18" s="583"/>
      <c r="J18" s="71" t="s">
        <v>866</v>
      </c>
      <c r="K18" s="64"/>
      <c r="L18" s="70" t="s">
        <v>867</v>
      </c>
      <c r="M18" s="582" t="s">
        <v>878</v>
      </c>
      <c r="N18" s="583"/>
      <c r="O18" s="71" t="s">
        <v>868</v>
      </c>
      <c r="P18" s="64"/>
      <c r="Q18" s="70" t="s">
        <v>869</v>
      </c>
      <c r="R18" s="595" t="s">
        <v>879</v>
      </c>
      <c r="S18" s="596"/>
      <c r="T18" s="71" t="s">
        <v>870</v>
      </c>
      <c r="W18" s="36"/>
      <c r="X18" s="1"/>
    </row>
    <row r="19" spans="2:24" ht="18" customHeight="1" thickBot="1" x14ac:dyDescent="0.3">
      <c r="B19" s="650" t="s">
        <v>8</v>
      </c>
      <c r="C19" s="651"/>
      <c r="D19" s="651"/>
      <c r="E19" s="652"/>
      <c r="F19" s="72"/>
      <c r="G19" s="529" t="s">
        <v>880</v>
      </c>
      <c r="H19" s="530" t="s">
        <v>9</v>
      </c>
      <c r="I19" s="530" t="s">
        <v>11</v>
      </c>
      <c r="J19" s="531" t="s">
        <v>880</v>
      </c>
      <c r="K19" s="1"/>
      <c r="L19" s="529" t="s">
        <v>9</v>
      </c>
      <c r="M19" s="530" t="s">
        <v>10</v>
      </c>
      <c r="N19" s="530" t="s">
        <v>11</v>
      </c>
      <c r="O19" s="531" t="s">
        <v>880</v>
      </c>
      <c r="P19" s="1"/>
      <c r="Q19" s="532" t="s">
        <v>9</v>
      </c>
      <c r="R19" s="533" t="s">
        <v>10</v>
      </c>
      <c r="S19" s="533" t="s">
        <v>11</v>
      </c>
      <c r="T19" s="534" t="s">
        <v>880</v>
      </c>
      <c r="W19" s="37"/>
      <c r="X19" s="1"/>
    </row>
    <row r="20" spans="2:24" s="1" customFormat="1" ht="19.899999999999999" customHeight="1" x14ac:dyDescent="0.25">
      <c r="B20" s="9">
        <v>1</v>
      </c>
      <c r="C20" s="560" t="s">
        <v>755</v>
      </c>
      <c r="D20" s="560"/>
      <c r="E20" s="561"/>
      <c r="G20" s="18"/>
      <c r="H20" s="22" t="s">
        <v>12</v>
      </c>
      <c r="I20" s="19" t="s">
        <v>14</v>
      </c>
      <c r="J20" s="20" t="s">
        <v>16</v>
      </c>
      <c r="L20" s="18" t="s">
        <v>12</v>
      </c>
      <c r="M20" s="19"/>
      <c r="N20" s="19" t="s">
        <v>14</v>
      </c>
      <c r="O20" s="20" t="s">
        <v>16</v>
      </c>
      <c r="Q20" s="43" t="s">
        <v>12</v>
      </c>
      <c r="R20" s="44"/>
      <c r="S20" s="44" t="s">
        <v>14</v>
      </c>
      <c r="T20" s="45" t="s">
        <v>16</v>
      </c>
      <c r="W20" s="36"/>
    </row>
    <row r="21" spans="2:24" s="1" customFormat="1" ht="19.899999999999999" customHeight="1" x14ac:dyDescent="0.25">
      <c r="B21" s="3">
        <v>2</v>
      </c>
      <c r="C21" s="567" t="s">
        <v>762</v>
      </c>
      <c r="D21" s="567"/>
      <c r="E21" s="568"/>
      <c r="G21" s="67"/>
      <c r="H21" s="28" t="s">
        <v>12</v>
      </c>
      <c r="I21" s="68" t="s">
        <v>14</v>
      </c>
      <c r="J21" s="69"/>
      <c r="L21" s="67" t="s">
        <v>12</v>
      </c>
      <c r="M21" s="68"/>
      <c r="N21" s="68" t="s">
        <v>14</v>
      </c>
      <c r="O21" s="69"/>
      <c r="Q21" s="75" t="s">
        <v>12</v>
      </c>
      <c r="R21" s="76"/>
      <c r="S21" s="76" t="s">
        <v>14</v>
      </c>
      <c r="T21" s="77"/>
      <c r="W21" s="36"/>
    </row>
    <row r="22" spans="2:24" s="1" customFormat="1" ht="19.899999999999999" customHeight="1" thickBot="1" x14ac:dyDescent="0.3">
      <c r="B22" s="4">
        <v>3</v>
      </c>
      <c r="C22" s="565" t="s">
        <v>764</v>
      </c>
      <c r="D22" s="565"/>
      <c r="E22" s="566"/>
      <c r="G22" s="24"/>
      <c r="H22" s="25" t="s">
        <v>12</v>
      </c>
      <c r="I22" s="25" t="s">
        <v>14</v>
      </c>
      <c r="J22" s="26"/>
      <c r="L22" s="24" t="s">
        <v>12</v>
      </c>
      <c r="M22" s="25"/>
      <c r="N22" s="25" t="s">
        <v>14</v>
      </c>
      <c r="O22" s="26"/>
      <c r="Q22" s="46" t="s">
        <v>12</v>
      </c>
      <c r="R22" s="47"/>
      <c r="S22" s="47" t="s">
        <v>14</v>
      </c>
      <c r="T22" s="48"/>
    </row>
    <row r="23" spans="2:24" s="2" customFormat="1" ht="4.9000000000000004" customHeight="1" thickBot="1" x14ac:dyDescent="0.3">
      <c r="B23" s="73"/>
      <c r="G23" s="1"/>
      <c r="H23" s="1"/>
      <c r="Q23" s="49"/>
      <c r="R23" s="49"/>
      <c r="S23" s="49"/>
      <c r="T23" s="74"/>
      <c r="X23" s="1"/>
    </row>
    <row r="24" spans="2:24" s="1" customFormat="1" ht="18" customHeight="1" thickBot="1" x14ac:dyDescent="0.3">
      <c r="B24" s="616" t="s">
        <v>882</v>
      </c>
      <c r="C24" s="617"/>
      <c r="D24" s="617"/>
      <c r="E24" s="618"/>
      <c r="G24" s="511" t="s">
        <v>880</v>
      </c>
      <c r="H24" s="512" t="s">
        <v>9</v>
      </c>
      <c r="I24" s="512" t="s">
        <v>897</v>
      </c>
      <c r="J24" s="513" t="s">
        <v>880</v>
      </c>
      <c r="L24" s="511" t="str">
        <f>G24</f>
        <v>GEWICHT</v>
      </c>
      <c r="M24" s="512" t="s">
        <v>9</v>
      </c>
      <c r="N24" s="512" t="str">
        <f>I24</f>
        <v>SxR/RPE 8-9</v>
      </c>
      <c r="O24" s="513" t="s">
        <v>880</v>
      </c>
      <c r="Q24" s="514" t="str">
        <f>L24</f>
        <v>GEWICHT</v>
      </c>
      <c r="R24" s="515" t="s">
        <v>9</v>
      </c>
      <c r="S24" s="512" t="str">
        <f>I24</f>
        <v>SxR/RPE 8-9</v>
      </c>
      <c r="T24" s="516" t="s">
        <v>880</v>
      </c>
    </row>
    <row r="25" spans="2:24" s="1" customFormat="1" ht="19.899999999999999" customHeight="1" x14ac:dyDescent="0.25">
      <c r="B25" s="9">
        <v>1</v>
      </c>
      <c r="C25" s="560" t="s">
        <v>407</v>
      </c>
      <c r="D25" s="560"/>
      <c r="E25" s="561"/>
      <c r="G25" s="21"/>
      <c r="H25" s="22" t="s">
        <v>888</v>
      </c>
      <c r="I25" s="28" t="s">
        <v>719</v>
      </c>
      <c r="J25" s="23"/>
      <c r="L25" s="21"/>
      <c r="M25" s="22" t="str">
        <f t="shared" ref="M25:M26" si="0">H25</f>
        <v>3-1-1-0</v>
      </c>
      <c r="N25" s="22" t="str">
        <f>I25</f>
        <v>1x15</v>
      </c>
      <c r="O25" s="23"/>
      <c r="Q25" s="50"/>
      <c r="R25" s="52" t="str">
        <f t="shared" ref="R25:R26" si="1">M25</f>
        <v>3-1-1-0</v>
      </c>
      <c r="S25" s="52" t="str">
        <f>N25</f>
        <v>1x15</v>
      </c>
      <c r="T25" s="53"/>
    </row>
    <row r="26" spans="2:24" s="1" customFormat="1" ht="19.899999999999999" customHeight="1" x14ac:dyDescent="0.25">
      <c r="B26" s="3">
        <v>2</v>
      </c>
      <c r="C26" s="567" t="s">
        <v>163</v>
      </c>
      <c r="D26" s="567"/>
      <c r="E26" s="568"/>
      <c r="G26" s="27"/>
      <c r="H26" s="28" t="s">
        <v>888</v>
      </c>
      <c r="I26" s="28" t="s">
        <v>719</v>
      </c>
      <c r="J26" s="29"/>
      <c r="L26" s="27"/>
      <c r="M26" s="28" t="str">
        <f t="shared" si="0"/>
        <v>3-1-1-0</v>
      </c>
      <c r="N26" s="28" t="str">
        <f>I26</f>
        <v>1x15</v>
      </c>
      <c r="O26" s="29"/>
      <c r="Q26" s="54"/>
      <c r="R26" s="56" t="str">
        <f t="shared" si="1"/>
        <v>3-1-1-0</v>
      </c>
      <c r="S26" s="56" t="str">
        <f>N26</f>
        <v>1x15</v>
      </c>
      <c r="T26" s="57"/>
    </row>
    <row r="27" spans="2:24" s="1" customFormat="1" ht="19.899999999999999" customHeight="1" thickBot="1" x14ac:dyDescent="0.3">
      <c r="B27" s="4">
        <v>3</v>
      </c>
      <c r="C27" s="565" t="s">
        <v>653</v>
      </c>
      <c r="D27" s="565"/>
      <c r="E27" s="566"/>
      <c r="G27" s="24"/>
      <c r="H27" s="25" t="s">
        <v>900</v>
      </c>
      <c r="I27" s="25" t="s">
        <v>14</v>
      </c>
      <c r="J27" s="26"/>
      <c r="L27" s="24"/>
      <c r="M27" s="25" t="str">
        <f>H27</f>
        <v>ISO</v>
      </c>
      <c r="N27" s="25" t="str">
        <f>I27</f>
        <v>3x5</v>
      </c>
      <c r="O27" s="26"/>
      <c r="Q27" s="46"/>
      <c r="R27" s="47" t="str">
        <f>H27</f>
        <v>ISO</v>
      </c>
      <c r="S27" s="47" t="str">
        <f>N27</f>
        <v>3x5</v>
      </c>
      <c r="T27" s="48"/>
    </row>
    <row r="28" spans="2:24" s="2" customFormat="1" ht="4.9000000000000004" customHeight="1" thickBot="1" x14ac:dyDescent="0.3">
      <c r="B28" s="73"/>
      <c r="G28" s="1"/>
      <c r="H28" s="1"/>
      <c r="L28" s="1"/>
      <c r="M28" s="1"/>
      <c r="Q28" s="547"/>
      <c r="R28" s="547"/>
      <c r="S28" s="49"/>
      <c r="T28" s="74"/>
    </row>
    <row r="29" spans="2:24" s="1" customFormat="1" ht="19.899999999999999" customHeight="1" x14ac:dyDescent="0.25">
      <c r="B29" s="9">
        <v>4</v>
      </c>
      <c r="C29" s="560" t="s">
        <v>693</v>
      </c>
      <c r="D29" s="560"/>
      <c r="E29" s="561"/>
      <c r="G29" s="21"/>
      <c r="H29" s="22" t="s">
        <v>888</v>
      </c>
      <c r="I29" s="22" t="s">
        <v>719</v>
      </c>
      <c r="J29" s="23"/>
      <c r="L29" s="21"/>
      <c r="M29" s="22" t="str">
        <f t="shared" ref="M29:M30" si="2">H29</f>
        <v>3-1-1-0</v>
      </c>
      <c r="N29" s="22" t="str">
        <f>I29</f>
        <v>1x15</v>
      </c>
      <c r="O29" s="23"/>
      <c r="Q29" s="50"/>
      <c r="R29" s="52" t="str">
        <f>H29</f>
        <v>3-1-1-0</v>
      </c>
      <c r="S29" s="52" t="str">
        <f>N29</f>
        <v>1x15</v>
      </c>
      <c r="T29" s="53"/>
    </row>
    <row r="30" spans="2:24" s="1" customFormat="1" ht="19.899999999999999" customHeight="1" x14ac:dyDescent="0.25">
      <c r="B30" s="3">
        <v>5</v>
      </c>
      <c r="C30" s="567" t="s">
        <v>474</v>
      </c>
      <c r="D30" s="567"/>
      <c r="E30" s="568"/>
      <c r="G30" s="27"/>
      <c r="H30" s="28" t="s">
        <v>889</v>
      </c>
      <c r="I30" s="28" t="s">
        <v>719</v>
      </c>
      <c r="J30" s="29"/>
      <c r="L30" s="27"/>
      <c r="M30" s="28" t="str">
        <f t="shared" si="2"/>
        <v>3-1-1-1</v>
      </c>
      <c r="N30" s="28" t="str">
        <f>I30</f>
        <v>1x15</v>
      </c>
      <c r="O30" s="29"/>
      <c r="Q30" s="54"/>
      <c r="R30" s="56" t="str">
        <f>H29</f>
        <v>3-1-1-0</v>
      </c>
      <c r="S30" s="28" t="str">
        <f>N30</f>
        <v>1x15</v>
      </c>
      <c r="T30" s="57"/>
    </row>
    <row r="31" spans="2:24" s="1" customFormat="1" ht="19.899999999999999" customHeight="1" thickBot="1" x14ac:dyDescent="0.3">
      <c r="B31" s="4">
        <v>6</v>
      </c>
      <c r="C31" s="565" t="s">
        <v>80</v>
      </c>
      <c r="D31" s="565"/>
      <c r="E31" s="566"/>
      <c r="G31" s="24"/>
      <c r="H31" s="25" t="s">
        <v>900</v>
      </c>
      <c r="I31" s="25" t="s">
        <v>715</v>
      </c>
      <c r="J31" s="26"/>
      <c r="L31" s="24"/>
      <c r="M31" s="25" t="str">
        <f>H31</f>
        <v>ISO</v>
      </c>
      <c r="N31" s="25" t="str">
        <f>I31</f>
        <v>3x10s ea</v>
      </c>
      <c r="O31" s="26"/>
      <c r="Q31" s="46"/>
      <c r="R31" s="47" t="str">
        <f>H31</f>
        <v>ISO</v>
      </c>
      <c r="S31" s="47" t="str">
        <f>N31</f>
        <v>3x10s ea</v>
      </c>
      <c r="T31" s="48"/>
    </row>
    <row r="32" spans="2:24" s="1" customFormat="1" ht="5.0999999999999996" customHeight="1" thickBot="1" x14ac:dyDescent="0.3">
      <c r="B32" s="4"/>
      <c r="C32" s="66"/>
      <c r="D32" s="66"/>
      <c r="E32" s="113"/>
      <c r="G32" s="4"/>
      <c r="H32" s="66"/>
      <c r="I32" s="66"/>
      <c r="J32" s="66"/>
      <c r="L32" s="66"/>
      <c r="M32" s="66"/>
      <c r="N32" s="66"/>
      <c r="O32" s="66"/>
      <c r="Q32" s="115"/>
      <c r="R32" s="115"/>
      <c r="S32" s="115"/>
      <c r="T32" s="116"/>
    </row>
    <row r="33" spans="2:22" s="2" customFormat="1" ht="18" customHeight="1" thickBot="1" x14ac:dyDescent="0.3">
      <c r="B33" s="610" t="s">
        <v>883</v>
      </c>
      <c r="C33" s="611"/>
      <c r="D33" s="611"/>
      <c r="E33" s="612"/>
      <c r="F33" s="64"/>
      <c r="G33" s="541" t="s">
        <v>880</v>
      </c>
      <c r="H33" s="542" t="s">
        <v>9</v>
      </c>
      <c r="I33" s="542" t="s">
        <v>897</v>
      </c>
      <c r="J33" s="543" t="s">
        <v>880</v>
      </c>
      <c r="K33" s="1"/>
      <c r="L33" s="541" t="s">
        <v>880</v>
      </c>
      <c r="M33" s="542" t="s">
        <v>9</v>
      </c>
      <c r="N33" s="542" t="str">
        <f>I33</f>
        <v>SxR/RPE 8-9</v>
      </c>
      <c r="O33" s="543" t="s">
        <v>880</v>
      </c>
      <c r="P33" s="1"/>
      <c r="Q33" s="541" t="s">
        <v>880</v>
      </c>
      <c r="R33" s="542" t="s">
        <v>9</v>
      </c>
      <c r="S33" s="542" t="str">
        <f>I33</f>
        <v>SxR/RPE 8-9</v>
      </c>
      <c r="T33" s="543" t="s">
        <v>880</v>
      </c>
    </row>
    <row r="34" spans="2:22" s="1" customFormat="1" ht="19.899999999999999" customHeight="1" x14ac:dyDescent="0.25">
      <c r="B34" s="9">
        <v>7</v>
      </c>
      <c r="C34" s="560" t="s">
        <v>468</v>
      </c>
      <c r="D34" s="560"/>
      <c r="E34" s="561"/>
      <c r="G34" s="21"/>
      <c r="H34" s="22" t="s">
        <v>889</v>
      </c>
      <c r="I34" s="22" t="s">
        <v>719</v>
      </c>
      <c r="J34" s="23"/>
      <c r="L34" s="21"/>
      <c r="M34" s="22" t="str">
        <f t="shared" ref="M34:M36" si="3">H34</f>
        <v>3-1-1-1</v>
      </c>
      <c r="N34" s="22" t="str">
        <f>I34</f>
        <v>1x15</v>
      </c>
      <c r="O34" s="23"/>
      <c r="Q34" s="50"/>
      <c r="R34" s="52" t="str">
        <f>H34</f>
        <v>3-1-1-1</v>
      </c>
      <c r="S34" s="52" t="str">
        <f>I34</f>
        <v>1x15</v>
      </c>
      <c r="T34" s="53"/>
    </row>
    <row r="35" spans="2:22" s="1" customFormat="1" ht="19.899999999999999" customHeight="1" x14ac:dyDescent="0.25">
      <c r="B35" s="3">
        <v>8</v>
      </c>
      <c r="C35" s="567" t="s">
        <v>91</v>
      </c>
      <c r="D35" s="567"/>
      <c r="E35" s="568"/>
      <c r="G35" s="27"/>
      <c r="H35" s="28" t="s">
        <v>910</v>
      </c>
      <c r="I35" s="28" t="s">
        <v>754</v>
      </c>
      <c r="J35" s="29"/>
      <c r="L35" s="27"/>
      <c r="M35" s="28" t="str">
        <f t="shared" si="3"/>
        <v>2-2-2-2</v>
      </c>
      <c r="N35" s="28" t="str">
        <f>I35</f>
        <v>3x5 ea</v>
      </c>
      <c r="O35" s="29"/>
      <c r="Q35" s="54"/>
      <c r="R35" s="56" t="str">
        <f>H35</f>
        <v>2-2-2-2</v>
      </c>
      <c r="S35" s="28" t="str">
        <f>N35</f>
        <v>3x5 ea</v>
      </c>
      <c r="T35" s="57"/>
    </row>
    <row r="36" spans="2:22" s="1" customFormat="1" ht="19.899999999999999" customHeight="1" thickBot="1" x14ac:dyDescent="0.3">
      <c r="B36" s="4">
        <v>9</v>
      </c>
      <c r="C36" s="565" t="s">
        <v>767</v>
      </c>
      <c r="D36" s="565"/>
      <c r="E36" s="566"/>
      <c r="G36" s="24"/>
      <c r="H36" s="25" t="s">
        <v>890</v>
      </c>
      <c r="I36" s="25" t="s">
        <v>719</v>
      </c>
      <c r="J36" s="26"/>
      <c r="L36" s="24"/>
      <c r="M36" s="25" t="str">
        <f t="shared" si="3"/>
        <v>2-1-1-0</v>
      </c>
      <c r="N36" s="25" t="str">
        <f>I36</f>
        <v>1x15</v>
      </c>
      <c r="O36" s="26"/>
      <c r="Q36" s="46"/>
      <c r="R36" s="47" t="str">
        <f>H36</f>
        <v>2-1-1-0</v>
      </c>
      <c r="S36" s="47" t="str">
        <f>N36</f>
        <v>1x15</v>
      </c>
      <c r="T36" s="48"/>
    </row>
    <row r="37" spans="2:22" s="2" customFormat="1" ht="4.9000000000000004" customHeight="1" thickBot="1" x14ac:dyDescent="0.3">
      <c r="B37" s="73"/>
      <c r="G37" s="1"/>
      <c r="H37" s="1"/>
      <c r="L37" s="1"/>
      <c r="M37" s="1"/>
      <c r="Q37" s="547"/>
      <c r="R37" s="547"/>
      <c r="S37" s="49"/>
      <c r="T37" s="74"/>
    </row>
    <row r="38" spans="2:22" s="1" customFormat="1" ht="19.899999999999999" customHeight="1" x14ac:dyDescent="0.25">
      <c r="B38" s="9">
        <v>10</v>
      </c>
      <c r="C38" s="560" t="s">
        <v>416</v>
      </c>
      <c r="D38" s="560"/>
      <c r="E38" s="561"/>
      <c r="G38" s="21"/>
      <c r="H38" s="22" t="s">
        <v>889</v>
      </c>
      <c r="I38" s="22" t="s">
        <v>719</v>
      </c>
      <c r="J38" s="23"/>
      <c r="L38" s="21"/>
      <c r="M38" s="22" t="str">
        <f t="shared" ref="M38:M40" si="4">H38</f>
        <v>3-1-1-1</v>
      </c>
      <c r="N38" s="22" t="str">
        <f>I38</f>
        <v>1x15</v>
      </c>
      <c r="O38" s="23"/>
      <c r="Q38" s="21"/>
      <c r="R38" s="22" t="str">
        <f>H38</f>
        <v>3-1-1-1</v>
      </c>
      <c r="S38" s="52" t="str">
        <f>N38</f>
        <v>1x15</v>
      </c>
      <c r="T38" s="23"/>
    </row>
    <row r="39" spans="2:22" s="1" customFormat="1" ht="19.899999999999999" customHeight="1" x14ac:dyDescent="0.25">
      <c r="B39" s="3">
        <v>11</v>
      </c>
      <c r="C39" s="567" t="s">
        <v>916</v>
      </c>
      <c r="D39" s="567"/>
      <c r="E39" s="568"/>
      <c r="G39" s="27"/>
      <c r="H39" s="28" t="s">
        <v>900</v>
      </c>
      <c r="I39" s="28" t="s">
        <v>715</v>
      </c>
      <c r="J39" s="29"/>
      <c r="L39" s="27"/>
      <c r="M39" s="28" t="str">
        <f t="shared" si="4"/>
        <v>ISO</v>
      </c>
      <c r="N39" s="28" t="str">
        <f>I39</f>
        <v>3x10s ea</v>
      </c>
      <c r="O39" s="29"/>
      <c r="Q39" s="27"/>
      <c r="R39" s="28" t="str">
        <f>H39</f>
        <v>ISO</v>
      </c>
      <c r="S39" s="28" t="str">
        <f>N39</f>
        <v>3x10s ea</v>
      </c>
      <c r="T39" s="29"/>
    </row>
    <row r="40" spans="2:22" s="1" customFormat="1" ht="19.899999999999999" customHeight="1" thickBot="1" x14ac:dyDescent="0.3">
      <c r="B40" s="4">
        <v>12</v>
      </c>
      <c r="C40" s="565" t="s">
        <v>773</v>
      </c>
      <c r="D40" s="565"/>
      <c r="E40" s="566"/>
      <c r="G40" s="24"/>
      <c r="H40" s="25" t="s">
        <v>889</v>
      </c>
      <c r="I40" s="25" t="s">
        <v>719</v>
      </c>
      <c r="J40" s="26"/>
      <c r="L40" s="24"/>
      <c r="M40" s="25" t="str">
        <f t="shared" si="4"/>
        <v>3-1-1-1</v>
      </c>
      <c r="N40" s="25" t="str">
        <f>I40</f>
        <v>1x15</v>
      </c>
      <c r="O40" s="26"/>
      <c r="Q40" s="46"/>
      <c r="R40" s="47" t="str">
        <f>H40</f>
        <v>3-1-1-1</v>
      </c>
      <c r="S40" s="47" t="str">
        <f>N40</f>
        <v>1x15</v>
      </c>
      <c r="T40" s="48"/>
    </row>
    <row r="41" spans="2:22" s="1" customFormat="1" ht="5.0999999999999996" customHeight="1" thickBot="1" x14ac:dyDescent="0.3">
      <c r="B41" s="4"/>
      <c r="C41" s="66"/>
      <c r="D41" s="66"/>
      <c r="E41" s="113"/>
      <c r="G41" s="4"/>
      <c r="H41" s="66"/>
      <c r="I41" s="66"/>
      <c r="J41" s="66"/>
      <c r="L41" s="66"/>
      <c r="M41" s="66"/>
      <c r="N41" s="66"/>
      <c r="O41" s="66"/>
      <c r="Q41" s="115"/>
      <c r="R41" s="115"/>
      <c r="S41" s="115"/>
      <c r="T41" s="116"/>
    </row>
    <row r="42" spans="2:22" s="2" customFormat="1" ht="18" customHeight="1" thickBot="1" x14ac:dyDescent="0.3">
      <c r="B42" s="607" t="s">
        <v>875</v>
      </c>
      <c r="C42" s="608"/>
      <c r="D42" s="608"/>
      <c r="E42" s="609"/>
      <c r="F42" s="1"/>
      <c r="G42" s="549" t="s">
        <v>880</v>
      </c>
      <c r="H42" s="550" t="s">
        <v>9</v>
      </c>
      <c r="I42" s="550" t="s">
        <v>901</v>
      </c>
      <c r="J42" s="551" t="s">
        <v>880</v>
      </c>
      <c r="K42" s="523"/>
      <c r="L42" s="549" t="str">
        <f>G42</f>
        <v>GEWICHT</v>
      </c>
      <c r="M42" s="550" t="s">
        <v>9</v>
      </c>
      <c r="N42" s="550" t="str">
        <f>I42</f>
        <v>SxR/RPE 9</v>
      </c>
      <c r="O42" s="551" t="s">
        <v>880</v>
      </c>
      <c r="P42" s="547"/>
      <c r="Q42" s="549" t="str">
        <f>L42</f>
        <v>GEWICHT</v>
      </c>
      <c r="R42" s="550" t="s">
        <v>9</v>
      </c>
      <c r="S42" s="550" t="str">
        <f>I42</f>
        <v>SxR/RPE 9</v>
      </c>
      <c r="T42" s="551" t="s">
        <v>880</v>
      </c>
    </row>
    <row r="43" spans="2:22" s="1" customFormat="1" ht="19.899999999999999" customHeight="1" x14ac:dyDescent="0.25">
      <c r="B43" s="9">
        <v>13</v>
      </c>
      <c r="C43" s="560" t="s">
        <v>182</v>
      </c>
      <c r="D43" s="560"/>
      <c r="E43" s="561"/>
      <c r="G43" s="21"/>
      <c r="H43" s="22" t="s">
        <v>900</v>
      </c>
      <c r="I43" s="22" t="s">
        <v>722</v>
      </c>
      <c r="J43" s="23"/>
      <c r="L43" s="21"/>
      <c r="M43" s="22" t="str">
        <f>H43</f>
        <v>ISO</v>
      </c>
      <c r="N43" s="22" t="str">
        <f>I43</f>
        <v>1x90s</v>
      </c>
      <c r="O43" s="23"/>
      <c r="Q43" s="21"/>
      <c r="R43" s="22" t="str">
        <f>H43</f>
        <v>ISO</v>
      </c>
      <c r="S43" s="22" t="str">
        <f>N43</f>
        <v>1x90s</v>
      </c>
      <c r="T43" s="23"/>
    </row>
    <row r="44" spans="2:22" s="1" customFormat="1" ht="19.899999999999999" customHeight="1" x14ac:dyDescent="0.25">
      <c r="B44" s="3">
        <v>14</v>
      </c>
      <c r="C44" s="567" t="s">
        <v>36</v>
      </c>
      <c r="D44" s="567"/>
      <c r="E44" s="568"/>
      <c r="G44" s="27"/>
      <c r="H44" s="28" t="s">
        <v>900</v>
      </c>
      <c r="I44" s="28" t="s">
        <v>722</v>
      </c>
      <c r="J44" s="29"/>
      <c r="L44" s="27"/>
      <c r="M44" s="28" t="str">
        <f>H43</f>
        <v>ISO</v>
      </c>
      <c r="N44" s="28" t="str">
        <f>I44</f>
        <v>1x90s</v>
      </c>
      <c r="O44" s="29"/>
      <c r="Q44" s="27"/>
      <c r="R44" s="28" t="str">
        <f>H43</f>
        <v>ISO</v>
      </c>
      <c r="S44" s="28" t="str">
        <f>N44</f>
        <v>1x90s</v>
      </c>
      <c r="T44" s="29"/>
    </row>
    <row r="45" spans="2:22" s="1" customFormat="1" ht="19.899999999999999" customHeight="1" thickBot="1" x14ac:dyDescent="0.3">
      <c r="B45" s="4">
        <v>15</v>
      </c>
      <c r="C45" s="571" t="s">
        <v>338</v>
      </c>
      <c r="D45" s="571"/>
      <c r="E45" s="572"/>
      <c r="F45" s="66"/>
      <c r="G45" s="24"/>
      <c r="H45" s="25" t="s">
        <v>900</v>
      </c>
      <c r="I45" s="25" t="s">
        <v>722</v>
      </c>
      <c r="J45" s="26"/>
      <c r="K45" s="66"/>
      <c r="L45" s="24"/>
      <c r="M45" s="25" t="str">
        <f>H43</f>
        <v>ISO</v>
      </c>
      <c r="N45" s="25" t="str">
        <f>I45</f>
        <v>1x90s</v>
      </c>
      <c r="O45" s="26"/>
      <c r="P45" s="66"/>
      <c r="Q45" s="24"/>
      <c r="R45" s="25" t="str">
        <f>H43</f>
        <v>ISO</v>
      </c>
      <c r="S45" s="25" t="str">
        <f>N45</f>
        <v>1x90s</v>
      </c>
      <c r="T45" s="26"/>
    </row>
    <row r="46" spans="2:22" s="2" customFormat="1" ht="4.9000000000000004" customHeight="1" x14ac:dyDescent="0.25">
      <c r="Q46" s="49"/>
      <c r="R46" s="49"/>
      <c r="S46" s="49"/>
      <c r="T46" s="49"/>
    </row>
    <row r="47" spans="2:22" x14ac:dyDescent="0.25">
      <c r="V47" s="1"/>
    </row>
    <row r="48" spans="2:22" x14ac:dyDescent="0.25">
      <c r="V48" s="1"/>
    </row>
    <row r="49" spans="22:22" x14ac:dyDescent="0.25">
      <c r="V49" s="1"/>
    </row>
    <row r="50" spans="22:22" x14ac:dyDescent="0.25">
      <c r="V50" s="1"/>
    </row>
    <row r="51" spans="22:22" x14ac:dyDescent="0.25">
      <c r="V51" s="1"/>
    </row>
    <row r="52" spans="22:22" x14ac:dyDescent="0.25">
      <c r="V52" s="1"/>
    </row>
    <row r="53" spans="22:22" x14ac:dyDescent="0.25">
      <c r="V53" s="1"/>
    </row>
    <row r="54" spans="22:22" x14ac:dyDescent="0.25">
      <c r="V54" s="1"/>
    </row>
  </sheetData>
  <mergeCells count="44">
    <mergeCell ref="O2:T7"/>
    <mergeCell ref="E10:G10"/>
    <mergeCell ref="I10:L10"/>
    <mergeCell ref="B12:T12"/>
    <mergeCell ref="B13:D13"/>
    <mergeCell ref="E13:F13"/>
    <mergeCell ref="G13:I13"/>
    <mergeCell ref="J13:M13"/>
    <mergeCell ref="N13:Q13"/>
    <mergeCell ref="R13:T13"/>
    <mergeCell ref="B15:D15"/>
    <mergeCell ref="E15:F15"/>
    <mergeCell ref="G15:I15"/>
    <mergeCell ref="J15:M15"/>
    <mergeCell ref="B17:E18"/>
    <mergeCell ref="G17:T17"/>
    <mergeCell ref="H18:I18"/>
    <mergeCell ref="M18:N18"/>
    <mergeCell ref="R18:S18"/>
    <mergeCell ref="N15:Q15"/>
    <mergeCell ref="R15:T15"/>
    <mergeCell ref="C45:E45"/>
    <mergeCell ref="C35:E35"/>
    <mergeCell ref="C36:E36"/>
    <mergeCell ref="C38:E38"/>
    <mergeCell ref="C39:E39"/>
    <mergeCell ref="C40:E40"/>
    <mergeCell ref="B42:E42"/>
    <mergeCell ref="B14:T14"/>
    <mergeCell ref="C43:E43"/>
    <mergeCell ref="C44:E44"/>
    <mergeCell ref="C34:E34"/>
    <mergeCell ref="C20:E20"/>
    <mergeCell ref="C21:E21"/>
    <mergeCell ref="C22:E22"/>
    <mergeCell ref="B24:E24"/>
    <mergeCell ref="C25:E25"/>
    <mergeCell ref="C26:E26"/>
    <mergeCell ref="C27:E27"/>
    <mergeCell ref="C29:E29"/>
    <mergeCell ref="C30:E30"/>
    <mergeCell ref="C31:E31"/>
    <mergeCell ref="B33:E33"/>
    <mergeCell ref="B19:E19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showInputMessage="1" showErrorMessage="1" xr:uid="{061DDA72-5C24-4A94-AF9E-1B61A4C6B009}">
          <x14:formula1>
            <xm:f>'BH1-2 Progressionen'!$L:$L</xm:f>
          </x14:formula1>
          <xm:sqref>N15</xm:sqref>
        </x14:dataValidation>
        <x14:dataValidation type="list" allowBlank="1" showInputMessage="1" showErrorMessage="1" xr:uid="{BC6721C0-B9E4-4B48-930F-2396264CFC10}">
          <x14:formula1>
            <xm:f>'BH1-2 Progressionen'!$F:$F</xm:f>
          </x14:formula1>
          <xm:sqref>N13</xm:sqref>
        </x14:dataValidation>
        <x14:dataValidation type="list" allowBlank="1" showInputMessage="1" showErrorMessage="1" xr:uid="{38844D0C-582A-4104-ABAA-A6312731A763}">
          <x14:formula1>
            <xm:f>'BH1-2 Progressionen'!$K:$K</xm:f>
          </x14:formula1>
          <xm:sqref>J15</xm:sqref>
        </x14:dataValidation>
        <x14:dataValidation type="list" allowBlank="1" showInputMessage="1" showErrorMessage="1" xr:uid="{32FE804C-3138-43A1-9378-28F7473BBAE6}">
          <x14:formula1>
            <xm:f>'BH1-2 Progressionen'!$E:$E</xm:f>
          </x14:formula1>
          <xm:sqref>J13</xm:sqref>
        </x14:dataValidation>
        <x14:dataValidation type="list" allowBlank="1" showInputMessage="1" showErrorMessage="1" xr:uid="{8CEB086C-93D2-4DE7-8092-56F524BAF418}">
          <x14:formula1>
            <xm:f>'BH1-2 Progressionen'!$J:$J</xm:f>
          </x14:formula1>
          <xm:sqref>G15</xm:sqref>
        </x14:dataValidation>
        <x14:dataValidation type="list" allowBlank="1" showInputMessage="1" showErrorMessage="1" xr:uid="{FAFE2D0B-28FB-4BA2-A246-EA4AB527A0EE}">
          <x14:formula1>
            <xm:f>'BH1-2 Progressionen'!$D:$D</xm:f>
          </x14:formula1>
          <xm:sqref>G13</xm:sqref>
        </x14:dataValidation>
        <x14:dataValidation type="list" allowBlank="1" showInputMessage="1" showErrorMessage="1" xr:uid="{899893E8-07A7-4F0E-A432-7AB433882E20}">
          <x14:formula1>
            <xm:f>'BH1-2 Progressionen'!$M:$M</xm:f>
          </x14:formula1>
          <xm:sqref>R15:T15</xm:sqref>
        </x14:dataValidation>
        <x14:dataValidation type="list" allowBlank="1" showInputMessage="1" showErrorMessage="1" xr:uid="{14A3B99A-2D99-45C4-9962-506A67F4C632}">
          <x14:formula1>
            <xm:f>'BH1-2 Progressionen'!$I:$I</xm:f>
          </x14:formula1>
          <xm:sqref>E15</xm:sqref>
        </x14:dataValidation>
        <x14:dataValidation type="list" allowBlank="1" showInputMessage="1" showErrorMessage="1" xr:uid="{6B4802D2-A224-4D77-8D1C-74D2725B1C91}">
          <x14:formula1>
            <xm:f>'BH1-2 Progressionen'!$H:$H</xm:f>
          </x14:formula1>
          <xm:sqref>B15:D15</xm:sqref>
        </x14:dataValidation>
        <x14:dataValidation type="list" allowBlank="1" showInputMessage="1" showErrorMessage="1" xr:uid="{48D2BD71-5AD8-4ABB-843C-E4E91BA00FC3}">
          <x14:formula1>
            <xm:f>'BH1-2 Progressionen'!$G:$G</xm:f>
          </x14:formula1>
          <xm:sqref>R13:T13</xm:sqref>
        </x14:dataValidation>
        <x14:dataValidation type="list" allowBlank="1" showInputMessage="1" showErrorMessage="1" xr:uid="{3946B75D-CEB8-4C2C-AFDB-65AC331B7CBA}">
          <x14:formula1>
            <xm:f>'BH1-2 Progressionen'!$C:$C</xm:f>
          </x14:formula1>
          <xm:sqref>E13</xm:sqref>
        </x14:dataValidation>
        <x14:dataValidation type="list" allowBlank="1" showInputMessage="1" showErrorMessage="1" xr:uid="{7B1D88DB-93D7-4709-ACFB-16867D5B135E}">
          <x14:formula1>
            <xm:f>'BH1-2 Progressionen'!$B:$B</xm:f>
          </x14:formula1>
          <xm:sqref>B13:D13</xm:sqref>
        </x14:dataValidation>
        <x14:dataValidation type="list" allowBlank="1" showInputMessage="1" showErrorMessage="1" xr:uid="{E2A0853A-F329-46FD-AFFB-7B79A2721CE4}">
          <x14:formula1>
            <xm:f>'BH1-2 Progressionen'!$A:$A</xm:f>
          </x14:formula1>
          <xm:sqref>B17:E18</xm:sqref>
        </x14:dataValidation>
        <x14:dataValidation type="list" allowBlank="1" showInputMessage="1" showErrorMessage="1" xr:uid="{E907A746-DB84-492B-9C65-01D6A50A6218}">
          <x14:formula1>
            <xm:f>' Unterkörper Progressionen '!$W:$W</xm:f>
          </x14:formula1>
          <xm:sqref>C45:E45</xm:sqref>
        </x14:dataValidation>
        <x14:dataValidation type="list" allowBlank="1" showInputMessage="1" showErrorMessage="1" xr:uid="{7FB30443-AC33-4773-A60A-B8D7106C9738}">
          <x14:formula1>
            <xm:f>' Unterkörper Progressionen '!$V:$V</xm:f>
          </x14:formula1>
          <xm:sqref>C44:E44</xm:sqref>
        </x14:dataValidation>
        <x14:dataValidation type="list" allowBlank="1" showInputMessage="1" showErrorMessage="1" xr:uid="{BFC39E93-9024-423F-A1D0-D25138177DB8}">
          <x14:formula1>
            <xm:f>' Unterkörper Progressionen '!$U:$U</xm:f>
          </x14:formula1>
          <xm:sqref>C43:E43</xm:sqref>
        </x14:dataValidation>
        <x14:dataValidation type="list" allowBlank="1" showInputMessage="1" showErrorMessage="1" xr:uid="{C7EF566B-AA96-44B1-9407-204D048A907F}">
          <x14:formula1>
            <xm:f>' Unterkörper Progressionen '!$S:$S</xm:f>
          </x14:formula1>
          <xm:sqref>C40:E40</xm:sqref>
        </x14:dataValidation>
        <x14:dataValidation type="list" allowBlank="1" showInputMessage="1" showErrorMessage="1" xr:uid="{419C42E1-A3BB-4D9D-B113-E8FA81BF68FA}">
          <x14:formula1>
            <xm:f>' Unterkörper Progressionen '!$R:$R</xm:f>
          </x14:formula1>
          <xm:sqref>C39:E39</xm:sqref>
        </x14:dataValidation>
        <x14:dataValidation type="list" allowBlank="1" showInputMessage="1" showErrorMessage="1" xr:uid="{8913B260-E842-46B9-BA5E-9E233D2B7B0F}">
          <x14:formula1>
            <xm:f>' Unterkörper Progressionen '!$Q:$Q</xm:f>
          </x14:formula1>
          <xm:sqref>C38:E38</xm:sqref>
        </x14:dataValidation>
        <x14:dataValidation type="list" allowBlank="1" showInputMessage="1" showErrorMessage="1" xr:uid="{D6358C91-02E5-4498-97DE-A034A6E79C99}">
          <x14:formula1>
            <xm:f>' Unterkörper Progressionen '!$P:$P</xm:f>
          </x14:formula1>
          <xm:sqref>C36:E36</xm:sqref>
        </x14:dataValidation>
        <x14:dataValidation type="list" allowBlank="1" showInputMessage="1" showErrorMessage="1" xr:uid="{B3592DAF-6ACD-490E-AED7-7F29D3327C91}">
          <x14:formula1>
            <xm:f>' Unterkörper Progressionen '!$M:$M</xm:f>
          </x14:formula1>
          <xm:sqref>C35:E35</xm:sqref>
        </x14:dataValidation>
        <x14:dataValidation type="list" allowBlank="1" showInputMessage="1" showErrorMessage="1" xr:uid="{9B71E043-AD6C-4D26-8AB3-0359ECC50779}">
          <x14:formula1>
            <xm:f>' Unterkörper Progressionen '!$L:$L</xm:f>
          </x14:formula1>
          <xm:sqref>C34:E34</xm:sqref>
        </x14:dataValidation>
        <x14:dataValidation type="list" allowBlank="1" showInputMessage="1" showErrorMessage="1" xr:uid="{8F407924-F47B-4321-A3B8-88E38A188226}">
          <x14:formula1>
            <xm:f>' Unterkörper Progressionen '!$J:$J</xm:f>
          </x14:formula1>
          <xm:sqref>C31:E31</xm:sqref>
        </x14:dataValidation>
        <x14:dataValidation type="list" allowBlank="1" showInputMessage="1" showErrorMessage="1" xr:uid="{0CC0D878-B052-430F-B19D-11707BD7F15E}">
          <x14:formula1>
            <xm:f>' Unterkörper Progressionen '!$I:$I</xm:f>
          </x14:formula1>
          <xm:sqref>C30:E30</xm:sqref>
        </x14:dataValidation>
        <x14:dataValidation type="list" allowBlank="1" showInputMessage="1" showErrorMessage="1" xr:uid="{CC0CC9D8-40A3-48FA-8F04-35FFD9F7D92A}">
          <x14:formula1>
            <xm:f>' Unterkörper Progressionen '!$H:$H</xm:f>
          </x14:formula1>
          <xm:sqref>C29:E29</xm:sqref>
        </x14:dataValidation>
        <x14:dataValidation type="list" allowBlank="1" showInputMessage="1" showErrorMessage="1" xr:uid="{7F748EBA-F189-4A26-B009-DABAA9AB831D}">
          <x14:formula1>
            <xm:f>' Unterkörper Progressionen '!$G:$G</xm:f>
          </x14:formula1>
          <xm:sqref>C27:E27</xm:sqref>
        </x14:dataValidation>
        <x14:dataValidation type="list" allowBlank="1" showInputMessage="1" showErrorMessage="1" xr:uid="{947DBE3C-A67F-4125-AE90-827801D36A6A}">
          <x14:formula1>
            <xm:f>' Unterkörper Progressionen '!$F:$F</xm:f>
          </x14:formula1>
          <xm:sqref>C26:E26</xm:sqref>
        </x14:dataValidation>
        <x14:dataValidation type="list" allowBlank="1" showInputMessage="1" showErrorMessage="1" xr:uid="{FD664AF3-2132-4A38-8023-3ECB5EF0D766}">
          <x14:formula1>
            <xm:f>' Unterkörper Progressionen '!$E:$E</xm:f>
          </x14:formula1>
          <xm:sqref>C25:E25</xm:sqref>
        </x14:dataValidation>
        <x14:dataValidation type="list" allowBlank="1" showInputMessage="1" showErrorMessage="1" xr:uid="{420A4642-6F1A-46DA-B674-9FB3E3FA2811}">
          <x14:formula1>
            <xm:f>' Unterkörper Progressionen '!$D:$D</xm:f>
          </x14:formula1>
          <xm:sqref>C22:E22</xm:sqref>
        </x14:dataValidation>
        <x14:dataValidation type="list" allowBlank="1" showInputMessage="1" showErrorMessage="1" xr:uid="{E49BD734-2EC9-48CA-8B7B-D009CEE1E476}">
          <x14:formula1>
            <xm:f>' Unterkörper Progressionen '!$C:$C</xm:f>
          </x14:formula1>
          <xm:sqref>C21:E21</xm:sqref>
        </x14:dataValidation>
        <x14:dataValidation type="list" allowBlank="1" showInputMessage="1" showErrorMessage="1" xr:uid="{5CC832DF-26FA-4232-9E4A-CDFD36909421}">
          <x14:formula1>
            <xm:f>' Unterkörper Progressionen '!$B:$B</xm:f>
          </x14:formula1>
          <xm:sqref>C20:E20</xm:sqref>
        </x14:dataValidation>
        <x14:dataValidation type="list" allowBlank="1" showInputMessage="1" showErrorMessage="1" xr:uid="{F68E7408-346D-4B57-9674-6481CABB61D9}">
          <x14:formula1>
            <xm:f>' Unterkörper Progressionen '!$AA:$AA</xm:f>
          </x14:formula1>
          <xm:sqref>J21:J23</xm:sqref>
        </x14:dataValidation>
        <x14:dataValidation type="list" allowBlank="1" showInputMessage="1" showErrorMessage="1" xr:uid="{1C6C896C-49FA-4905-9279-BEC2CFB90126}">
          <x14:formula1>
            <xm:f>' Unterkörper Progressionen '!$Z:$Z</xm:f>
          </x14:formula1>
          <xm:sqref>I43:I45 I25:I27 I29:I32 I38:I41 I34:I36</xm:sqref>
        </x14:dataValidation>
        <x14:dataValidation type="list" allowBlank="1" showInputMessage="1" showErrorMessage="1" xr:uid="{82D35B0A-391C-4CE1-B0E7-C17D13F07DF0}">
          <x14:formula1>
            <xm:f>' Unterkörper Progressionen '!$AC:$AC</xm:f>
          </x14:formula1>
          <xm:sqref>S33 I24 S42 N42 I42 I33 N33</xm:sqref>
        </x14:dataValidation>
        <x14:dataValidation type="list" allowBlank="1" showInputMessage="1" showErrorMessage="1" xr:uid="{6F24BD61-5DF5-40D5-8841-AE75AEBB4BD1}">
          <x14:formula1>
            <xm:f>' Unterkörper Progressionen '!$AB:$AB</xm:f>
          </x14:formula1>
          <xm:sqref>H25:H27 H20:H22 H43:H45 H38:H40 H34:H36 H29:H31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4AA-8EBD-4BED-A084-8B247B228FDB}">
  <sheetPr>
    <pageSetUpPr fitToPage="1"/>
  </sheetPr>
  <dimension ref="B1:W44"/>
  <sheetViews>
    <sheetView topLeftCell="A6" zoomScale="94" zoomScaleNormal="100" workbookViewId="0">
      <selection activeCell="B41" sqref="B41:E41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W9" s="2"/>
    </row>
    <row r="10" spans="2:23" ht="16.5" hidden="1" thickBot="1" x14ac:dyDescent="0.3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1" customFormat="1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tr">
        <f>Unterkörper5!B13</f>
        <v>LOADED - TGU - 1/2-KN. TO STAND</v>
      </c>
      <c r="C13" s="631"/>
      <c r="D13" s="631"/>
      <c r="E13" s="633" t="str">
        <f>Unterkörper5!E13</f>
        <v>LOADED PUSH UP CRAWL</v>
      </c>
      <c r="F13" s="634"/>
      <c r="G13" s="631" t="str">
        <f>Unterkörper5!G13</f>
        <v>2KB BOTTOM-UP WAITER CARRY</v>
      </c>
      <c r="H13" s="631"/>
      <c r="I13" s="631"/>
      <c r="J13" s="631" t="str">
        <f>Unterkörper5!J13</f>
        <v>BW 1-ARM OVERHEAD SQUAT</v>
      </c>
      <c r="K13" s="631"/>
      <c r="L13" s="631"/>
      <c r="M13" s="631"/>
      <c r="N13" s="631" t="str">
        <f>Unterkörper5!N13</f>
        <v>2 DIFFERENT KB SUITCASE DEADLIFT</v>
      </c>
      <c r="O13" s="631"/>
      <c r="P13" s="631"/>
      <c r="Q13" s="631"/>
      <c r="R13" s="631" t="str">
        <f>Unterkörper5!R13</f>
        <v>2KB 1-LEG DEADLIFT TO BOX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tr">
        <f>Unterkörper5!B15</f>
        <v>LOADED ANKLE ROCKER SPLIT SQUAT</v>
      </c>
      <c r="C15" s="553"/>
      <c r="D15" s="553"/>
      <c r="E15" s="625" t="str">
        <f>Unterkörper5!E15</f>
        <v>ANKLE POS. 2 30 SEC</v>
      </c>
      <c r="F15" s="626"/>
      <c r="G15" s="553" t="str">
        <f>Unterkörper5!G15</f>
        <v>LOADED LATERAL ANKLE SKIP</v>
      </c>
      <c r="H15" s="553"/>
      <c r="I15" s="553"/>
      <c r="J15" s="553" t="str">
        <f>Unterkörper5!J15</f>
        <v>LOADED 1-LEG B-SKIP</v>
      </c>
      <c r="K15" s="553"/>
      <c r="L15" s="553"/>
      <c r="M15" s="553"/>
      <c r="N15" s="553" t="str">
        <f>Unterkörper5!N15</f>
        <v>REACTIVE 1-LEG LINEAR HOP - TO BOX (NCM)</v>
      </c>
      <c r="O15" s="553"/>
      <c r="P15" s="553"/>
      <c r="Q15" s="553"/>
      <c r="R15" s="553" t="str">
        <f>Unterkörper5!R15</f>
        <v>RESISTENT  SQUAT JUMP</v>
      </c>
      <c r="S15" s="553"/>
      <c r="T15" s="556"/>
    </row>
    <row r="16" spans="2:23" ht="16.5" customHeight="1" thickBot="1" x14ac:dyDescent="0.3">
      <c r="B16" s="647" t="str">
        <f>Unterkörper5!B17</f>
        <v>LEVEL 5</v>
      </c>
      <c r="C16" s="648"/>
      <c r="D16" s="648"/>
      <c r="E16" s="649"/>
      <c r="F16" s="1"/>
      <c r="G16" s="592" t="s">
        <v>352</v>
      </c>
      <c r="H16" s="593"/>
      <c r="I16" s="593"/>
      <c r="J16" s="593"/>
      <c r="K16" s="593"/>
      <c r="L16" s="593"/>
      <c r="M16" s="593"/>
      <c r="N16" s="593"/>
      <c r="O16" s="593"/>
      <c r="P16" s="593"/>
      <c r="Q16" s="593"/>
      <c r="R16" s="593"/>
      <c r="S16" s="593"/>
      <c r="T16" s="594"/>
    </row>
    <row r="17" spans="2:23" ht="21.6" customHeight="1" thickBot="1" x14ac:dyDescent="0.3">
      <c r="B17" s="622"/>
      <c r="C17" s="623"/>
      <c r="D17" s="623"/>
      <c r="E17" s="624"/>
      <c r="F17" s="1"/>
      <c r="G17" s="70" t="s">
        <v>865</v>
      </c>
      <c r="H17" s="582" t="s">
        <v>877</v>
      </c>
      <c r="I17" s="583"/>
      <c r="J17" s="71" t="s">
        <v>866</v>
      </c>
      <c r="K17" s="64"/>
      <c r="L17" s="70" t="s">
        <v>867</v>
      </c>
      <c r="M17" s="582" t="s">
        <v>878</v>
      </c>
      <c r="N17" s="583"/>
      <c r="O17" s="71" t="s">
        <v>868</v>
      </c>
      <c r="P17" s="64"/>
      <c r="Q17" s="70" t="s">
        <v>869</v>
      </c>
      <c r="R17" s="595" t="s">
        <v>879</v>
      </c>
      <c r="S17" s="596"/>
      <c r="T17" s="71" t="s">
        <v>870</v>
      </c>
    </row>
    <row r="18" spans="2:23" ht="18" customHeight="1" thickBot="1" x14ac:dyDescent="0.3">
      <c r="B18" s="641" t="s">
        <v>8</v>
      </c>
      <c r="C18" s="642"/>
      <c r="D18" s="642"/>
      <c r="E18" s="643"/>
      <c r="F18" s="72"/>
      <c r="G18" s="501" t="s">
        <v>880</v>
      </c>
      <c r="H18" s="502" t="s">
        <v>9</v>
      </c>
      <c r="I18" s="502" t="s">
        <v>11</v>
      </c>
      <c r="J18" s="503" t="s">
        <v>880</v>
      </c>
      <c r="K18" s="1"/>
      <c r="L18" s="501" t="s">
        <v>880</v>
      </c>
      <c r="M18" s="502" t="s">
        <v>9</v>
      </c>
      <c r="N18" s="502" t="s">
        <v>11</v>
      </c>
      <c r="O18" s="503" t="s">
        <v>880</v>
      </c>
      <c r="P18" s="1"/>
      <c r="Q18" s="504" t="s">
        <v>880</v>
      </c>
      <c r="R18" s="505" t="s">
        <v>9</v>
      </c>
      <c r="S18" s="505" t="s">
        <v>11</v>
      </c>
      <c r="T18" s="506" t="s">
        <v>880</v>
      </c>
    </row>
    <row r="19" spans="2:23" s="1" customFormat="1" ht="19.899999999999999" customHeight="1" x14ac:dyDescent="0.25">
      <c r="B19" s="9">
        <v>1</v>
      </c>
      <c r="C19" s="560" t="s">
        <v>258</v>
      </c>
      <c r="D19" s="560"/>
      <c r="E19" s="561"/>
      <c r="G19" s="18"/>
      <c r="H19" s="22" t="s">
        <v>12</v>
      </c>
      <c r="I19" s="19" t="s">
        <v>14</v>
      </c>
      <c r="J19" s="20" t="s">
        <v>16</v>
      </c>
      <c r="L19" s="18"/>
      <c r="M19" s="19" t="str">
        <f t="shared" ref="M19:M21" si="0">H19</f>
        <v>EXPL</v>
      </c>
      <c r="N19" s="19" t="s">
        <v>14</v>
      </c>
      <c r="O19" s="20" t="s">
        <v>16</v>
      </c>
      <c r="Q19" s="43"/>
      <c r="R19" s="44" t="str">
        <f t="shared" ref="R19:R21" si="1">H19</f>
        <v>EXPL</v>
      </c>
      <c r="S19" s="44" t="s">
        <v>14</v>
      </c>
      <c r="T19" s="45" t="s">
        <v>16</v>
      </c>
    </row>
    <row r="20" spans="2:23" s="1" customFormat="1" ht="19.899999999999999" customHeight="1" x14ac:dyDescent="0.25">
      <c r="B20" s="3">
        <v>2</v>
      </c>
      <c r="C20" s="567" t="s">
        <v>241</v>
      </c>
      <c r="D20" s="567"/>
      <c r="E20" s="568"/>
      <c r="G20" s="67"/>
      <c r="H20" s="28" t="s">
        <v>12</v>
      </c>
      <c r="I20" s="68" t="s">
        <v>14</v>
      </c>
      <c r="J20" s="69"/>
      <c r="L20" s="67"/>
      <c r="M20" s="68" t="str">
        <f t="shared" si="0"/>
        <v>EXPL</v>
      </c>
      <c r="N20" s="68" t="s">
        <v>14</v>
      </c>
      <c r="O20" s="69"/>
      <c r="Q20" s="75"/>
      <c r="R20" s="76" t="str">
        <f t="shared" si="1"/>
        <v>EXPL</v>
      </c>
      <c r="S20" s="76" t="s">
        <v>14</v>
      </c>
      <c r="T20" s="77"/>
    </row>
    <row r="21" spans="2:23" s="1" customFormat="1" ht="19.899999999999999" customHeight="1" thickBot="1" x14ac:dyDescent="0.3">
      <c r="B21" s="4">
        <v>3</v>
      </c>
      <c r="C21" s="565" t="s">
        <v>236</v>
      </c>
      <c r="D21" s="565"/>
      <c r="E21" s="566"/>
      <c r="G21" s="24"/>
      <c r="H21" s="25" t="s">
        <v>12</v>
      </c>
      <c r="I21" s="25" t="s">
        <v>14</v>
      </c>
      <c r="J21" s="26"/>
      <c r="L21" s="24"/>
      <c r="M21" s="25" t="str">
        <f t="shared" si="0"/>
        <v>EXPL</v>
      </c>
      <c r="N21" s="25" t="s">
        <v>14</v>
      </c>
      <c r="O21" s="26"/>
      <c r="Q21" s="46"/>
      <c r="R21" s="47" t="str">
        <f t="shared" si="1"/>
        <v>EXPL</v>
      </c>
      <c r="S21" s="47" t="s">
        <v>14</v>
      </c>
      <c r="T21" s="48"/>
    </row>
    <row r="22" spans="2:23" s="2" customFormat="1" ht="4.9000000000000004" customHeight="1" thickBot="1" x14ac:dyDescent="0.3">
      <c r="B22" s="73"/>
      <c r="Q22" s="49"/>
      <c r="R22" s="49"/>
      <c r="S22" s="49"/>
      <c r="T22" s="74"/>
    </row>
    <row r="23" spans="2:23" s="523" customFormat="1" ht="18" customHeight="1" thickBot="1" x14ac:dyDescent="0.3">
      <c r="B23" s="644" t="s">
        <v>871</v>
      </c>
      <c r="C23" s="645"/>
      <c r="D23" s="645"/>
      <c r="E23" s="646"/>
      <c r="G23" s="524" t="s">
        <v>880</v>
      </c>
      <c r="H23" s="525" t="s">
        <v>9</v>
      </c>
      <c r="I23" s="525" t="s">
        <v>897</v>
      </c>
      <c r="J23" s="526" t="s">
        <v>880</v>
      </c>
      <c r="L23" s="524" t="str">
        <f>G23</f>
        <v>GEWICHT</v>
      </c>
      <c r="M23" s="525" t="s">
        <v>9</v>
      </c>
      <c r="N23" s="525" t="str">
        <f>I23</f>
        <v>SxR/RPE 8-9</v>
      </c>
      <c r="O23" s="526" t="s">
        <v>880</v>
      </c>
      <c r="Q23" s="524" t="str">
        <f>L23</f>
        <v>GEWICHT</v>
      </c>
      <c r="R23" s="525" t="s">
        <v>9</v>
      </c>
      <c r="S23" s="525" t="str">
        <f>I23</f>
        <v>SxR/RPE 8-9</v>
      </c>
      <c r="T23" s="526" t="s">
        <v>880</v>
      </c>
      <c r="W23" s="527"/>
    </row>
    <row r="24" spans="2:23" s="1" customFormat="1" ht="19.899999999999999" customHeight="1" x14ac:dyDescent="0.25">
      <c r="B24" s="9">
        <v>1</v>
      </c>
      <c r="C24" s="560" t="s">
        <v>251</v>
      </c>
      <c r="D24" s="560"/>
      <c r="E24" s="561"/>
      <c r="G24" s="21"/>
      <c r="H24" s="22" t="s">
        <v>890</v>
      </c>
      <c r="I24" s="28" t="s">
        <v>719</v>
      </c>
      <c r="J24" s="23"/>
      <c r="L24" s="21"/>
      <c r="M24" s="22" t="str">
        <f>H24</f>
        <v>2-1-1-0</v>
      </c>
      <c r="N24" s="22" t="str">
        <f>I24</f>
        <v>1x15</v>
      </c>
      <c r="O24" s="23"/>
      <c r="Q24" s="50"/>
      <c r="R24" s="52" t="str">
        <f>H24</f>
        <v>2-1-1-0</v>
      </c>
      <c r="S24" s="52" t="str">
        <f>I24</f>
        <v>1x15</v>
      </c>
      <c r="T24" s="53"/>
      <c r="W24" s="36"/>
    </row>
    <row r="25" spans="2:23" s="1" customFormat="1" ht="19.899999999999999" customHeight="1" x14ac:dyDescent="0.25">
      <c r="B25" s="3">
        <v>2</v>
      </c>
      <c r="C25" s="567" t="s">
        <v>197</v>
      </c>
      <c r="D25" s="567"/>
      <c r="E25" s="568"/>
      <c r="G25" s="27"/>
      <c r="H25" s="28" t="s">
        <v>890</v>
      </c>
      <c r="I25" s="28" t="s">
        <v>719</v>
      </c>
      <c r="J25" s="29"/>
      <c r="L25" s="27"/>
      <c r="M25" s="28" t="str">
        <f>H25</f>
        <v>2-1-1-0</v>
      </c>
      <c r="N25" s="28" t="str">
        <f>I25</f>
        <v>1x15</v>
      </c>
      <c r="O25" s="29"/>
      <c r="Q25" s="54"/>
      <c r="R25" s="56" t="str">
        <f>H25</f>
        <v>2-1-1-0</v>
      </c>
      <c r="S25" s="56" t="str">
        <f>I25</f>
        <v>1x15</v>
      </c>
      <c r="T25" s="57"/>
      <c r="W25" s="36"/>
    </row>
    <row r="26" spans="2:23" s="1" customFormat="1" ht="19.899999999999999" customHeight="1" thickBot="1" x14ac:dyDescent="0.3">
      <c r="B26" s="4">
        <v>3</v>
      </c>
      <c r="C26" s="565" t="s">
        <v>740</v>
      </c>
      <c r="D26" s="565"/>
      <c r="E26" s="566"/>
      <c r="G26" s="24"/>
      <c r="H26" s="25" t="s">
        <v>915</v>
      </c>
      <c r="I26" s="25" t="s">
        <v>712</v>
      </c>
      <c r="J26" s="26"/>
      <c r="L26" s="24"/>
      <c r="M26" s="25" t="str">
        <f>H26</f>
        <v>1-1-1-1</v>
      </c>
      <c r="N26" s="25" t="str">
        <f>I26</f>
        <v>2x15m</v>
      </c>
      <c r="O26" s="26"/>
      <c r="Q26" s="46"/>
      <c r="R26" s="47" t="str">
        <f>H26</f>
        <v>1-1-1-1</v>
      </c>
      <c r="S26" s="47" t="str">
        <f>I26</f>
        <v>2x15m</v>
      </c>
      <c r="T26" s="48"/>
    </row>
    <row r="27" spans="2:23" s="2" customFormat="1" ht="4.9000000000000004" customHeight="1" thickBot="1" x14ac:dyDescent="0.3">
      <c r="B27" s="73"/>
      <c r="Q27" s="49"/>
      <c r="R27" s="49"/>
      <c r="S27" s="49"/>
      <c r="T27" s="74"/>
    </row>
    <row r="28" spans="2:23" s="1" customFormat="1" ht="19.899999999999999" customHeight="1" x14ac:dyDescent="0.25">
      <c r="B28" s="9">
        <v>4</v>
      </c>
      <c r="C28" s="560" t="s">
        <v>281</v>
      </c>
      <c r="D28" s="560"/>
      <c r="E28" s="561"/>
      <c r="G28" s="21"/>
      <c r="H28" s="22" t="s">
        <v>890</v>
      </c>
      <c r="I28" s="22" t="s">
        <v>719</v>
      </c>
      <c r="J28" s="23"/>
      <c r="L28" s="21"/>
      <c r="M28" s="22" t="str">
        <f t="shared" ref="M28:M30" si="2">H28</f>
        <v>2-1-1-0</v>
      </c>
      <c r="N28" s="22" t="str">
        <f>I28</f>
        <v>1x15</v>
      </c>
      <c r="O28" s="23"/>
      <c r="Q28" s="50"/>
      <c r="R28" s="52" t="str">
        <f t="shared" ref="R28:R30" si="3">H28</f>
        <v>2-1-1-0</v>
      </c>
      <c r="S28" s="52" t="str">
        <f>I28</f>
        <v>1x15</v>
      </c>
      <c r="T28" s="53"/>
    </row>
    <row r="29" spans="2:23" s="1" customFormat="1" ht="19.899999999999999" customHeight="1" x14ac:dyDescent="0.25">
      <c r="B29" s="3">
        <v>5</v>
      </c>
      <c r="C29" s="567" t="s">
        <v>775</v>
      </c>
      <c r="D29" s="567"/>
      <c r="E29" s="568"/>
      <c r="G29" s="27"/>
      <c r="H29" s="28" t="s">
        <v>890</v>
      </c>
      <c r="I29" s="28" t="s">
        <v>719</v>
      </c>
      <c r="J29" s="29"/>
      <c r="L29" s="27"/>
      <c r="M29" s="28" t="str">
        <f t="shared" si="2"/>
        <v>2-1-1-0</v>
      </c>
      <c r="N29" s="28" t="str">
        <f>I29</f>
        <v>1x15</v>
      </c>
      <c r="O29" s="29"/>
      <c r="Q29" s="54"/>
      <c r="R29" s="56" t="str">
        <f t="shared" si="3"/>
        <v>2-1-1-0</v>
      </c>
      <c r="S29" s="28" t="str">
        <f>I29</f>
        <v>1x15</v>
      </c>
      <c r="T29" s="57"/>
    </row>
    <row r="30" spans="2:23" s="1" customFormat="1" ht="19.899999999999999" customHeight="1" thickBot="1" x14ac:dyDescent="0.3">
      <c r="B30" s="4">
        <v>6</v>
      </c>
      <c r="C30" s="565" t="s">
        <v>60</v>
      </c>
      <c r="D30" s="565"/>
      <c r="E30" s="566"/>
      <c r="G30" s="24"/>
      <c r="H30" s="25" t="s">
        <v>900</v>
      </c>
      <c r="I30" s="25" t="s">
        <v>754</v>
      </c>
      <c r="J30" s="26"/>
      <c r="L30" s="24"/>
      <c r="M30" s="25" t="str">
        <f t="shared" si="2"/>
        <v>ISO</v>
      </c>
      <c r="N30" s="25" t="str">
        <f>I30</f>
        <v>3x5 ea</v>
      </c>
      <c r="O30" s="26"/>
      <c r="Q30" s="46"/>
      <c r="R30" s="47" t="str">
        <f t="shared" si="3"/>
        <v>ISO</v>
      </c>
      <c r="S30" s="47" t="str">
        <f>I30</f>
        <v>3x5 ea</v>
      </c>
      <c r="T30" s="48"/>
    </row>
    <row r="31" spans="2:23" s="1" customFormat="1" ht="5.0999999999999996" customHeight="1" thickBot="1" x14ac:dyDescent="0.3">
      <c r="B31" s="4"/>
      <c r="C31" s="66"/>
      <c r="D31" s="66"/>
      <c r="E31" s="113"/>
      <c r="G31" s="4"/>
      <c r="H31" s="66"/>
      <c r="I31" s="66"/>
      <c r="J31" s="66"/>
      <c r="L31" s="66"/>
      <c r="M31" s="66"/>
      <c r="N31" s="66"/>
      <c r="O31" s="66"/>
      <c r="Q31" s="115"/>
      <c r="R31" s="115"/>
      <c r="S31" s="115"/>
      <c r="T31" s="116"/>
    </row>
    <row r="32" spans="2:23" s="2" customFormat="1" ht="18" customHeight="1" thickBot="1" x14ac:dyDescent="0.3">
      <c r="B32" s="635" t="s">
        <v>872</v>
      </c>
      <c r="C32" s="636"/>
      <c r="D32" s="636"/>
      <c r="E32" s="637"/>
      <c r="F32" s="114"/>
      <c r="G32" s="517" t="s">
        <v>880</v>
      </c>
      <c r="H32" s="518" t="s">
        <v>9</v>
      </c>
      <c r="I32" s="518" t="s">
        <v>897</v>
      </c>
      <c r="J32" s="519" t="s">
        <v>880</v>
      </c>
      <c r="K32" s="1"/>
      <c r="L32" s="517" t="s">
        <v>880</v>
      </c>
      <c r="M32" s="518" t="s">
        <v>9</v>
      </c>
      <c r="N32" s="518" t="str">
        <f>I32</f>
        <v>SxR/RPE 8-9</v>
      </c>
      <c r="O32" s="519" t="s">
        <v>880</v>
      </c>
      <c r="P32" s="1"/>
      <c r="Q32" s="517" t="s">
        <v>880</v>
      </c>
      <c r="R32" s="518" t="s">
        <v>9</v>
      </c>
      <c r="S32" s="518" t="str">
        <f>I32</f>
        <v>SxR/RPE 8-9</v>
      </c>
      <c r="T32" s="519" t="s">
        <v>880</v>
      </c>
    </row>
    <row r="33" spans="2:20" s="1" customFormat="1" ht="19.899999999999999" customHeight="1" x14ac:dyDescent="0.25">
      <c r="B33" s="9">
        <v>7</v>
      </c>
      <c r="C33" s="560" t="s">
        <v>262</v>
      </c>
      <c r="D33" s="560"/>
      <c r="E33" s="561"/>
      <c r="G33" s="21"/>
      <c r="H33" s="22" t="s">
        <v>889</v>
      </c>
      <c r="I33" s="22" t="s">
        <v>719</v>
      </c>
      <c r="J33" s="23"/>
      <c r="L33" s="21"/>
      <c r="M33" s="22" t="str">
        <f>H33</f>
        <v>3-1-1-1</v>
      </c>
      <c r="N33" s="22" t="str">
        <f>I33</f>
        <v>1x15</v>
      </c>
      <c r="O33" s="23"/>
      <c r="Q33" s="50"/>
      <c r="R33" s="52" t="str">
        <f>H33</f>
        <v>3-1-1-1</v>
      </c>
      <c r="S33" s="52" t="str">
        <f>I33</f>
        <v>1x15</v>
      </c>
      <c r="T33" s="53"/>
    </row>
    <row r="34" spans="2:20" s="1" customFormat="1" ht="19.899999999999999" customHeight="1" x14ac:dyDescent="0.25">
      <c r="B34" s="3">
        <v>8</v>
      </c>
      <c r="C34" s="567" t="s">
        <v>507</v>
      </c>
      <c r="D34" s="567"/>
      <c r="E34" s="568"/>
      <c r="G34" s="27"/>
      <c r="H34" s="28" t="s">
        <v>888</v>
      </c>
      <c r="I34" s="28" t="s">
        <v>719</v>
      </c>
      <c r="J34" s="29"/>
      <c r="L34" s="27"/>
      <c r="M34" s="28" t="str">
        <f>H34</f>
        <v>3-1-1-0</v>
      </c>
      <c r="N34" s="28" t="str">
        <f>I34</f>
        <v>1x15</v>
      </c>
      <c r="O34" s="29"/>
      <c r="Q34" s="54"/>
      <c r="R34" s="56" t="str">
        <f>H34</f>
        <v>3-1-1-0</v>
      </c>
      <c r="S34" s="28" t="str">
        <f>I34</f>
        <v>1x15</v>
      </c>
      <c r="T34" s="57"/>
    </row>
    <row r="35" spans="2:20" s="1" customFormat="1" ht="19.899999999999999" customHeight="1" thickBot="1" x14ac:dyDescent="0.3">
      <c r="B35" s="4">
        <v>9</v>
      </c>
      <c r="C35" s="565" t="s">
        <v>777</v>
      </c>
      <c r="D35" s="565"/>
      <c r="E35" s="566"/>
      <c r="G35" s="24"/>
      <c r="H35" s="25" t="s">
        <v>890</v>
      </c>
      <c r="I35" s="25" t="s">
        <v>715</v>
      </c>
      <c r="J35" s="26"/>
      <c r="L35" s="24"/>
      <c r="M35" s="25" t="str">
        <f>H35</f>
        <v>2-1-1-0</v>
      </c>
      <c r="N35" s="25" t="str">
        <f>I35</f>
        <v>3x10s ea</v>
      </c>
      <c r="O35" s="26"/>
      <c r="Q35" s="46"/>
      <c r="R35" s="47" t="str">
        <f>H35</f>
        <v>2-1-1-0</v>
      </c>
      <c r="S35" s="47" t="str">
        <f>I35</f>
        <v>3x10s ea</v>
      </c>
      <c r="T35" s="48"/>
    </row>
    <row r="36" spans="2:20" s="2" customFormat="1" ht="4.9000000000000004" customHeight="1" thickBot="1" x14ac:dyDescent="0.3">
      <c r="B36" s="73"/>
      <c r="H36" s="1"/>
      <c r="Q36" s="49"/>
      <c r="R36" s="49"/>
      <c r="S36" s="49"/>
      <c r="T36" s="74"/>
    </row>
    <row r="37" spans="2:20" s="1" customFormat="1" ht="19.899999999999999" customHeight="1" x14ac:dyDescent="0.25">
      <c r="B37" s="9">
        <v>10</v>
      </c>
      <c r="C37" s="560" t="s">
        <v>263</v>
      </c>
      <c r="D37" s="560"/>
      <c r="E37" s="561"/>
      <c r="G37" s="21"/>
      <c r="H37" s="22" t="s">
        <v>889</v>
      </c>
      <c r="I37" s="22" t="s">
        <v>719</v>
      </c>
      <c r="J37" s="23"/>
      <c r="L37" s="21"/>
      <c r="M37" s="22" t="str">
        <f t="shared" ref="M37:M39" si="4">H37</f>
        <v>3-1-1-1</v>
      </c>
      <c r="N37" s="22" t="str">
        <f>I37</f>
        <v>1x15</v>
      </c>
      <c r="O37" s="23"/>
      <c r="Q37" s="21"/>
      <c r="R37" s="22" t="str">
        <f t="shared" ref="R37:R39" si="5">H37</f>
        <v>3-1-1-1</v>
      </c>
      <c r="S37" s="52" t="str">
        <f>I37</f>
        <v>1x15</v>
      </c>
      <c r="T37" s="23"/>
    </row>
    <row r="38" spans="2:20" s="1" customFormat="1" ht="19.899999999999999" customHeight="1" x14ac:dyDescent="0.25">
      <c r="B38" s="3">
        <v>11</v>
      </c>
      <c r="C38" s="567" t="s">
        <v>206</v>
      </c>
      <c r="D38" s="567"/>
      <c r="E38" s="568"/>
      <c r="G38" s="27"/>
      <c r="H38" s="28" t="s">
        <v>911</v>
      </c>
      <c r="I38" s="28" t="s">
        <v>719</v>
      </c>
      <c r="J38" s="29"/>
      <c r="L38" s="27"/>
      <c r="M38" s="28" t="str">
        <f t="shared" si="4"/>
        <v>5-0-3-0</v>
      </c>
      <c r="N38" s="28" t="str">
        <f>I38</f>
        <v>1x15</v>
      </c>
      <c r="O38" s="29"/>
      <c r="Q38" s="27"/>
      <c r="R38" s="28" t="str">
        <f t="shared" si="5"/>
        <v>5-0-3-0</v>
      </c>
      <c r="S38" s="28" t="str">
        <f>I38</f>
        <v>1x15</v>
      </c>
      <c r="T38" s="29"/>
    </row>
    <row r="39" spans="2:20" s="1" customFormat="1" ht="19.899999999999999" customHeight="1" thickBot="1" x14ac:dyDescent="0.3">
      <c r="B39" s="4">
        <v>12</v>
      </c>
      <c r="C39" s="565" t="s">
        <v>731</v>
      </c>
      <c r="D39" s="565"/>
      <c r="E39" s="566"/>
      <c r="G39" s="24"/>
      <c r="H39" s="25" t="s">
        <v>889</v>
      </c>
      <c r="I39" s="25" t="s">
        <v>719</v>
      </c>
      <c r="J39" s="26"/>
      <c r="L39" s="24"/>
      <c r="M39" s="25" t="str">
        <f t="shared" si="4"/>
        <v>3-1-1-1</v>
      </c>
      <c r="N39" s="25" t="str">
        <f>I39</f>
        <v>1x15</v>
      </c>
      <c r="O39" s="26"/>
      <c r="Q39" s="46"/>
      <c r="R39" s="47" t="str">
        <f t="shared" si="5"/>
        <v>3-1-1-1</v>
      </c>
      <c r="S39" s="47" t="str">
        <f>I39</f>
        <v>1x15</v>
      </c>
      <c r="T39" s="48"/>
    </row>
    <row r="40" spans="2:20" s="1" customFormat="1" ht="5.0999999999999996" customHeight="1" thickBot="1" x14ac:dyDescent="0.3">
      <c r="B40" s="4"/>
      <c r="C40" s="66"/>
      <c r="D40" s="66"/>
      <c r="E40" s="113"/>
      <c r="G40" s="4"/>
      <c r="H40" s="66"/>
      <c r="I40" s="66"/>
      <c r="J40" s="66"/>
      <c r="L40" s="66"/>
      <c r="M40" s="66"/>
      <c r="N40" s="66"/>
      <c r="O40" s="66"/>
      <c r="Q40" s="115"/>
      <c r="R40" s="115"/>
      <c r="S40" s="115"/>
      <c r="T40" s="116"/>
    </row>
    <row r="41" spans="2:20" s="2" customFormat="1" ht="18" customHeight="1" thickBot="1" x14ac:dyDescent="0.3">
      <c r="B41" s="638" t="s">
        <v>876</v>
      </c>
      <c r="C41" s="639"/>
      <c r="D41" s="639"/>
      <c r="E41" s="640"/>
      <c r="G41" s="520" t="s">
        <v>880</v>
      </c>
      <c r="H41" s="521" t="s">
        <v>9</v>
      </c>
      <c r="I41" s="521" t="s">
        <v>901</v>
      </c>
      <c r="J41" s="522" t="s">
        <v>880</v>
      </c>
      <c r="K41" s="523"/>
      <c r="L41" s="520" t="str">
        <f>G41</f>
        <v>GEWICHT</v>
      </c>
      <c r="M41" s="521" t="s">
        <v>9</v>
      </c>
      <c r="N41" s="521" t="str">
        <f>I41</f>
        <v>SxR/RPE 9</v>
      </c>
      <c r="O41" s="522" t="s">
        <v>880</v>
      </c>
      <c r="P41" s="523"/>
      <c r="Q41" s="520" t="str">
        <f>L41</f>
        <v>GEWICHT</v>
      </c>
      <c r="R41" s="521" t="s">
        <v>9</v>
      </c>
      <c r="S41" s="521" t="str">
        <f>I41</f>
        <v>SxR/RPE 9</v>
      </c>
      <c r="T41" s="522" t="s">
        <v>880</v>
      </c>
    </row>
    <row r="42" spans="2:20" s="1" customFormat="1" ht="19.899999999999999" customHeight="1" x14ac:dyDescent="0.25">
      <c r="B42" s="9">
        <v>13</v>
      </c>
      <c r="C42" s="560" t="s">
        <v>208</v>
      </c>
      <c r="D42" s="560"/>
      <c r="E42" s="561"/>
      <c r="G42" s="21"/>
      <c r="H42" s="22" t="s">
        <v>900</v>
      </c>
      <c r="I42" s="22" t="s">
        <v>722</v>
      </c>
      <c r="J42" s="23"/>
      <c r="L42" s="21"/>
      <c r="M42" s="22" t="str">
        <f>H42</f>
        <v>ISO</v>
      </c>
      <c r="N42" s="22" t="str">
        <f>I42</f>
        <v>1x90s</v>
      </c>
      <c r="O42" s="23"/>
      <c r="Q42" s="21"/>
      <c r="R42" s="22" t="str">
        <f>H42</f>
        <v>ISO</v>
      </c>
      <c r="S42" s="22" t="str">
        <f>N42</f>
        <v>1x90s</v>
      </c>
      <c r="T42" s="23"/>
    </row>
    <row r="43" spans="2:20" s="1" customFormat="1" ht="19.899999999999999" customHeight="1" x14ac:dyDescent="0.25">
      <c r="B43" s="3">
        <v>14</v>
      </c>
      <c r="C43" s="567" t="s">
        <v>515</v>
      </c>
      <c r="D43" s="567"/>
      <c r="E43" s="568"/>
      <c r="G43" s="27"/>
      <c r="H43" s="28" t="s">
        <v>900</v>
      </c>
      <c r="I43" s="28" t="s">
        <v>722</v>
      </c>
      <c r="J43" s="29"/>
      <c r="L43" s="27"/>
      <c r="M43" s="28" t="str">
        <f>H43</f>
        <v>ISO</v>
      </c>
      <c r="N43" s="28" t="str">
        <f>I43</f>
        <v>1x90s</v>
      </c>
      <c r="O43" s="29"/>
      <c r="Q43" s="27"/>
      <c r="R43" s="28" t="str">
        <f>H43</f>
        <v>ISO</v>
      </c>
      <c r="S43" s="28" t="str">
        <f>N43</f>
        <v>1x90s</v>
      </c>
      <c r="T43" s="29"/>
    </row>
    <row r="44" spans="2:20" s="1" customFormat="1" ht="19.899999999999999" customHeight="1" thickBot="1" x14ac:dyDescent="0.3">
      <c r="B44" s="4">
        <v>15</v>
      </c>
      <c r="C44" s="571" t="s">
        <v>353</v>
      </c>
      <c r="D44" s="571"/>
      <c r="E44" s="572"/>
      <c r="F44" s="66"/>
      <c r="G44" s="24"/>
      <c r="H44" s="25" t="s">
        <v>900</v>
      </c>
      <c r="I44" s="25" t="s">
        <v>722</v>
      </c>
      <c r="J44" s="26"/>
      <c r="K44" s="66"/>
      <c r="L44" s="24"/>
      <c r="M44" s="25" t="str">
        <f>H44</f>
        <v>ISO</v>
      </c>
      <c r="N44" s="25" t="str">
        <f>I44</f>
        <v>1x90s</v>
      </c>
      <c r="O44" s="26"/>
      <c r="P44" s="66"/>
      <c r="Q44" s="24"/>
      <c r="R44" s="25" t="str">
        <f>H44</f>
        <v>ISO</v>
      </c>
      <c r="S44" s="25" t="str">
        <f>N44</f>
        <v>1x90s</v>
      </c>
      <c r="T44" s="26"/>
    </row>
  </sheetData>
  <mergeCells count="43">
    <mergeCell ref="O2:T7"/>
    <mergeCell ref="M10:N10"/>
    <mergeCell ref="B12:T12"/>
    <mergeCell ref="B13:D13"/>
    <mergeCell ref="E13:F13"/>
    <mergeCell ref="G13:I13"/>
    <mergeCell ref="J13:M13"/>
    <mergeCell ref="N13:Q13"/>
    <mergeCell ref="R13:T13"/>
    <mergeCell ref="G16:T16"/>
    <mergeCell ref="H17:I17"/>
    <mergeCell ref="M17:N17"/>
    <mergeCell ref="R17:S17"/>
    <mergeCell ref="N15:Q15"/>
    <mergeCell ref="R15:T15"/>
    <mergeCell ref="C44:E44"/>
    <mergeCell ref="C39:E39"/>
    <mergeCell ref="C26:E26"/>
    <mergeCell ref="C28:E28"/>
    <mergeCell ref="C29:E29"/>
    <mergeCell ref="C30:E30"/>
    <mergeCell ref="B32:E32"/>
    <mergeCell ref="C33:E33"/>
    <mergeCell ref="C34:E34"/>
    <mergeCell ref="C35:E35"/>
    <mergeCell ref="C37:E37"/>
    <mergeCell ref="C38:E38"/>
    <mergeCell ref="B14:T14"/>
    <mergeCell ref="B41:E41"/>
    <mergeCell ref="C42:E42"/>
    <mergeCell ref="C43:E43"/>
    <mergeCell ref="C19:E19"/>
    <mergeCell ref="C20:E20"/>
    <mergeCell ref="C21:E21"/>
    <mergeCell ref="B23:E23"/>
    <mergeCell ref="C24:E24"/>
    <mergeCell ref="C25:E25"/>
    <mergeCell ref="B18:E18"/>
    <mergeCell ref="B15:D15"/>
    <mergeCell ref="E15:F15"/>
    <mergeCell ref="G15:I15"/>
    <mergeCell ref="J15:M15"/>
    <mergeCell ref="B16:E17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583F8F82-0406-483A-89D3-EAD43758BE8A}">
          <x14:formula1>
            <xm:f>' Unterkörper Progressionen '!$Z$2:$Z$17</xm:f>
          </x14:formula1>
          <xm:sqref>N29 S38 S34 N34 N38 S29</xm:sqref>
        </x14:dataValidation>
        <x14:dataValidation type="list" allowBlank="1" showInputMessage="1" showErrorMessage="1" xr:uid="{84B12E92-ED93-49B2-92D9-9AFD1D9A2F70}">
          <x14:formula1>
            <xm:f>'Oberkörper Progressionen '!$S:$S</xm:f>
          </x14:formula1>
          <xm:sqref>C44:E44</xm:sqref>
        </x14:dataValidation>
        <x14:dataValidation type="list" allowBlank="1" showInputMessage="1" showErrorMessage="1" xr:uid="{2E0EA590-52E5-4C52-9CE5-095CBEA78489}">
          <x14:formula1>
            <xm:f>'Oberkörper Progressionen '!$R:$R</xm:f>
          </x14:formula1>
          <xm:sqref>C42:E42</xm:sqref>
        </x14:dataValidation>
        <x14:dataValidation type="list" allowBlank="1" showInputMessage="1" showErrorMessage="1" xr:uid="{C976813F-4942-466B-B130-F85CA7CE18E3}">
          <x14:formula1>
            <xm:f>'Oberkörper Progressionen '!$K:$K</xm:f>
          </x14:formula1>
          <xm:sqref>C39:E40</xm:sqref>
        </x14:dataValidation>
        <x14:dataValidation type="list" allowBlank="1" showInputMessage="1" showErrorMessage="1" xr:uid="{80B5F4C2-C3FB-4D86-89FF-6222DA1637C6}">
          <x14:formula1>
            <xm:f>'Oberkörper Progressionen '!$P:$P</xm:f>
          </x14:formula1>
          <xm:sqref>C38:E38</xm:sqref>
        </x14:dataValidation>
        <x14:dataValidation type="list" allowBlank="1" showInputMessage="1" showErrorMessage="1" xr:uid="{FF18D4D8-FDEA-47E6-AD90-4B48416EE4F0}">
          <x14:formula1>
            <xm:f>'Oberkörper Progressionen '!$O:$O</xm:f>
          </x14:formula1>
          <xm:sqref>C37:E37</xm:sqref>
        </x14:dataValidation>
        <x14:dataValidation type="list" allowBlank="1" showInputMessage="1" showErrorMessage="1" xr:uid="{0D6A96AF-3377-40C1-8A10-9957AE2750EC}">
          <x14:formula1>
            <xm:f>'Oberkörper Progressionen '!$J:$J</xm:f>
          </x14:formula1>
          <xm:sqref>C35:E35</xm:sqref>
        </x14:dataValidation>
        <x14:dataValidation type="list" allowBlank="1" showInputMessage="1" showErrorMessage="1" xr:uid="{6E329172-05CB-4701-B71B-C514C7189D32}">
          <x14:formula1>
            <xm:f>'Oberkörper Progressionen '!$M:$M</xm:f>
          </x14:formula1>
          <xm:sqref>C34:E34</xm:sqref>
        </x14:dataValidation>
        <x14:dataValidation type="list" allowBlank="1" showInputMessage="1" showErrorMessage="1" xr:uid="{684121DD-8802-4051-9A49-9AB32514E739}">
          <x14:formula1>
            <xm:f>'Oberkörper Progressionen '!$L:$L</xm:f>
          </x14:formula1>
          <xm:sqref>C33:E33</xm:sqref>
        </x14:dataValidation>
        <x14:dataValidation type="list" allowBlank="1" showInputMessage="1" showErrorMessage="1" xr:uid="{EEA2BAAA-61B0-4EEA-BE92-A9700CC4C6CA}">
          <x14:formula1>
            <xm:f>'Oberkörper Progressionen '!$G:$G</xm:f>
          </x14:formula1>
          <xm:sqref>C30:E31</xm:sqref>
        </x14:dataValidation>
        <x14:dataValidation type="list" allowBlank="1" showInputMessage="1" showErrorMessage="1" xr:uid="{5598F3BA-A16A-44AC-8C63-EC2CAE576DA6}">
          <x14:formula1>
            <xm:f>'Oberkörper Progressionen '!$I:$I</xm:f>
          </x14:formula1>
          <xm:sqref>C29:E29</xm:sqref>
        </x14:dataValidation>
        <x14:dataValidation type="list" allowBlank="1" showInputMessage="1" showErrorMessage="1" xr:uid="{7AA1FC5D-4824-4FD6-AACD-E0F99C346647}">
          <x14:formula1>
            <xm:f>'Oberkörper Progressionen '!$H:$H</xm:f>
          </x14:formula1>
          <xm:sqref>C28:E28</xm:sqref>
        </x14:dataValidation>
        <x14:dataValidation type="list" allowBlank="1" showInputMessage="1" showErrorMessage="1" xr:uid="{40A9700E-0EDD-457B-A286-D8CB5084FD18}">
          <x14:formula1>
            <xm:f>'Oberkörper Progressionen '!$N:$N</xm:f>
          </x14:formula1>
          <xm:sqref>C26:E26</xm:sqref>
        </x14:dataValidation>
        <x14:dataValidation type="list" allowBlank="1" showInputMessage="1" showErrorMessage="1" xr:uid="{3A8C3A7F-1A82-44D7-A077-5D969DDEB4D7}">
          <x14:formula1>
            <xm:f>'Oberkörper Progressionen '!$F:$F</xm:f>
          </x14:formula1>
          <xm:sqref>C25:E25</xm:sqref>
        </x14:dataValidation>
        <x14:dataValidation type="list" allowBlank="1" showInputMessage="1" showErrorMessage="1" xr:uid="{EF6CB20F-1D30-4543-A6E8-E84161DDDC8B}">
          <x14:formula1>
            <xm:f>'Oberkörper Progressionen '!$E:$E</xm:f>
          </x14:formula1>
          <xm:sqref>C24:E24</xm:sqref>
        </x14:dataValidation>
        <x14:dataValidation type="list" allowBlank="1" showInputMessage="1" showErrorMessage="1" xr:uid="{E725B30E-2C26-4DE9-A41C-D4041CE0475F}">
          <x14:formula1>
            <xm:f>'Oberkörper Progressionen '!$B:$B</xm:f>
          </x14:formula1>
          <xm:sqref>C19:E19</xm:sqref>
        </x14:dataValidation>
        <x14:dataValidation type="list" allowBlank="1" showInputMessage="1" showErrorMessage="1" xr:uid="{D02E911D-A03C-47E8-B5B0-A6F6BD70A242}">
          <x14:formula1>
            <xm:f>'Oberkörper Progressionen '!$Q:$Q</xm:f>
          </x14:formula1>
          <xm:sqref>C43:E43</xm:sqref>
        </x14:dataValidation>
        <x14:dataValidation type="list" allowBlank="1" showInputMessage="1" showErrorMessage="1" xr:uid="{BCB01409-6ED5-4F44-A5E8-F3D069891F9B}">
          <x14:formula1>
            <xm:f>'Oberkörper Progressionen '!$D:$D</xm:f>
          </x14:formula1>
          <xm:sqref>C21:E21</xm:sqref>
        </x14:dataValidation>
        <x14:dataValidation type="list" allowBlank="1" showInputMessage="1" showErrorMessage="1" xr:uid="{0C493872-F83D-4B6F-B823-C261C2E9B528}">
          <x14:formula1>
            <xm:f>'Oberkörper Progressionen '!$C:$C</xm:f>
          </x14:formula1>
          <xm:sqref>C20:E20</xm:sqref>
        </x14:dataValidation>
        <x14:dataValidation type="list" allowBlank="1" showInputMessage="1" showErrorMessage="1" xr:uid="{5EFB8C7B-467B-4208-924C-68251922AB70}">
          <x14:formula1>
            <xm:f>' Unterkörper Progressionen '!$AA:$AA</xm:f>
          </x14:formula1>
          <xm:sqref>J20:J21</xm:sqref>
        </x14:dataValidation>
        <x14:dataValidation type="list" allowBlank="1" showInputMessage="1" showErrorMessage="1" xr:uid="{39AD2F7D-643F-4F50-B5F4-403CC5EF15AE}">
          <x14:formula1>
            <xm:f>' Unterkörper Progressionen '!$Z:$Z</xm:f>
          </x14:formula1>
          <xm:sqref>I42:I44 I24:I25 I28:I31 I33:I35 I37:I40</xm:sqref>
        </x14:dataValidation>
        <x14:dataValidation type="list" allowBlank="1" showInputMessage="1" showErrorMessage="1" xr:uid="{6D68EA6E-9E72-461C-BAFA-D3E891E082DD}">
          <x14:formula1>
            <xm:f>' Unterkörper Progressionen '!$AC:$AC</xm:f>
          </x14:formula1>
          <xm:sqref>S32 S23 I23 N23 S41 N41 I41 I32 N32</xm:sqref>
        </x14:dataValidation>
        <x14:dataValidation type="list" allowBlank="1" showInputMessage="1" showErrorMessage="1" xr:uid="{255A4751-DF54-4739-903C-CA9479A2980D}">
          <x14:formula1>
            <xm:f>' Unterkörper Progressionen '!$AB:$AB</xm:f>
          </x14:formula1>
          <xm:sqref>H19:H21 H42:H44 H37:H39 H33:H35 H28:H30 H24:H26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35E4-B2CE-4358-83F0-F3ACA13C51E8}">
  <sheetPr>
    <pageSetUpPr fitToPage="1"/>
  </sheetPr>
  <dimension ref="B1:X54"/>
  <sheetViews>
    <sheetView topLeftCell="A22" zoomScaleNormal="100" workbookViewId="0">
      <selection activeCell="C39" sqref="C39:E39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ht="16.5" hidden="1" thickBot="1" x14ac:dyDescent="0.3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">
        <v>192</v>
      </c>
      <c r="C13" s="631"/>
      <c r="D13" s="631"/>
      <c r="E13" s="633" t="s">
        <v>741</v>
      </c>
      <c r="F13" s="634"/>
      <c r="G13" s="631" t="s">
        <v>41</v>
      </c>
      <c r="H13" s="631"/>
      <c r="I13" s="631"/>
      <c r="J13" s="631" t="s">
        <v>26</v>
      </c>
      <c r="K13" s="631"/>
      <c r="L13" s="631"/>
      <c r="M13" s="631"/>
      <c r="N13" s="631" t="s">
        <v>744</v>
      </c>
      <c r="O13" s="631"/>
      <c r="P13" s="631"/>
      <c r="Q13" s="631"/>
      <c r="R13" s="631" t="s">
        <v>702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">
        <v>686</v>
      </c>
      <c r="C15" s="553"/>
      <c r="D15" s="553"/>
      <c r="E15" s="625" t="s">
        <v>326</v>
      </c>
      <c r="F15" s="626"/>
      <c r="G15" s="553" t="s">
        <v>303</v>
      </c>
      <c r="H15" s="553"/>
      <c r="I15" s="553"/>
      <c r="J15" s="553" t="s">
        <v>343</v>
      </c>
      <c r="K15" s="553"/>
      <c r="L15" s="553"/>
      <c r="M15" s="553"/>
      <c r="N15" s="553" t="s">
        <v>62</v>
      </c>
      <c r="O15" s="553"/>
      <c r="P15" s="553"/>
      <c r="Q15" s="553"/>
      <c r="R15" s="553" t="s">
        <v>158</v>
      </c>
      <c r="S15" s="553"/>
      <c r="T15" s="556"/>
    </row>
    <row r="16" spans="2:23" ht="4.9000000000000004" hidden="1" customHeight="1" thickBot="1" x14ac:dyDescent="0.3"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2:24" ht="18" customHeight="1" thickBot="1" x14ac:dyDescent="0.3">
      <c r="B17" s="619" t="s">
        <v>371</v>
      </c>
      <c r="C17" s="620"/>
      <c r="D17" s="620"/>
      <c r="E17" s="621"/>
      <c r="F17" s="310"/>
      <c r="G17" s="589" t="s">
        <v>116</v>
      </c>
      <c r="H17" s="590"/>
      <c r="I17" s="590"/>
      <c r="J17" s="590"/>
      <c r="K17" s="590"/>
      <c r="L17" s="590"/>
      <c r="M17" s="590"/>
      <c r="N17" s="590"/>
      <c r="O17" s="590"/>
      <c r="P17" s="590"/>
      <c r="Q17" s="590"/>
      <c r="R17" s="590"/>
      <c r="S17" s="590"/>
      <c r="T17" s="591"/>
    </row>
    <row r="18" spans="2:24" ht="21.6" customHeight="1" thickBot="1" x14ac:dyDescent="0.3">
      <c r="B18" s="622"/>
      <c r="C18" s="623"/>
      <c r="D18" s="623"/>
      <c r="E18" s="624"/>
      <c r="F18" s="1"/>
      <c r="G18" s="70" t="s">
        <v>865</v>
      </c>
      <c r="H18" s="582" t="s">
        <v>877</v>
      </c>
      <c r="I18" s="583"/>
      <c r="J18" s="71" t="s">
        <v>866</v>
      </c>
      <c r="K18" s="64"/>
      <c r="L18" s="70" t="s">
        <v>867</v>
      </c>
      <c r="M18" s="582" t="s">
        <v>878</v>
      </c>
      <c r="N18" s="583"/>
      <c r="O18" s="71" t="s">
        <v>868</v>
      </c>
      <c r="P18" s="64"/>
      <c r="Q18" s="70" t="s">
        <v>869</v>
      </c>
      <c r="R18" s="595" t="s">
        <v>879</v>
      </c>
      <c r="S18" s="596"/>
      <c r="T18" s="71" t="s">
        <v>870</v>
      </c>
      <c r="W18" s="36"/>
      <c r="X18" s="1"/>
    </row>
    <row r="19" spans="2:24" ht="18" customHeight="1" thickBot="1" x14ac:dyDescent="0.3">
      <c r="B19" s="650" t="s">
        <v>8</v>
      </c>
      <c r="C19" s="651"/>
      <c r="D19" s="651"/>
      <c r="E19" s="652"/>
      <c r="F19" s="72"/>
      <c r="G19" s="529" t="s">
        <v>880</v>
      </c>
      <c r="H19" s="530" t="s">
        <v>9</v>
      </c>
      <c r="I19" s="530" t="s">
        <v>11</v>
      </c>
      <c r="J19" s="531" t="s">
        <v>880</v>
      </c>
      <c r="K19" s="1"/>
      <c r="L19" s="529" t="s">
        <v>9</v>
      </c>
      <c r="M19" s="530" t="s">
        <v>10</v>
      </c>
      <c r="N19" s="530" t="s">
        <v>11</v>
      </c>
      <c r="O19" s="531" t="s">
        <v>880</v>
      </c>
      <c r="P19" s="1"/>
      <c r="Q19" s="532" t="s">
        <v>9</v>
      </c>
      <c r="R19" s="533" t="s">
        <v>10</v>
      </c>
      <c r="S19" s="533" t="s">
        <v>11</v>
      </c>
      <c r="T19" s="534" t="s">
        <v>880</v>
      </c>
      <c r="W19" s="37"/>
      <c r="X19" s="1"/>
    </row>
    <row r="20" spans="2:24" s="1" customFormat="1" ht="19.899999999999999" customHeight="1" x14ac:dyDescent="0.25">
      <c r="B20" s="9">
        <v>1</v>
      </c>
      <c r="C20" s="560" t="s">
        <v>756</v>
      </c>
      <c r="D20" s="560"/>
      <c r="E20" s="561"/>
      <c r="G20" s="18"/>
      <c r="H20" s="22" t="s">
        <v>12</v>
      </c>
      <c r="I20" s="19" t="s">
        <v>14</v>
      </c>
      <c r="J20" s="20" t="s">
        <v>16</v>
      </c>
      <c r="L20" s="18" t="s">
        <v>12</v>
      </c>
      <c r="M20" s="19"/>
      <c r="N20" s="19" t="s">
        <v>14</v>
      </c>
      <c r="O20" s="20" t="s">
        <v>16</v>
      </c>
      <c r="Q20" s="43" t="s">
        <v>12</v>
      </c>
      <c r="R20" s="44"/>
      <c r="S20" s="44" t="s">
        <v>14</v>
      </c>
      <c r="T20" s="45" t="s">
        <v>16</v>
      </c>
      <c r="W20" s="36"/>
    </row>
    <row r="21" spans="2:24" s="1" customFormat="1" ht="19.899999999999999" customHeight="1" x14ac:dyDescent="0.25">
      <c r="B21" s="3">
        <v>2</v>
      </c>
      <c r="C21" s="567" t="s">
        <v>763</v>
      </c>
      <c r="D21" s="567"/>
      <c r="E21" s="568"/>
      <c r="G21" s="67"/>
      <c r="H21" s="28" t="s">
        <v>12</v>
      </c>
      <c r="I21" s="68" t="s">
        <v>14</v>
      </c>
      <c r="J21" s="69"/>
      <c r="L21" s="67" t="s">
        <v>12</v>
      </c>
      <c r="M21" s="68"/>
      <c r="N21" s="68" t="s">
        <v>14</v>
      </c>
      <c r="O21" s="69"/>
      <c r="Q21" s="75" t="s">
        <v>12</v>
      </c>
      <c r="R21" s="76"/>
      <c r="S21" s="76" t="s">
        <v>14</v>
      </c>
      <c r="T21" s="77"/>
      <c r="W21" s="36"/>
    </row>
    <row r="22" spans="2:24" s="1" customFormat="1" ht="19.899999999999999" customHeight="1" thickBot="1" x14ac:dyDescent="0.3">
      <c r="B22" s="4">
        <v>3</v>
      </c>
      <c r="C22" s="565" t="s">
        <v>764</v>
      </c>
      <c r="D22" s="565"/>
      <c r="E22" s="566"/>
      <c r="G22" s="24"/>
      <c r="H22" s="25" t="s">
        <v>12</v>
      </c>
      <c r="I22" s="25" t="s">
        <v>14</v>
      </c>
      <c r="J22" s="26"/>
      <c r="L22" s="24" t="s">
        <v>12</v>
      </c>
      <c r="M22" s="25"/>
      <c r="N22" s="25" t="s">
        <v>14</v>
      </c>
      <c r="O22" s="26"/>
      <c r="Q22" s="46" t="s">
        <v>12</v>
      </c>
      <c r="R22" s="47"/>
      <c r="S22" s="47" t="s">
        <v>14</v>
      </c>
      <c r="T22" s="48"/>
    </row>
    <row r="23" spans="2:24" s="2" customFormat="1" ht="4.9000000000000004" customHeight="1" thickBot="1" x14ac:dyDescent="0.3">
      <c r="B23" s="73"/>
      <c r="G23" s="1"/>
      <c r="H23" s="1"/>
      <c r="Q23" s="49"/>
      <c r="R23" s="49"/>
      <c r="S23" s="49"/>
      <c r="T23" s="74"/>
      <c r="X23" s="1"/>
    </row>
    <row r="24" spans="2:24" s="1" customFormat="1" ht="18" customHeight="1" thickBot="1" x14ac:dyDescent="0.3">
      <c r="B24" s="616" t="s">
        <v>882</v>
      </c>
      <c r="C24" s="617"/>
      <c r="D24" s="617"/>
      <c r="E24" s="618"/>
      <c r="G24" s="511" t="s">
        <v>880</v>
      </c>
      <c r="H24" s="512" t="s">
        <v>9</v>
      </c>
      <c r="I24" s="512" t="s">
        <v>897</v>
      </c>
      <c r="J24" s="513" t="s">
        <v>880</v>
      </c>
      <c r="L24" s="511" t="str">
        <f>G24</f>
        <v>GEWICHT</v>
      </c>
      <c r="M24" s="512" t="s">
        <v>9</v>
      </c>
      <c r="N24" s="512" t="str">
        <f>I24</f>
        <v>SxR/RPE 8-9</v>
      </c>
      <c r="O24" s="513" t="s">
        <v>880</v>
      </c>
      <c r="Q24" s="514" t="str">
        <f>L24</f>
        <v>GEWICHT</v>
      </c>
      <c r="R24" s="515" t="s">
        <v>9</v>
      </c>
      <c r="S24" s="512" t="str">
        <f>I24</f>
        <v>SxR/RPE 8-9</v>
      </c>
      <c r="T24" s="516" t="s">
        <v>880</v>
      </c>
    </row>
    <row r="25" spans="2:24" s="1" customFormat="1" ht="19.899999999999999" customHeight="1" x14ac:dyDescent="0.25">
      <c r="B25" s="9">
        <v>1</v>
      </c>
      <c r="C25" s="560" t="s">
        <v>904</v>
      </c>
      <c r="D25" s="560"/>
      <c r="E25" s="561"/>
      <c r="G25" s="21"/>
      <c r="H25" s="22" t="s">
        <v>888</v>
      </c>
      <c r="I25" s="28" t="s">
        <v>623</v>
      </c>
      <c r="J25" s="23"/>
      <c r="L25" s="21"/>
      <c r="M25" s="22" t="str">
        <f t="shared" ref="M25:M26" si="0">H25</f>
        <v>3-1-1-0</v>
      </c>
      <c r="N25" s="22" t="str">
        <f>I25</f>
        <v>1x10</v>
      </c>
      <c r="O25" s="23"/>
      <c r="Q25" s="50"/>
      <c r="R25" s="52" t="str">
        <f t="shared" ref="R25:R26" si="1">M25</f>
        <v>3-1-1-0</v>
      </c>
      <c r="S25" s="52" t="str">
        <f>N25</f>
        <v>1x10</v>
      </c>
      <c r="T25" s="53"/>
    </row>
    <row r="26" spans="2:24" s="1" customFormat="1" ht="19.899999999999999" customHeight="1" x14ac:dyDescent="0.25">
      <c r="B26" s="3">
        <v>2</v>
      </c>
      <c r="C26" s="567" t="s">
        <v>164</v>
      </c>
      <c r="D26" s="567"/>
      <c r="E26" s="568"/>
      <c r="G26" s="27"/>
      <c r="H26" s="28" t="s">
        <v>889</v>
      </c>
      <c r="I26" s="28" t="s">
        <v>623</v>
      </c>
      <c r="J26" s="29"/>
      <c r="L26" s="27"/>
      <c r="M26" s="28" t="str">
        <f t="shared" si="0"/>
        <v>3-1-1-1</v>
      </c>
      <c r="N26" s="28" t="str">
        <f>I26</f>
        <v>1x10</v>
      </c>
      <c r="O26" s="29"/>
      <c r="Q26" s="54"/>
      <c r="R26" s="56" t="str">
        <f t="shared" si="1"/>
        <v>3-1-1-1</v>
      </c>
      <c r="S26" s="56" t="str">
        <f>N26</f>
        <v>1x10</v>
      </c>
      <c r="T26" s="57"/>
    </row>
    <row r="27" spans="2:24" s="1" customFormat="1" ht="19.899999999999999" customHeight="1" thickBot="1" x14ac:dyDescent="0.3">
      <c r="B27" s="4">
        <v>3</v>
      </c>
      <c r="C27" s="565" t="s">
        <v>51</v>
      </c>
      <c r="D27" s="565"/>
      <c r="E27" s="566"/>
      <c r="G27" s="24"/>
      <c r="H27" s="25" t="s">
        <v>900</v>
      </c>
      <c r="I27" s="25" t="s">
        <v>14</v>
      </c>
      <c r="J27" s="26"/>
      <c r="L27" s="24"/>
      <c r="M27" s="25" t="str">
        <f>H27</f>
        <v>ISO</v>
      </c>
      <c r="N27" s="25" t="str">
        <f>I27</f>
        <v>3x5</v>
      </c>
      <c r="O27" s="26"/>
      <c r="Q27" s="46"/>
      <c r="R27" s="47" t="str">
        <f>H27</f>
        <v>ISO</v>
      </c>
      <c r="S27" s="47" t="str">
        <f>N27</f>
        <v>3x5</v>
      </c>
      <c r="T27" s="48"/>
    </row>
    <row r="28" spans="2:24" s="2" customFormat="1" ht="4.9000000000000004" customHeight="1" thickBot="1" x14ac:dyDescent="0.3">
      <c r="B28" s="73"/>
      <c r="G28" s="1"/>
      <c r="H28" s="1"/>
      <c r="L28" s="1"/>
      <c r="M28" s="1"/>
      <c r="Q28" s="547"/>
      <c r="R28" s="547"/>
      <c r="S28" s="49"/>
      <c r="T28" s="74"/>
    </row>
    <row r="29" spans="2:24" s="1" customFormat="1" ht="19.899999999999999" customHeight="1" x14ac:dyDescent="0.25">
      <c r="B29" s="9">
        <v>4</v>
      </c>
      <c r="C29" s="560" t="s">
        <v>693</v>
      </c>
      <c r="D29" s="560"/>
      <c r="E29" s="561"/>
      <c r="G29" s="21"/>
      <c r="H29" s="22" t="s">
        <v>888</v>
      </c>
      <c r="I29" s="22" t="s">
        <v>623</v>
      </c>
      <c r="J29" s="23"/>
      <c r="L29" s="21"/>
      <c r="M29" s="22" t="str">
        <f t="shared" ref="M29:M30" si="2">H29</f>
        <v>3-1-1-0</v>
      </c>
      <c r="N29" s="22" t="str">
        <f>I29</f>
        <v>1x10</v>
      </c>
      <c r="O29" s="23"/>
      <c r="Q29" s="50"/>
      <c r="R29" s="52" t="str">
        <f>H29</f>
        <v>3-1-1-0</v>
      </c>
      <c r="S29" s="52" t="str">
        <f>N29</f>
        <v>1x10</v>
      </c>
      <c r="T29" s="53"/>
    </row>
    <row r="30" spans="2:24" s="1" customFormat="1" ht="19.899999999999999" customHeight="1" x14ac:dyDescent="0.25">
      <c r="B30" s="3">
        <v>5</v>
      </c>
      <c r="C30" s="567" t="s">
        <v>475</v>
      </c>
      <c r="D30" s="567"/>
      <c r="E30" s="568"/>
      <c r="G30" s="27"/>
      <c r="H30" s="28" t="s">
        <v>889</v>
      </c>
      <c r="I30" s="28" t="s">
        <v>623</v>
      </c>
      <c r="J30" s="29"/>
      <c r="L30" s="27"/>
      <c r="M30" s="28" t="str">
        <f t="shared" si="2"/>
        <v>3-1-1-1</v>
      </c>
      <c r="N30" s="28" t="str">
        <f>I30</f>
        <v>1x10</v>
      </c>
      <c r="O30" s="29"/>
      <c r="Q30" s="54"/>
      <c r="R30" s="56" t="str">
        <f>H29</f>
        <v>3-1-1-0</v>
      </c>
      <c r="S30" s="28" t="str">
        <f>N30</f>
        <v>1x10</v>
      </c>
      <c r="T30" s="57"/>
    </row>
    <row r="31" spans="2:24" s="1" customFormat="1" ht="19.899999999999999" customHeight="1" thickBot="1" x14ac:dyDescent="0.3">
      <c r="B31" s="4">
        <v>6</v>
      </c>
      <c r="C31" s="565" t="s">
        <v>83</v>
      </c>
      <c r="D31" s="565"/>
      <c r="E31" s="566"/>
      <c r="G31" s="24"/>
      <c r="H31" s="25" t="s">
        <v>900</v>
      </c>
      <c r="I31" s="25" t="s">
        <v>715</v>
      </c>
      <c r="J31" s="26"/>
      <c r="L31" s="24"/>
      <c r="M31" s="25" t="str">
        <f>H31</f>
        <v>ISO</v>
      </c>
      <c r="N31" s="25" t="str">
        <f>I31</f>
        <v>3x10s ea</v>
      </c>
      <c r="O31" s="26"/>
      <c r="Q31" s="46"/>
      <c r="R31" s="47" t="str">
        <f>H31</f>
        <v>ISO</v>
      </c>
      <c r="S31" s="47" t="str">
        <f>N31</f>
        <v>3x10s ea</v>
      </c>
      <c r="T31" s="48"/>
    </row>
    <row r="32" spans="2:24" s="1" customFormat="1" ht="5.0999999999999996" customHeight="1" thickBot="1" x14ac:dyDescent="0.3">
      <c r="B32" s="4"/>
      <c r="C32" s="66"/>
      <c r="D32" s="66"/>
      <c r="E32" s="113"/>
      <c r="G32" s="4"/>
      <c r="H32" s="66"/>
      <c r="I32" s="66"/>
      <c r="J32" s="66"/>
      <c r="L32" s="66"/>
      <c r="M32" s="66"/>
      <c r="N32" s="66"/>
      <c r="O32" s="66"/>
      <c r="Q32" s="115"/>
      <c r="R32" s="115"/>
      <c r="S32" s="115"/>
      <c r="T32" s="116"/>
    </row>
    <row r="33" spans="2:22" s="2" customFormat="1" ht="18" customHeight="1" thickBot="1" x14ac:dyDescent="0.3">
      <c r="B33" s="610" t="s">
        <v>883</v>
      </c>
      <c r="C33" s="611"/>
      <c r="D33" s="611"/>
      <c r="E33" s="612"/>
      <c r="F33" s="64"/>
      <c r="G33" s="541" t="s">
        <v>880</v>
      </c>
      <c r="H33" s="542" t="s">
        <v>9</v>
      </c>
      <c r="I33" s="542" t="s">
        <v>897</v>
      </c>
      <c r="J33" s="543" t="s">
        <v>880</v>
      </c>
      <c r="K33" s="1"/>
      <c r="L33" s="541" t="s">
        <v>880</v>
      </c>
      <c r="M33" s="542" t="s">
        <v>9</v>
      </c>
      <c r="N33" s="542" t="str">
        <f>I33</f>
        <v>SxR/RPE 8-9</v>
      </c>
      <c r="O33" s="543" t="s">
        <v>880</v>
      </c>
      <c r="P33" s="1"/>
      <c r="Q33" s="541" t="s">
        <v>880</v>
      </c>
      <c r="R33" s="542" t="s">
        <v>9</v>
      </c>
      <c r="S33" s="542" t="str">
        <f>I33</f>
        <v>SxR/RPE 8-9</v>
      </c>
      <c r="T33" s="543" t="s">
        <v>880</v>
      </c>
    </row>
    <row r="34" spans="2:22" s="1" customFormat="1" ht="19.899999999999999" customHeight="1" x14ac:dyDescent="0.25">
      <c r="B34" s="9">
        <v>7</v>
      </c>
      <c r="C34" s="560" t="s">
        <v>469</v>
      </c>
      <c r="D34" s="560"/>
      <c r="E34" s="561"/>
      <c r="G34" s="21"/>
      <c r="H34" s="22" t="s">
        <v>889</v>
      </c>
      <c r="I34" s="22" t="s">
        <v>623</v>
      </c>
      <c r="J34" s="23"/>
      <c r="L34" s="21"/>
      <c r="M34" s="22" t="str">
        <f t="shared" ref="M34:M36" si="3">H34</f>
        <v>3-1-1-1</v>
      </c>
      <c r="N34" s="22" t="str">
        <f>I34</f>
        <v>1x10</v>
      </c>
      <c r="O34" s="23"/>
      <c r="Q34" s="50"/>
      <c r="R34" s="52" t="str">
        <f>H34</f>
        <v>3-1-1-1</v>
      </c>
      <c r="S34" s="52" t="str">
        <f>I34</f>
        <v>1x10</v>
      </c>
      <c r="T34" s="53"/>
    </row>
    <row r="35" spans="2:22" s="1" customFormat="1" ht="19.899999999999999" customHeight="1" x14ac:dyDescent="0.25">
      <c r="B35" s="3">
        <v>8</v>
      </c>
      <c r="C35" s="567" t="s">
        <v>427</v>
      </c>
      <c r="D35" s="567"/>
      <c r="E35" s="568"/>
      <c r="G35" s="27"/>
      <c r="H35" s="28" t="s">
        <v>910</v>
      </c>
      <c r="I35" s="28" t="s">
        <v>754</v>
      </c>
      <c r="J35" s="29"/>
      <c r="L35" s="27"/>
      <c r="M35" s="28" t="str">
        <f t="shared" si="3"/>
        <v>2-2-2-2</v>
      </c>
      <c r="N35" s="28" t="str">
        <f>I35</f>
        <v>3x5 ea</v>
      </c>
      <c r="O35" s="29"/>
      <c r="Q35" s="54"/>
      <c r="R35" s="56" t="str">
        <f>H35</f>
        <v>2-2-2-2</v>
      </c>
      <c r="S35" s="28" t="str">
        <f>N35</f>
        <v>3x5 ea</v>
      </c>
      <c r="T35" s="57"/>
    </row>
    <row r="36" spans="2:22" s="1" customFormat="1" ht="19.899999999999999" customHeight="1" thickBot="1" x14ac:dyDescent="0.3">
      <c r="B36" s="4">
        <v>9</v>
      </c>
      <c r="C36" s="565" t="s">
        <v>769</v>
      </c>
      <c r="D36" s="565"/>
      <c r="E36" s="566"/>
      <c r="G36" s="24"/>
      <c r="H36" s="25" t="s">
        <v>890</v>
      </c>
      <c r="I36" s="25" t="s">
        <v>623</v>
      </c>
      <c r="J36" s="26"/>
      <c r="L36" s="24"/>
      <c r="M36" s="25" t="str">
        <f t="shared" si="3"/>
        <v>2-1-1-0</v>
      </c>
      <c r="N36" s="25" t="str">
        <f>I36</f>
        <v>1x10</v>
      </c>
      <c r="O36" s="26"/>
      <c r="Q36" s="46"/>
      <c r="R36" s="47" t="str">
        <f>H36</f>
        <v>2-1-1-0</v>
      </c>
      <c r="S36" s="47" t="str">
        <f>N36</f>
        <v>1x10</v>
      </c>
      <c r="T36" s="48"/>
    </row>
    <row r="37" spans="2:22" s="2" customFormat="1" ht="4.9000000000000004" customHeight="1" thickBot="1" x14ac:dyDescent="0.3">
      <c r="B37" s="73"/>
      <c r="G37" s="1"/>
      <c r="H37" s="1"/>
      <c r="L37" s="1"/>
      <c r="M37" s="1"/>
      <c r="Q37" s="547"/>
      <c r="R37" s="547"/>
      <c r="S37" s="49"/>
      <c r="T37" s="74"/>
    </row>
    <row r="38" spans="2:22" s="1" customFormat="1" ht="19.899999999999999" customHeight="1" x14ac:dyDescent="0.25">
      <c r="B38" s="9">
        <v>10</v>
      </c>
      <c r="C38" s="560" t="s">
        <v>309</v>
      </c>
      <c r="D38" s="560"/>
      <c r="E38" s="561"/>
      <c r="G38" s="21"/>
      <c r="H38" s="22" t="s">
        <v>889</v>
      </c>
      <c r="I38" s="22" t="s">
        <v>623</v>
      </c>
      <c r="J38" s="23"/>
      <c r="L38" s="21"/>
      <c r="M38" s="22" t="str">
        <f t="shared" ref="M38:M40" si="4">H38</f>
        <v>3-1-1-1</v>
      </c>
      <c r="N38" s="22" t="str">
        <f>I38</f>
        <v>1x10</v>
      </c>
      <c r="O38" s="23"/>
      <c r="Q38" s="21"/>
      <c r="R38" s="22" t="str">
        <f>H38</f>
        <v>3-1-1-1</v>
      </c>
      <c r="S38" s="52" t="str">
        <f>N38</f>
        <v>1x10</v>
      </c>
      <c r="T38" s="23"/>
    </row>
    <row r="39" spans="2:22" s="1" customFormat="1" ht="19.899999999999999" customHeight="1" x14ac:dyDescent="0.25">
      <c r="B39" s="3">
        <v>11</v>
      </c>
      <c r="C39" s="567" t="s">
        <v>770</v>
      </c>
      <c r="D39" s="567"/>
      <c r="E39" s="568"/>
      <c r="G39" s="27"/>
      <c r="H39" s="28" t="s">
        <v>900</v>
      </c>
      <c r="I39" s="28" t="s">
        <v>715</v>
      </c>
      <c r="J39" s="29"/>
      <c r="L39" s="27"/>
      <c r="M39" s="28" t="str">
        <f t="shared" si="4"/>
        <v>ISO</v>
      </c>
      <c r="N39" s="28" t="str">
        <f>I39</f>
        <v>3x10s ea</v>
      </c>
      <c r="O39" s="29"/>
      <c r="Q39" s="27"/>
      <c r="R39" s="28" t="str">
        <f>H39</f>
        <v>ISO</v>
      </c>
      <c r="S39" s="28" t="str">
        <f>N39</f>
        <v>3x10s ea</v>
      </c>
      <c r="T39" s="29"/>
    </row>
    <row r="40" spans="2:22" s="1" customFormat="1" ht="19.899999999999999" customHeight="1" thickBot="1" x14ac:dyDescent="0.3">
      <c r="B40" s="4">
        <v>12</v>
      </c>
      <c r="C40" s="565" t="s">
        <v>774</v>
      </c>
      <c r="D40" s="565"/>
      <c r="E40" s="566"/>
      <c r="G40" s="24"/>
      <c r="H40" s="25" t="s">
        <v>888</v>
      </c>
      <c r="I40" s="25" t="s">
        <v>623</v>
      </c>
      <c r="J40" s="26"/>
      <c r="L40" s="24"/>
      <c r="M40" s="25" t="str">
        <f t="shared" si="4"/>
        <v>3-1-1-0</v>
      </c>
      <c r="N40" s="25" t="str">
        <f>I40</f>
        <v>1x10</v>
      </c>
      <c r="O40" s="26"/>
      <c r="Q40" s="46"/>
      <c r="R40" s="47" t="str">
        <f>H40</f>
        <v>3-1-1-0</v>
      </c>
      <c r="S40" s="47" t="str">
        <f>N40</f>
        <v>1x10</v>
      </c>
      <c r="T40" s="48"/>
    </row>
    <row r="41" spans="2:22" s="1" customFormat="1" ht="5.0999999999999996" customHeight="1" thickBot="1" x14ac:dyDescent="0.3">
      <c r="B41" s="4"/>
      <c r="C41" s="66"/>
      <c r="D41" s="66"/>
      <c r="E41" s="113"/>
      <c r="G41" s="4"/>
      <c r="H41" s="66"/>
      <c r="I41" s="66"/>
      <c r="J41" s="66"/>
      <c r="L41" s="66"/>
      <c r="M41" s="66"/>
      <c r="N41" s="66"/>
      <c r="O41" s="66"/>
      <c r="Q41" s="115"/>
      <c r="R41" s="115"/>
      <c r="S41" s="115"/>
      <c r="T41" s="116"/>
    </row>
    <row r="42" spans="2:22" s="2" customFormat="1" ht="18" customHeight="1" thickBot="1" x14ac:dyDescent="0.3">
      <c r="B42" s="607" t="s">
        <v>875</v>
      </c>
      <c r="C42" s="608"/>
      <c r="D42" s="608"/>
      <c r="E42" s="609"/>
      <c r="F42" s="1"/>
      <c r="G42" s="549" t="s">
        <v>880</v>
      </c>
      <c r="H42" s="550" t="s">
        <v>9</v>
      </c>
      <c r="I42" s="550" t="s">
        <v>901</v>
      </c>
      <c r="J42" s="551" t="s">
        <v>880</v>
      </c>
      <c r="K42" s="523"/>
      <c r="L42" s="549" t="str">
        <f>G42</f>
        <v>GEWICHT</v>
      </c>
      <c r="M42" s="550" t="s">
        <v>9</v>
      </c>
      <c r="N42" s="550" t="str">
        <f>I42</f>
        <v>SxR/RPE 9</v>
      </c>
      <c r="O42" s="551" t="s">
        <v>880</v>
      </c>
      <c r="P42" s="547"/>
      <c r="Q42" s="549" t="str">
        <f>L42</f>
        <v>GEWICHT</v>
      </c>
      <c r="R42" s="550" t="s">
        <v>9</v>
      </c>
      <c r="S42" s="550" t="str">
        <f>I42</f>
        <v>SxR/RPE 9</v>
      </c>
      <c r="T42" s="551" t="s">
        <v>880</v>
      </c>
    </row>
    <row r="43" spans="2:22" s="1" customFormat="1" ht="19.899999999999999" customHeight="1" x14ac:dyDescent="0.25">
      <c r="B43" s="9">
        <v>13</v>
      </c>
      <c r="C43" s="560" t="s">
        <v>182</v>
      </c>
      <c r="D43" s="560"/>
      <c r="E43" s="561"/>
      <c r="G43" s="21"/>
      <c r="H43" s="22" t="s">
        <v>900</v>
      </c>
      <c r="I43" s="22" t="s">
        <v>723</v>
      </c>
      <c r="J43" s="23"/>
      <c r="L43" s="21"/>
      <c r="M43" s="22" t="str">
        <f>H43</f>
        <v>ISO</v>
      </c>
      <c r="N43" s="22" t="str">
        <f>I43</f>
        <v>2x90s</v>
      </c>
      <c r="O43" s="23"/>
      <c r="Q43" s="21"/>
      <c r="R43" s="22" t="str">
        <f>H43</f>
        <v>ISO</v>
      </c>
      <c r="S43" s="22" t="str">
        <f>N43</f>
        <v>2x90s</v>
      </c>
      <c r="T43" s="23"/>
    </row>
    <row r="44" spans="2:22" s="1" customFormat="1" ht="19.899999999999999" customHeight="1" x14ac:dyDescent="0.25">
      <c r="B44" s="3">
        <v>14</v>
      </c>
      <c r="C44" s="567" t="s">
        <v>36</v>
      </c>
      <c r="D44" s="567"/>
      <c r="E44" s="568"/>
      <c r="G44" s="27"/>
      <c r="H44" s="28" t="s">
        <v>900</v>
      </c>
      <c r="I44" s="28" t="s">
        <v>723</v>
      </c>
      <c r="J44" s="29"/>
      <c r="L44" s="27"/>
      <c r="M44" s="28" t="str">
        <f>H43</f>
        <v>ISO</v>
      </c>
      <c r="N44" s="28" t="str">
        <f>I44</f>
        <v>2x90s</v>
      </c>
      <c r="O44" s="29"/>
      <c r="Q44" s="27"/>
      <c r="R44" s="28" t="str">
        <f>H43</f>
        <v>ISO</v>
      </c>
      <c r="S44" s="28" t="str">
        <f>N44</f>
        <v>2x90s</v>
      </c>
      <c r="T44" s="29"/>
    </row>
    <row r="45" spans="2:22" s="1" customFormat="1" ht="19.899999999999999" customHeight="1" thickBot="1" x14ac:dyDescent="0.3">
      <c r="B45" s="4">
        <v>15</v>
      </c>
      <c r="C45" s="571" t="s">
        <v>338</v>
      </c>
      <c r="D45" s="571"/>
      <c r="E45" s="572"/>
      <c r="F45" s="66"/>
      <c r="G45" s="24"/>
      <c r="H45" s="25" t="s">
        <v>900</v>
      </c>
      <c r="I45" s="25" t="s">
        <v>723</v>
      </c>
      <c r="J45" s="26"/>
      <c r="K45" s="66"/>
      <c r="L45" s="24"/>
      <c r="M45" s="25" t="str">
        <f>H43</f>
        <v>ISO</v>
      </c>
      <c r="N45" s="25" t="str">
        <f>I45</f>
        <v>2x90s</v>
      </c>
      <c r="O45" s="26"/>
      <c r="P45" s="66"/>
      <c r="Q45" s="24"/>
      <c r="R45" s="25" t="str">
        <f>H43</f>
        <v>ISO</v>
      </c>
      <c r="S45" s="25" t="str">
        <f>N45</f>
        <v>2x90s</v>
      </c>
      <c r="T45" s="26"/>
    </row>
    <row r="46" spans="2:22" s="2" customFormat="1" ht="4.9000000000000004" customHeight="1" x14ac:dyDescent="0.25">
      <c r="Q46" s="49"/>
      <c r="R46" s="49"/>
      <c r="S46" s="49"/>
      <c r="T46" s="49"/>
    </row>
    <row r="47" spans="2:22" x14ac:dyDescent="0.25">
      <c r="V47" s="1"/>
    </row>
    <row r="48" spans="2:22" x14ac:dyDescent="0.25">
      <c r="V48" s="1"/>
    </row>
    <row r="49" spans="22:22" x14ac:dyDescent="0.25">
      <c r="V49" s="1"/>
    </row>
    <row r="50" spans="22:22" x14ac:dyDescent="0.25">
      <c r="V50" s="1"/>
    </row>
    <row r="51" spans="22:22" x14ac:dyDescent="0.25">
      <c r="V51" s="1"/>
    </row>
    <row r="52" spans="22:22" x14ac:dyDescent="0.25">
      <c r="V52" s="1"/>
    </row>
    <row r="53" spans="22:22" x14ac:dyDescent="0.25">
      <c r="V53" s="1"/>
    </row>
    <row r="54" spans="22:22" x14ac:dyDescent="0.25">
      <c r="V54" s="1"/>
    </row>
  </sheetData>
  <mergeCells count="44">
    <mergeCell ref="R15:T15"/>
    <mergeCell ref="O2:T7"/>
    <mergeCell ref="E10:G10"/>
    <mergeCell ref="I10:L10"/>
    <mergeCell ref="B12:T12"/>
    <mergeCell ref="B13:D13"/>
    <mergeCell ref="E13:F13"/>
    <mergeCell ref="G13:I13"/>
    <mergeCell ref="J13:M13"/>
    <mergeCell ref="N13:Q13"/>
    <mergeCell ref="R13:T13"/>
    <mergeCell ref="B15:D15"/>
    <mergeCell ref="E15:F15"/>
    <mergeCell ref="G15:I15"/>
    <mergeCell ref="J15:M15"/>
    <mergeCell ref="N15:Q15"/>
    <mergeCell ref="C26:E26"/>
    <mergeCell ref="B17:E18"/>
    <mergeCell ref="G17:T17"/>
    <mergeCell ref="H18:I18"/>
    <mergeCell ref="M18:N18"/>
    <mergeCell ref="R18:S18"/>
    <mergeCell ref="B19:E19"/>
    <mergeCell ref="C20:E20"/>
    <mergeCell ref="C21:E21"/>
    <mergeCell ref="C22:E22"/>
    <mergeCell ref="B24:E24"/>
    <mergeCell ref="C25:E25"/>
    <mergeCell ref="B14:T14"/>
    <mergeCell ref="C43:E43"/>
    <mergeCell ref="C44:E44"/>
    <mergeCell ref="C45:E45"/>
    <mergeCell ref="C35:E35"/>
    <mergeCell ref="C36:E36"/>
    <mergeCell ref="C38:E38"/>
    <mergeCell ref="C39:E39"/>
    <mergeCell ref="C40:E40"/>
    <mergeCell ref="B42:E42"/>
    <mergeCell ref="C34:E34"/>
    <mergeCell ref="C27:E27"/>
    <mergeCell ref="C29:E29"/>
    <mergeCell ref="C30:E30"/>
    <mergeCell ref="C31:E31"/>
    <mergeCell ref="B33:E33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showInputMessage="1" showErrorMessage="1" xr:uid="{BE277701-2E2C-4685-AB8C-CF6BFD9FEF65}">
          <x14:formula1>
            <xm:f>'BH1-2 Progressionen'!$A:$A</xm:f>
          </x14:formula1>
          <xm:sqref>B17:E18</xm:sqref>
        </x14:dataValidation>
        <x14:dataValidation type="list" allowBlank="1" showInputMessage="1" showErrorMessage="1" xr:uid="{8057449C-51B6-44C9-8E49-342DFD87934D}">
          <x14:formula1>
            <xm:f>'BH1-2 Progressionen'!$B:$B</xm:f>
          </x14:formula1>
          <xm:sqref>B13:D13</xm:sqref>
        </x14:dataValidation>
        <x14:dataValidation type="list" allowBlank="1" showInputMessage="1" showErrorMessage="1" xr:uid="{CD430200-7D03-4641-A67D-86E064CA604F}">
          <x14:formula1>
            <xm:f>'BH1-2 Progressionen'!$C:$C</xm:f>
          </x14:formula1>
          <xm:sqref>E13</xm:sqref>
        </x14:dataValidation>
        <x14:dataValidation type="list" allowBlank="1" showInputMessage="1" showErrorMessage="1" xr:uid="{FFF544C8-991C-49BB-8F48-29B420CADBE6}">
          <x14:formula1>
            <xm:f>'BH1-2 Progressionen'!$G:$G</xm:f>
          </x14:formula1>
          <xm:sqref>R13:T13</xm:sqref>
        </x14:dataValidation>
        <x14:dataValidation type="list" allowBlank="1" showInputMessage="1" showErrorMessage="1" xr:uid="{8C65301B-8796-4647-A947-CD2576F0F5D6}">
          <x14:formula1>
            <xm:f>'BH1-2 Progressionen'!$H:$H</xm:f>
          </x14:formula1>
          <xm:sqref>B15:D15</xm:sqref>
        </x14:dataValidation>
        <x14:dataValidation type="list" allowBlank="1" showInputMessage="1" showErrorMessage="1" xr:uid="{1F4A5875-A246-4C6A-B61E-C68555202072}">
          <x14:formula1>
            <xm:f>'BH1-2 Progressionen'!$I:$I</xm:f>
          </x14:formula1>
          <xm:sqref>E15</xm:sqref>
        </x14:dataValidation>
        <x14:dataValidation type="list" allowBlank="1" showInputMessage="1" showErrorMessage="1" xr:uid="{297BA35E-9AFE-4FAC-AD7B-4D3F998FAC73}">
          <x14:formula1>
            <xm:f>'BH1-2 Progressionen'!$M:$M</xm:f>
          </x14:formula1>
          <xm:sqref>R15:T15</xm:sqref>
        </x14:dataValidation>
        <x14:dataValidation type="list" allowBlank="1" showInputMessage="1" showErrorMessage="1" xr:uid="{064A2BA9-E891-449C-BDF4-010F8FF5ED9F}">
          <x14:formula1>
            <xm:f>'BH1-2 Progressionen'!$D:$D</xm:f>
          </x14:formula1>
          <xm:sqref>G13</xm:sqref>
        </x14:dataValidation>
        <x14:dataValidation type="list" allowBlank="1" showInputMessage="1" showErrorMessage="1" xr:uid="{C4F5BA98-4881-4878-966D-2968B6305BBD}">
          <x14:formula1>
            <xm:f>'BH1-2 Progressionen'!$J:$J</xm:f>
          </x14:formula1>
          <xm:sqref>G15</xm:sqref>
        </x14:dataValidation>
        <x14:dataValidation type="list" allowBlank="1" showInputMessage="1" showErrorMessage="1" xr:uid="{52DE3CC0-3E8F-447A-AF1D-2D269E2ECEEF}">
          <x14:formula1>
            <xm:f>'BH1-2 Progressionen'!$E:$E</xm:f>
          </x14:formula1>
          <xm:sqref>J13</xm:sqref>
        </x14:dataValidation>
        <x14:dataValidation type="list" allowBlank="1" showInputMessage="1" showErrorMessage="1" xr:uid="{F68D2776-F9DF-4EF3-B304-B32F9E723988}">
          <x14:formula1>
            <xm:f>'BH1-2 Progressionen'!$K:$K</xm:f>
          </x14:formula1>
          <xm:sqref>J15</xm:sqref>
        </x14:dataValidation>
        <x14:dataValidation type="list" allowBlank="1" showInputMessage="1" showErrorMessage="1" xr:uid="{5F302B8C-4038-4141-8865-06A7BF1A864C}">
          <x14:formula1>
            <xm:f>'BH1-2 Progressionen'!$F:$F</xm:f>
          </x14:formula1>
          <xm:sqref>N13</xm:sqref>
        </x14:dataValidation>
        <x14:dataValidation type="list" allowBlank="1" showInputMessage="1" showErrorMessage="1" xr:uid="{E3803EA7-93FF-4EFF-9A93-5DA806468C88}">
          <x14:formula1>
            <xm:f>'BH1-2 Progressionen'!$L:$L</xm:f>
          </x14:formula1>
          <xm:sqref>N15</xm:sqref>
        </x14:dataValidation>
        <x14:dataValidation type="list" allowBlank="1" showInputMessage="1" showErrorMessage="1" xr:uid="{77B33557-D0CD-4369-904C-9A094CB45EE7}">
          <x14:formula1>
            <xm:f>' Unterkörper Progressionen '!$Z:$Z</xm:f>
          </x14:formula1>
          <xm:sqref>I43:I45 I25:I27 I29:I32 I38:I41 I34:I36</xm:sqref>
        </x14:dataValidation>
        <x14:dataValidation type="list" allowBlank="1" showInputMessage="1" showErrorMessage="1" xr:uid="{5BDB5C51-B662-4E2F-B15B-C262B5ECFE71}">
          <x14:formula1>
            <xm:f>' Unterkörper Progressionen '!$AA:$AA</xm:f>
          </x14:formula1>
          <xm:sqref>J21:J23</xm:sqref>
        </x14:dataValidation>
        <x14:dataValidation type="list" allowBlank="1" showInputMessage="1" showErrorMessage="1" xr:uid="{1815D45F-08E6-495A-9399-CEDFC7A9C33C}">
          <x14:formula1>
            <xm:f>' Unterkörper Progressionen '!$B:$B</xm:f>
          </x14:formula1>
          <xm:sqref>C20:E20</xm:sqref>
        </x14:dataValidation>
        <x14:dataValidation type="list" allowBlank="1" showInputMessage="1" showErrorMessage="1" xr:uid="{A1B80D29-4543-4A1A-A493-D5EB4D165CFE}">
          <x14:formula1>
            <xm:f>' Unterkörper Progressionen '!$C:$C</xm:f>
          </x14:formula1>
          <xm:sqref>C21:E21</xm:sqref>
        </x14:dataValidation>
        <x14:dataValidation type="list" allowBlank="1" showInputMessage="1" showErrorMessage="1" xr:uid="{BFB9B4A7-59B1-4A87-8371-6B7CFCF06909}">
          <x14:formula1>
            <xm:f>' Unterkörper Progressionen '!$D:$D</xm:f>
          </x14:formula1>
          <xm:sqref>C22:E22</xm:sqref>
        </x14:dataValidation>
        <x14:dataValidation type="list" allowBlank="1" showInputMessage="1" showErrorMessage="1" xr:uid="{CC5FB31E-9A6C-460E-9C10-1426F9D23F84}">
          <x14:formula1>
            <xm:f>' Unterkörper Progressionen '!$E:$E</xm:f>
          </x14:formula1>
          <xm:sqref>C25:E25</xm:sqref>
        </x14:dataValidation>
        <x14:dataValidation type="list" allowBlank="1" showInputMessage="1" showErrorMessage="1" xr:uid="{A786DC72-EC1E-471A-BB99-1918070744F0}">
          <x14:formula1>
            <xm:f>' Unterkörper Progressionen '!$F:$F</xm:f>
          </x14:formula1>
          <xm:sqref>C26:E26</xm:sqref>
        </x14:dataValidation>
        <x14:dataValidation type="list" allowBlank="1" showInputMessage="1" showErrorMessage="1" xr:uid="{A3FB7EF9-3F17-4E1E-BD3D-0CCF5AF22CB3}">
          <x14:formula1>
            <xm:f>' Unterkörper Progressionen '!$G:$G</xm:f>
          </x14:formula1>
          <xm:sqref>C27:E27</xm:sqref>
        </x14:dataValidation>
        <x14:dataValidation type="list" allowBlank="1" showInputMessage="1" showErrorMessage="1" xr:uid="{C64DDB88-DF18-47FB-B5BC-BE0F622182DD}">
          <x14:formula1>
            <xm:f>' Unterkörper Progressionen '!$H:$H</xm:f>
          </x14:formula1>
          <xm:sqref>C29:E29</xm:sqref>
        </x14:dataValidation>
        <x14:dataValidation type="list" allowBlank="1" showInputMessage="1" showErrorMessage="1" xr:uid="{BE29AC33-C36E-46AD-9B9B-14B1F253F5E5}">
          <x14:formula1>
            <xm:f>' Unterkörper Progressionen '!$I:$I</xm:f>
          </x14:formula1>
          <xm:sqref>C30:E30</xm:sqref>
        </x14:dataValidation>
        <x14:dataValidation type="list" allowBlank="1" showInputMessage="1" showErrorMessage="1" xr:uid="{70C4E4C9-7099-415B-B58C-187C21ADA74B}">
          <x14:formula1>
            <xm:f>' Unterkörper Progressionen '!$J:$J</xm:f>
          </x14:formula1>
          <xm:sqref>C31:E31</xm:sqref>
        </x14:dataValidation>
        <x14:dataValidation type="list" allowBlank="1" showInputMessage="1" showErrorMessage="1" xr:uid="{026EA263-034C-4F58-802B-C8AC75C36C54}">
          <x14:formula1>
            <xm:f>' Unterkörper Progressionen '!$L:$L</xm:f>
          </x14:formula1>
          <xm:sqref>C34:E34</xm:sqref>
        </x14:dataValidation>
        <x14:dataValidation type="list" allowBlank="1" showInputMessage="1" showErrorMessage="1" xr:uid="{E83245EA-52EF-4C65-9779-96A36C694865}">
          <x14:formula1>
            <xm:f>' Unterkörper Progressionen '!$M:$M</xm:f>
          </x14:formula1>
          <xm:sqref>C35:E35</xm:sqref>
        </x14:dataValidation>
        <x14:dataValidation type="list" allowBlank="1" showInputMessage="1" showErrorMessage="1" xr:uid="{8439DB45-EF70-4A02-B915-C1224CE46BF6}">
          <x14:formula1>
            <xm:f>' Unterkörper Progressionen '!$P:$P</xm:f>
          </x14:formula1>
          <xm:sqref>C36:E36</xm:sqref>
        </x14:dataValidation>
        <x14:dataValidation type="list" allowBlank="1" showInputMessage="1" showErrorMessage="1" xr:uid="{AB5C29D2-9E50-40CD-A4AA-B275AB58B90A}">
          <x14:formula1>
            <xm:f>' Unterkörper Progressionen '!$Q:$Q</xm:f>
          </x14:formula1>
          <xm:sqref>C38:E38</xm:sqref>
        </x14:dataValidation>
        <x14:dataValidation type="list" allowBlank="1" showInputMessage="1" showErrorMessage="1" xr:uid="{56D3DDBC-2655-4BEE-A168-BDAC396E5D45}">
          <x14:formula1>
            <xm:f>' Unterkörper Progressionen '!$R:$R</xm:f>
          </x14:formula1>
          <xm:sqref>C39:E39</xm:sqref>
        </x14:dataValidation>
        <x14:dataValidation type="list" allowBlank="1" showInputMessage="1" showErrorMessage="1" xr:uid="{84C633E5-553D-4603-8057-3B426ECF4582}">
          <x14:formula1>
            <xm:f>' Unterkörper Progressionen '!$S:$S</xm:f>
          </x14:formula1>
          <xm:sqref>C40:E40</xm:sqref>
        </x14:dataValidation>
        <x14:dataValidation type="list" allowBlank="1" showInputMessage="1" showErrorMessage="1" xr:uid="{A0412ECB-98E6-4D77-A000-9AB8413C7674}">
          <x14:formula1>
            <xm:f>' Unterkörper Progressionen '!$U:$U</xm:f>
          </x14:formula1>
          <xm:sqref>C43:E43</xm:sqref>
        </x14:dataValidation>
        <x14:dataValidation type="list" allowBlank="1" showInputMessage="1" showErrorMessage="1" xr:uid="{9A254A86-10F5-4199-9850-98821113856E}">
          <x14:formula1>
            <xm:f>' Unterkörper Progressionen '!$V:$V</xm:f>
          </x14:formula1>
          <xm:sqref>C44:E44</xm:sqref>
        </x14:dataValidation>
        <x14:dataValidation type="list" allowBlank="1" showInputMessage="1" showErrorMessage="1" xr:uid="{E202DA6F-8C55-43D3-BFDA-DE8116EEB874}">
          <x14:formula1>
            <xm:f>' Unterkörper Progressionen '!$W:$W</xm:f>
          </x14:formula1>
          <xm:sqref>C45:E45</xm:sqref>
        </x14:dataValidation>
        <x14:dataValidation type="list" allowBlank="1" showInputMessage="1" showErrorMessage="1" xr:uid="{FE2D106D-ABD4-4FE2-958F-BE6D6A4B4C68}">
          <x14:formula1>
            <xm:f>' Unterkörper Progressionen '!$AC:$AC</xm:f>
          </x14:formula1>
          <xm:sqref>S33 I24 S42 N42 I42 I33 N33</xm:sqref>
        </x14:dataValidation>
        <x14:dataValidation type="list" allowBlank="1" showInputMessage="1" showErrorMessage="1" xr:uid="{E10CFFDE-4822-433D-BEAB-7838B3CFB0F8}">
          <x14:formula1>
            <xm:f>' Unterkörper Progressionen '!$AB:$AB</xm:f>
          </x14:formula1>
          <xm:sqref>H25:H27 H20:H22 H43:H45 H38:H40 H34:H36 H29:H31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9358-8162-413B-AB54-56E7F9510D12}">
  <sheetPr>
    <pageSetUpPr fitToPage="1"/>
  </sheetPr>
  <dimension ref="B1:W44"/>
  <sheetViews>
    <sheetView topLeftCell="A17" zoomScale="94" zoomScaleNormal="100" workbookViewId="0">
      <selection activeCell="B41" sqref="B41:E41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W9" s="2"/>
    </row>
    <row r="10" spans="2:23" ht="16.5" hidden="1" thickBot="1" x14ac:dyDescent="0.3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1" customFormat="1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tr">
        <f>Unterkörper6!B13</f>
        <v>LOADED - TGU - 1/2-KN. TO STAND</v>
      </c>
      <c r="C13" s="631"/>
      <c r="D13" s="631"/>
      <c r="E13" s="633" t="str">
        <f>Unterkörper6!E13</f>
        <v>LOADED LATERAL PUSH UP CRAWL</v>
      </c>
      <c r="F13" s="634"/>
      <c r="G13" s="631" t="str">
        <f>Unterkörper6!G13</f>
        <v>1KB OVERHEAD CARRY</v>
      </c>
      <c r="H13" s="631"/>
      <c r="I13" s="631"/>
      <c r="J13" s="631" t="str">
        <f>Unterkörper6!J13</f>
        <v>KB/BW GOBLET SQUAT</v>
      </c>
      <c r="K13" s="631"/>
      <c r="L13" s="631"/>
      <c r="M13" s="631"/>
      <c r="N13" s="631" t="str">
        <f>Unterkörper6!N13</f>
        <v>DIFFERENT LOEDED TRAPBAR DEADLIFT</v>
      </c>
      <c r="O13" s="631"/>
      <c r="P13" s="631"/>
      <c r="Q13" s="631"/>
      <c r="R13" s="631" t="str">
        <f>Unterkörper6!R13</f>
        <v>2KB 1-LEG DEADLIFT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tr">
        <f>Unterkörper6!B15</f>
        <v>LOADED ANKLE ROCKER MOONWALK</v>
      </c>
      <c r="C15" s="553"/>
      <c r="D15" s="553"/>
      <c r="E15" s="625" t="str">
        <f>Unterkörper6!E15</f>
        <v>ANKLE POS. 3 45 SEC</v>
      </c>
      <c r="F15" s="626"/>
      <c r="G15" s="553" t="str">
        <f>Unterkörper6!G15</f>
        <v>LOADED LATERAL BOUND</v>
      </c>
      <c r="H15" s="553"/>
      <c r="I15" s="553"/>
      <c r="J15" s="553" t="str">
        <f>Unterkörper6!J15</f>
        <v>LOADED B-SKIP</v>
      </c>
      <c r="K15" s="553"/>
      <c r="L15" s="553"/>
      <c r="M15" s="553"/>
      <c r="N15" s="553" t="str">
        <f>Unterkörper6!N15</f>
        <v>1-LEG LATERAL HOP - TO BOX (CM)</v>
      </c>
      <c r="O15" s="553"/>
      <c r="P15" s="553"/>
      <c r="Q15" s="553"/>
      <c r="R15" s="553" t="str">
        <f>Unterkörper6!R15</f>
        <v>ASSISTENT  SQUAT JUMP</v>
      </c>
      <c r="S15" s="553"/>
      <c r="T15" s="556"/>
    </row>
    <row r="16" spans="2:23" ht="16.5" customHeight="1" thickBot="1" x14ac:dyDescent="0.3">
      <c r="B16" s="647" t="str">
        <f>Unterkörper6!B17</f>
        <v>LEVEL 6</v>
      </c>
      <c r="C16" s="648"/>
      <c r="D16" s="648"/>
      <c r="E16" s="649"/>
      <c r="F16" s="1"/>
      <c r="G16" s="592" t="s">
        <v>352</v>
      </c>
      <c r="H16" s="593"/>
      <c r="I16" s="593"/>
      <c r="J16" s="593"/>
      <c r="K16" s="593"/>
      <c r="L16" s="593"/>
      <c r="M16" s="593"/>
      <c r="N16" s="593"/>
      <c r="O16" s="593"/>
      <c r="P16" s="593"/>
      <c r="Q16" s="593"/>
      <c r="R16" s="593"/>
      <c r="S16" s="593"/>
      <c r="T16" s="594"/>
    </row>
    <row r="17" spans="2:23" ht="21.6" customHeight="1" thickBot="1" x14ac:dyDescent="0.3">
      <c r="B17" s="622"/>
      <c r="C17" s="623"/>
      <c r="D17" s="623"/>
      <c r="E17" s="624"/>
      <c r="F17" s="1"/>
      <c r="G17" s="70" t="s">
        <v>865</v>
      </c>
      <c r="H17" s="582" t="s">
        <v>877</v>
      </c>
      <c r="I17" s="583"/>
      <c r="J17" s="71" t="s">
        <v>866</v>
      </c>
      <c r="K17" s="64"/>
      <c r="L17" s="70" t="s">
        <v>867</v>
      </c>
      <c r="M17" s="582" t="s">
        <v>878</v>
      </c>
      <c r="N17" s="583"/>
      <c r="O17" s="71" t="s">
        <v>868</v>
      </c>
      <c r="P17" s="64"/>
      <c r="Q17" s="70" t="s">
        <v>869</v>
      </c>
      <c r="R17" s="595" t="s">
        <v>879</v>
      </c>
      <c r="S17" s="596"/>
      <c r="T17" s="71" t="s">
        <v>870</v>
      </c>
    </row>
    <row r="18" spans="2:23" ht="18" customHeight="1" thickBot="1" x14ac:dyDescent="0.3">
      <c r="B18" s="641" t="s">
        <v>8</v>
      </c>
      <c r="C18" s="642"/>
      <c r="D18" s="642"/>
      <c r="E18" s="643"/>
      <c r="F18" s="72"/>
      <c r="G18" s="501" t="s">
        <v>880</v>
      </c>
      <c r="H18" s="502" t="s">
        <v>9</v>
      </c>
      <c r="I18" s="502" t="s">
        <v>11</v>
      </c>
      <c r="J18" s="503" t="s">
        <v>880</v>
      </c>
      <c r="K18" s="1"/>
      <c r="L18" s="501" t="s">
        <v>880</v>
      </c>
      <c r="M18" s="502" t="s">
        <v>9</v>
      </c>
      <c r="N18" s="502" t="s">
        <v>11</v>
      </c>
      <c r="O18" s="503" t="s">
        <v>880</v>
      </c>
      <c r="P18" s="1"/>
      <c r="Q18" s="504" t="s">
        <v>880</v>
      </c>
      <c r="R18" s="505" t="s">
        <v>9</v>
      </c>
      <c r="S18" s="505" t="s">
        <v>11</v>
      </c>
      <c r="T18" s="506" t="s">
        <v>880</v>
      </c>
    </row>
    <row r="19" spans="2:23" s="1" customFormat="1" ht="19.899999999999999" customHeight="1" x14ac:dyDescent="0.25">
      <c r="B19" s="9">
        <v>1</v>
      </c>
      <c r="C19" s="560" t="s">
        <v>259</v>
      </c>
      <c r="D19" s="560"/>
      <c r="E19" s="561"/>
      <c r="G19" s="18"/>
      <c r="H19" s="22" t="s">
        <v>12</v>
      </c>
      <c r="I19" s="19" t="s">
        <v>14</v>
      </c>
      <c r="J19" s="20" t="s">
        <v>16</v>
      </c>
      <c r="L19" s="18"/>
      <c r="M19" s="19" t="str">
        <f t="shared" ref="M19:M21" si="0">H19</f>
        <v>EXPL</v>
      </c>
      <c r="N19" s="19" t="s">
        <v>14</v>
      </c>
      <c r="O19" s="20" t="s">
        <v>16</v>
      </c>
      <c r="Q19" s="43"/>
      <c r="R19" s="44" t="str">
        <f t="shared" ref="R19:R21" si="1">H19</f>
        <v>EXPL</v>
      </c>
      <c r="S19" s="44" t="s">
        <v>14</v>
      </c>
      <c r="T19" s="45" t="s">
        <v>16</v>
      </c>
    </row>
    <row r="20" spans="2:23" s="1" customFormat="1" ht="19.899999999999999" customHeight="1" x14ac:dyDescent="0.25">
      <c r="B20" s="3">
        <v>2</v>
      </c>
      <c r="C20" s="567" t="s">
        <v>247</v>
      </c>
      <c r="D20" s="567"/>
      <c r="E20" s="568"/>
      <c r="G20" s="67"/>
      <c r="H20" s="28" t="s">
        <v>12</v>
      </c>
      <c r="I20" s="68" t="s">
        <v>14</v>
      </c>
      <c r="J20" s="69"/>
      <c r="L20" s="67"/>
      <c r="M20" s="68" t="str">
        <f t="shared" si="0"/>
        <v>EXPL</v>
      </c>
      <c r="N20" s="68" t="s">
        <v>14</v>
      </c>
      <c r="O20" s="69"/>
      <c r="Q20" s="75"/>
      <c r="R20" s="76" t="str">
        <f t="shared" si="1"/>
        <v>EXPL</v>
      </c>
      <c r="S20" s="76" t="s">
        <v>14</v>
      </c>
      <c r="T20" s="77"/>
    </row>
    <row r="21" spans="2:23" s="1" customFormat="1" ht="19.899999999999999" customHeight="1" thickBot="1" x14ac:dyDescent="0.3">
      <c r="B21" s="4">
        <v>3</v>
      </c>
      <c r="C21" s="565" t="s">
        <v>242</v>
      </c>
      <c r="D21" s="565"/>
      <c r="E21" s="566"/>
      <c r="G21" s="24"/>
      <c r="H21" s="25" t="s">
        <v>12</v>
      </c>
      <c r="I21" s="25" t="s">
        <v>14</v>
      </c>
      <c r="J21" s="26"/>
      <c r="L21" s="24"/>
      <c r="M21" s="25" t="str">
        <f t="shared" si="0"/>
        <v>EXPL</v>
      </c>
      <c r="N21" s="25" t="s">
        <v>14</v>
      </c>
      <c r="O21" s="26"/>
      <c r="Q21" s="46"/>
      <c r="R21" s="47" t="str">
        <f t="shared" si="1"/>
        <v>EXPL</v>
      </c>
      <c r="S21" s="47" t="s">
        <v>14</v>
      </c>
      <c r="T21" s="48"/>
    </row>
    <row r="22" spans="2:23" s="2" customFormat="1" ht="4.9000000000000004" customHeight="1" thickBot="1" x14ac:dyDescent="0.3">
      <c r="B22" s="73"/>
      <c r="Q22" s="49"/>
      <c r="R22" s="49"/>
      <c r="S22" s="49"/>
      <c r="T22" s="74"/>
    </row>
    <row r="23" spans="2:23" s="523" customFormat="1" ht="18" customHeight="1" thickBot="1" x14ac:dyDescent="0.3">
      <c r="B23" s="644" t="s">
        <v>871</v>
      </c>
      <c r="C23" s="645"/>
      <c r="D23" s="645"/>
      <c r="E23" s="646"/>
      <c r="G23" s="524" t="s">
        <v>880</v>
      </c>
      <c r="H23" s="525" t="s">
        <v>9</v>
      </c>
      <c r="I23" s="525" t="s">
        <v>897</v>
      </c>
      <c r="J23" s="526" t="s">
        <v>880</v>
      </c>
      <c r="L23" s="524" t="str">
        <f>G23</f>
        <v>GEWICHT</v>
      </c>
      <c r="M23" s="525" t="s">
        <v>9</v>
      </c>
      <c r="N23" s="525" t="str">
        <f>I23</f>
        <v>SxR/RPE 8-9</v>
      </c>
      <c r="O23" s="526" t="s">
        <v>880</v>
      </c>
      <c r="Q23" s="524" t="str">
        <f>L23</f>
        <v>GEWICHT</v>
      </c>
      <c r="R23" s="525" t="s">
        <v>9</v>
      </c>
      <c r="S23" s="525" t="str">
        <f>I23</f>
        <v>SxR/RPE 8-9</v>
      </c>
      <c r="T23" s="526" t="s">
        <v>880</v>
      </c>
      <c r="W23" s="527"/>
    </row>
    <row r="24" spans="2:23" s="1" customFormat="1" ht="19.899999999999999" customHeight="1" x14ac:dyDescent="0.25">
      <c r="B24" s="9">
        <v>1</v>
      </c>
      <c r="C24" s="560" t="s">
        <v>255</v>
      </c>
      <c r="D24" s="560"/>
      <c r="E24" s="561"/>
      <c r="G24" s="21"/>
      <c r="H24" s="22" t="s">
        <v>888</v>
      </c>
      <c r="I24" s="28" t="s">
        <v>623</v>
      </c>
      <c r="J24" s="23"/>
      <c r="L24" s="21"/>
      <c r="M24" s="22" t="str">
        <f>H24</f>
        <v>3-1-1-0</v>
      </c>
      <c r="N24" s="22" t="str">
        <f>I24</f>
        <v>1x10</v>
      </c>
      <c r="O24" s="23"/>
      <c r="Q24" s="50"/>
      <c r="R24" s="52" t="str">
        <f>H24</f>
        <v>3-1-1-0</v>
      </c>
      <c r="S24" s="52" t="str">
        <f>I24</f>
        <v>1x10</v>
      </c>
      <c r="T24" s="53"/>
      <c r="W24" s="36"/>
    </row>
    <row r="25" spans="2:23" s="1" customFormat="1" ht="19.899999999999999" customHeight="1" x14ac:dyDescent="0.25">
      <c r="B25" s="3">
        <v>2</v>
      </c>
      <c r="C25" s="567" t="s">
        <v>279</v>
      </c>
      <c r="D25" s="567"/>
      <c r="E25" s="568"/>
      <c r="G25" s="27"/>
      <c r="H25" s="28" t="s">
        <v>889</v>
      </c>
      <c r="I25" s="28" t="s">
        <v>623</v>
      </c>
      <c r="J25" s="29"/>
      <c r="L25" s="27"/>
      <c r="M25" s="28" t="str">
        <f>H25</f>
        <v>3-1-1-1</v>
      </c>
      <c r="N25" s="28" t="str">
        <f>I25</f>
        <v>1x10</v>
      </c>
      <c r="O25" s="29"/>
      <c r="Q25" s="54"/>
      <c r="R25" s="56" t="str">
        <f>H25</f>
        <v>3-1-1-1</v>
      </c>
      <c r="S25" s="56" t="str">
        <f>I25</f>
        <v>1x10</v>
      </c>
      <c r="T25" s="57"/>
      <c r="W25" s="36"/>
    </row>
    <row r="26" spans="2:23" s="1" customFormat="1" ht="19.899999999999999" customHeight="1" thickBot="1" x14ac:dyDescent="0.3">
      <c r="B26" s="4">
        <v>3</v>
      </c>
      <c r="C26" s="565" t="s">
        <v>741</v>
      </c>
      <c r="D26" s="565"/>
      <c r="E26" s="566"/>
      <c r="G26" s="24"/>
      <c r="H26" s="25" t="s">
        <v>915</v>
      </c>
      <c r="I26" s="25" t="s">
        <v>712</v>
      </c>
      <c r="J26" s="26"/>
      <c r="L26" s="24"/>
      <c r="M26" s="25" t="str">
        <f>H26</f>
        <v>1-1-1-1</v>
      </c>
      <c r="N26" s="25" t="str">
        <f>I26</f>
        <v>2x15m</v>
      </c>
      <c r="O26" s="26"/>
      <c r="Q26" s="46"/>
      <c r="R26" s="47" t="str">
        <f>H26</f>
        <v>1-1-1-1</v>
      </c>
      <c r="S26" s="47" t="str">
        <f>I26</f>
        <v>2x15m</v>
      </c>
      <c r="T26" s="48"/>
    </row>
    <row r="27" spans="2:23" s="2" customFormat="1" ht="4.9000000000000004" customHeight="1" thickBot="1" x14ac:dyDescent="0.3">
      <c r="B27" s="73"/>
      <c r="Q27" s="49"/>
      <c r="R27" s="49"/>
      <c r="S27" s="49"/>
      <c r="T27" s="74"/>
    </row>
    <row r="28" spans="2:23" s="1" customFormat="1" ht="19.899999999999999" customHeight="1" x14ac:dyDescent="0.25">
      <c r="B28" s="9">
        <v>4</v>
      </c>
      <c r="C28" s="560" t="s">
        <v>285</v>
      </c>
      <c r="D28" s="560"/>
      <c r="E28" s="561"/>
      <c r="G28" s="21"/>
      <c r="H28" s="22" t="s">
        <v>888</v>
      </c>
      <c r="I28" s="22" t="s">
        <v>623</v>
      </c>
      <c r="J28" s="23"/>
      <c r="L28" s="21"/>
      <c r="M28" s="22" t="str">
        <f t="shared" ref="M28:M30" si="2">H28</f>
        <v>3-1-1-0</v>
      </c>
      <c r="N28" s="22" t="str">
        <f>I28</f>
        <v>1x10</v>
      </c>
      <c r="O28" s="23"/>
      <c r="Q28" s="50"/>
      <c r="R28" s="52" t="str">
        <f t="shared" ref="R28:R30" si="3">H28</f>
        <v>3-1-1-0</v>
      </c>
      <c r="S28" s="52" t="str">
        <f>I28</f>
        <v>1x10</v>
      </c>
      <c r="T28" s="53"/>
    </row>
    <row r="29" spans="2:23" s="1" customFormat="1" ht="19.899999999999999" customHeight="1" x14ac:dyDescent="0.25">
      <c r="B29" s="3">
        <v>5</v>
      </c>
      <c r="C29" s="567" t="s">
        <v>775</v>
      </c>
      <c r="D29" s="567"/>
      <c r="E29" s="568"/>
      <c r="G29" s="27"/>
      <c r="H29" s="28" t="s">
        <v>889</v>
      </c>
      <c r="I29" s="28" t="s">
        <v>623</v>
      </c>
      <c r="J29" s="29"/>
      <c r="L29" s="27"/>
      <c r="M29" s="28" t="str">
        <f t="shared" si="2"/>
        <v>3-1-1-1</v>
      </c>
      <c r="N29" s="28" t="str">
        <f>I29</f>
        <v>1x10</v>
      </c>
      <c r="O29" s="29"/>
      <c r="Q29" s="54"/>
      <c r="R29" s="56" t="str">
        <f t="shared" si="3"/>
        <v>3-1-1-1</v>
      </c>
      <c r="S29" s="28" t="str">
        <f>I29</f>
        <v>1x10</v>
      </c>
      <c r="T29" s="57"/>
    </row>
    <row r="30" spans="2:23" s="1" customFormat="1" ht="19.899999999999999" customHeight="1" thickBot="1" x14ac:dyDescent="0.3">
      <c r="B30" s="4">
        <v>6</v>
      </c>
      <c r="C30" s="565" t="s">
        <v>51</v>
      </c>
      <c r="D30" s="565"/>
      <c r="E30" s="566"/>
      <c r="G30" s="24"/>
      <c r="H30" s="25" t="s">
        <v>890</v>
      </c>
      <c r="I30" s="25" t="s">
        <v>754</v>
      </c>
      <c r="J30" s="26"/>
      <c r="L30" s="24"/>
      <c r="M30" s="25" t="str">
        <f t="shared" si="2"/>
        <v>2-1-1-0</v>
      </c>
      <c r="N30" s="25" t="str">
        <f>I30</f>
        <v>3x5 ea</v>
      </c>
      <c r="O30" s="26"/>
      <c r="Q30" s="46"/>
      <c r="R30" s="47" t="str">
        <f t="shared" si="3"/>
        <v>2-1-1-0</v>
      </c>
      <c r="S30" s="47" t="str">
        <f>I30</f>
        <v>3x5 ea</v>
      </c>
      <c r="T30" s="48"/>
    </row>
    <row r="31" spans="2:23" s="1" customFormat="1" ht="5.0999999999999996" customHeight="1" thickBot="1" x14ac:dyDescent="0.3">
      <c r="B31" s="4"/>
      <c r="C31" s="66"/>
      <c r="D31" s="66"/>
      <c r="E31" s="113"/>
      <c r="G31" s="4"/>
      <c r="H31" s="66"/>
      <c r="I31" s="66"/>
      <c r="J31" s="66"/>
      <c r="L31" s="66"/>
      <c r="M31" s="66"/>
      <c r="N31" s="66"/>
      <c r="O31" s="66"/>
      <c r="Q31" s="115"/>
      <c r="R31" s="115"/>
      <c r="S31" s="115"/>
      <c r="T31" s="116"/>
    </row>
    <row r="32" spans="2:23" s="2" customFormat="1" ht="18" customHeight="1" thickBot="1" x14ac:dyDescent="0.3">
      <c r="B32" s="635" t="s">
        <v>872</v>
      </c>
      <c r="C32" s="636"/>
      <c r="D32" s="636"/>
      <c r="E32" s="637"/>
      <c r="F32" s="114"/>
      <c r="G32" s="517" t="s">
        <v>880</v>
      </c>
      <c r="H32" s="518" t="s">
        <v>9</v>
      </c>
      <c r="I32" s="518" t="s">
        <v>897</v>
      </c>
      <c r="J32" s="519" t="s">
        <v>880</v>
      </c>
      <c r="K32" s="1"/>
      <c r="L32" s="517" t="s">
        <v>880</v>
      </c>
      <c r="M32" s="518" t="s">
        <v>9</v>
      </c>
      <c r="N32" s="518" t="str">
        <f>I32</f>
        <v>SxR/RPE 8-9</v>
      </c>
      <c r="O32" s="519" t="s">
        <v>880</v>
      </c>
      <c r="P32" s="1"/>
      <c r="Q32" s="517" t="s">
        <v>880</v>
      </c>
      <c r="R32" s="518" t="s">
        <v>9</v>
      </c>
      <c r="S32" s="518" t="str">
        <f>I32</f>
        <v>SxR/RPE 8-9</v>
      </c>
      <c r="T32" s="519" t="s">
        <v>880</v>
      </c>
    </row>
    <row r="33" spans="2:20" s="1" customFormat="1" ht="19.899999999999999" customHeight="1" x14ac:dyDescent="0.25">
      <c r="B33" s="9">
        <v>7</v>
      </c>
      <c r="C33" s="560" t="s">
        <v>262</v>
      </c>
      <c r="D33" s="560"/>
      <c r="E33" s="561"/>
      <c r="G33" s="21"/>
      <c r="H33" s="22" t="s">
        <v>889</v>
      </c>
      <c r="I33" s="22" t="s">
        <v>623</v>
      </c>
      <c r="J33" s="23"/>
      <c r="L33" s="21"/>
      <c r="M33" s="22" t="str">
        <f>H33</f>
        <v>3-1-1-1</v>
      </c>
      <c r="N33" s="22" t="str">
        <f>I33</f>
        <v>1x10</v>
      </c>
      <c r="O33" s="23"/>
      <c r="Q33" s="50"/>
      <c r="R33" s="52" t="str">
        <f>H33</f>
        <v>3-1-1-1</v>
      </c>
      <c r="S33" s="52" t="str">
        <f>I33</f>
        <v>1x10</v>
      </c>
      <c r="T33" s="53"/>
    </row>
    <row r="34" spans="2:20" s="1" customFormat="1" ht="19.899999999999999" customHeight="1" x14ac:dyDescent="0.25">
      <c r="B34" s="3">
        <v>8</v>
      </c>
      <c r="C34" s="567" t="s">
        <v>507</v>
      </c>
      <c r="D34" s="567"/>
      <c r="E34" s="568"/>
      <c r="G34" s="27"/>
      <c r="H34" s="28" t="s">
        <v>890</v>
      </c>
      <c r="I34" s="28" t="s">
        <v>623</v>
      </c>
      <c r="J34" s="29"/>
      <c r="L34" s="27"/>
      <c r="M34" s="28" t="str">
        <f>H34</f>
        <v>2-1-1-0</v>
      </c>
      <c r="N34" s="28" t="str">
        <f>I34</f>
        <v>1x10</v>
      </c>
      <c r="O34" s="29"/>
      <c r="Q34" s="54"/>
      <c r="R34" s="56" t="str">
        <f>H34</f>
        <v>2-1-1-0</v>
      </c>
      <c r="S34" s="28" t="str">
        <f>I34</f>
        <v>1x10</v>
      </c>
      <c r="T34" s="57"/>
    </row>
    <row r="35" spans="2:20" s="1" customFormat="1" ht="19.899999999999999" customHeight="1" thickBot="1" x14ac:dyDescent="0.3">
      <c r="B35" s="4">
        <v>9</v>
      </c>
      <c r="C35" s="565" t="s">
        <v>778</v>
      </c>
      <c r="D35" s="565"/>
      <c r="E35" s="566"/>
      <c r="G35" s="24"/>
      <c r="H35" s="25" t="s">
        <v>890</v>
      </c>
      <c r="I35" s="25" t="s">
        <v>715</v>
      </c>
      <c r="J35" s="26"/>
      <c r="L35" s="24"/>
      <c r="M35" s="25" t="str">
        <f>H35</f>
        <v>2-1-1-0</v>
      </c>
      <c r="N35" s="25" t="str">
        <f>I35</f>
        <v>3x10s ea</v>
      </c>
      <c r="O35" s="26"/>
      <c r="Q35" s="46"/>
      <c r="R35" s="47" t="str">
        <f>H35</f>
        <v>2-1-1-0</v>
      </c>
      <c r="S35" s="47" t="str">
        <f>I35</f>
        <v>3x10s ea</v>
      </c>
      <c r="T35" s="48"/>
    </row>
    <row r="36" spans="2:20" s="2" customFormat="1" ht="4.9000000000000004" customHeight="1" thickBot="1" x14ac:dyDescent="0.3">
      <c r="B36" s="73"/>
      <c r="H36" s="1"/>
      <c r="Q36" s="49"/>
      <c r="R36" s="49"/>
      <c r="S36" s="49"/>
      <c r="T36" s="74"/>
    </row>
    <row r="37" spans="2:20" s="1" customFormat="1" ht="19.899999999999999" customHeight="1" x14ac:dyDescent="0.25">
      <c r="B37" s="9">
        <v>10</v>
      </c>
      <c r="C37" s="560" t="s">
        <v>263</v>
      </c>
      <c r="D37" s="560"/>
      <c r="E37" s="561"/>
      <c r="G37" s="21"/>
      <c r="H37" s="22" t="s">
        <v>890</v>
      </c>
      <c r="I37" s="22" t="s">
        <v>623</v>
      </c>
      <c r="J37" s="23"/>
      <c r="L37" s="21"/>
      <c r="M37" s="22" t="str">
        <f t="shared" ref="M37:M39" si="4">H37</f>
        <v>2-1-1-0</v>
      </c>
      <c r="N37" s="22" t="str">
        <f>I37</f>
        <v>1x10</v>
      </c>
      <c r="O37" s="23"/>
      <c r="Q37" s="21"/>
      <c r="R37" s="22" t="str">
        <f t="shared" ref="R37:R39" si="5">H37</f>
        <v>2-1-1-0</v>
      </c>
      <c r="S37" s="52" t="str">
        <f>I37</f>
        <v>1x10</v>
      </c>
      <c r="T37" s="23"/>
    </row>
    <row r="38" spans="2:20" s="1" customFormat="1" ht="19.899999999999999" customHeight="1" x14ac:dyDescent="0.25">
      <c r="B38" s="3">
        <v>11</v>
      </c>
      <c r="C38" s="567" t="s">
        <v>297</v>
      </c>
      <c r="D38" s="567"/>
      <c r="E38" s="568"/>
      <c r="G38" s="27"/>
      <c r="H38" s="28" t="s">
        <v>911</v>
      </c>
      <c r="I38" s="28" t="s">
        <v>623</v>
      </c>
      <c r="J38" s="29"/>
      <c r="L38" s="27"/>
      <c r="M38" s="28" t="str">
        <f t="shared" si="4"/>
        <v>5-0-3-0</v>
      </c>
      <c r="N38" s="28" t="str">
        <f>I38</f>
        <v>1x10</v>
      </c>
      <c r="O38" s="29"/>
      <c r="Q38" s="27"/>
      <c r="R38" s="28" t="str">
        <f t="shared" si="5"/>
        <v>5-0-3-0</v>
      </c>
      <c r="S38" s="28" t="str">
        <f>I38</f>
        <v>1x10</v>
      </c>
      <c r="T38" s="29"/>
    </row>
    <row r="39" spans="2:20" s="1" customFormat="1" ht="19.899999999999999" customHeight="1" thickBot="1" x14ac:dyDescent="0.3">
      <c r="B39" s="4">
        <v>12</v>
      </c>
      <c r="C39" s="565" t="s">
        <v>732</v>
      </c>
      <c r="D39" s="565"/>
      <c r="E39" s="566"/>
      <c r="G39" s="24"/>
      <c r="H39" s="25" t="s">
        <v>889</v>
      </c>
      <c r="I39" s="25" t="s">
        <v>623</v>
      </c>
      <c r="J39" s="26"/>
      <c r="L39" s="24"/>
      <c r="M39" s="25" t="str">
        <f t="shared" si="4"/>
        <v>3-1-1-1</v>
      </c>
      <c r="N39" s="25" t="str">
        <f>I39</f>
        <v>1x10</v>
      </c>
      <c r="O39" s="26"/>
      <c r="Q39" s="46"/>
      <c r="R39" s="47" t="str">
        <f t="shared" si="5"/>
        <v>3-1-1-1</v>
      </c>
      <c r="S39" s="47" t="str">
        <f>I39</f>
        <v>1x10</v>
      </c>
      <c r="T39" s="48"/>
    </row>
    <row r="40" spans="2:20" s="1" customFormat="1" ht="5.0999999999999996" customHeight="1" thickBot="1" x14ac:dyDescent="0.3">
      <c r="B40" s="4"/>
      <c r="C40" s="66"/>
      <c r="D40" s="66"/>
      <c r="E40" s="113"/>
      <c r="G40" s="4"/>
      <c r="H40" s="66"/>
      <c r="I40" s="66"/>
      <c r="J40" s="66"/>
      <c r="L40" s="66"/>
      <c r="M40" s="66"/>
      <c r="N40" s="66"/>
      <c r="O40" s="66"/>
      <c r="Q40" s="115"/>
      <c r="R40" s="115"/>
      <c r="S40" s="115"/>
      <c r="T40" s="116"/>
    </row>
    <row r="41" spans="2:20" s="2" customFormat="1" ht="18" customHeight="1" thickBot="1" x14ac:dyDescent="0.3">
      <c r="B41" s="638" t="s">
        <v>876</v>
      </c>
      <c r="C41" s="639"/>
      <c r="D41" s="639"/>
      <c r="E41" s="640"/>
      <c r="G41" s="520" t="s">
        <v>880</v>
      </c>
      <c r="H41" s="521" t="s">
        <v>9</v>
      </c>
      <c r="I41" s="521" t="s">
        <v>901</v>
      </c>
      <c r="J41" s="522" t="s">
        <v>880</v>
      </c>
      <c r="K41" s="523"/>
      <c r="L41" s="520" t="str">
        <f>G41</f>
        <v>GEWICHT</v>
      </c>
      <c r="M41" s="521" t="s">
        <v>9</v>
      </c>
      <c r="N41" s="521" t="str">
        <f>I41</f>
        <v>SxR/RPE 9</v>
      </c>
      <c r="O41" s="522" t="s">
        <v>880</v>
      </c>
      <c r="P41" s="523"/>
      <c r="Q41" s="520" t="str">
        <f>L41</f>
        <v>GEWICHT</v>
      </c>
      <c r="R41" s="521" t="s">
        <v>9</v>
      </c>
      <c r="S41" s="521" t="str">
        <f>I41</f>
        <v>SxR/RPE 9</v>
      </c>
      <c r="T41" s="522" t="s">
        <v>880</v>
      </c>
    </row>
    <row r="42" spans="2:20" s="1" customFormat="1" ht="19.899999999999999" customHeight="1" x14ac:dyDescent="0.25">
      <c r="B42" s="9">
        <v>13</v>
      </c>
      <c r="C42" s="560" t="s">
        <v>208</v>
      </c>
      <c r="D42" s="560"/>
      <c r="E42" s="561"/>
      <c r="G42" s="21"/>
      <c r="H42" s="22" t="s">
        <v>900</v>
      </c>
      <c r="I42" s="22" t="s">
        <v>723</v>
      </c>
      <c r="J42" s="23"/>
      <c r="L42" s="21"/>
      <c r="M42" s="22" t="str">
        <f>H42</f>
        <v>ISO</v>
      </c>
      <c r="N42" s="22" t="str">
        <f>I42</f>
        <v>2x90s</v>
      </c>
      <c r="O42" s="23"/>
      <c r="Q42" s="21"/>
      <c r="R42" s="22" t="str">
        <f>H42</f>
        <v>ISO</v>
      </c>
      <c r="S42" s="22" t="str">
        <f>N42</f>
        <v>2x90s</v>
      </c>
      <c r="T42" s="23"/>
    </row>
    <row r="43" spans="2:20" s="1" customFormat="1" ht="19.899999999999999" customHeight="1" x14ac:dyDescent="0.25">
      <c r="B43" s="3">
        <v>14</v>
      </c>
      <c r="C43" s="567" t="s">
        <v>515</v>
      </c>
      <c r="D43" s="567"/>
      <c r="E43" s="568"/>
      <c r="G43" s="27"/>
      <c r="H43" s="28" t="s">
        <v>900</v>
      </c>
      <c r="I43" s="28" t="s">
        <v>723</v>
      </c>
      <c r="J43" s="29"/>
      <c r="L43" s="27"/>
      <c r="M43" s="28" t="str">
        <f>H43</f>
        <v>ISO</v>
      </c>
      <c r="N43" s="28" t="str">
        <f>I43</f>
        <v>2x90s</v>
      </c>
      <c r="O43" s="29"/>
      <c r="Q43" s="27"/>
      <c r="R43" s="28" t="str">
        <f>H43</f>
        <v>ISO</v>
      </c>
      <c r="S43" s="28" t="str">
        <f>N43</f>
        <v>2x90s</v>
      </c>
      <c r="T43" s="29"/>
    </row>
    <row r="44" spans="2:20" s="1" customFormat="1" ht="19.899999999999999" customHeight="1" thickBot="1" x14ac:dyDescent="0.3">
      <c r="B44" s="4">
        <v>15</v>
      </c>
      <c r="C44" s="571" t="s">
        <v>353</v>
      </c>
      <c r="D44" s="571"/>
      <c r="E44" s="572"/>
      <c r="F44" s="66"/>
      <c r="G44" s="24"/>
      <c r="H44" s="25" t="s">
        <v>900</v>
      </c>
      <c r="I44" s="25" t="s">
        <v>723</v>
      </c>
      <c r="J44" s="26"/>
      <c r="K44" s="66"/>
      <c r="L44" s="24"/>
      <c r="M44" s="25" t="str">
        <f>H44</f>
        <v>ISO</v>
      </c>
      <c r="N44" s="25" t="str">
        <f>I44</f>
        <v>2x90s</v>
      </c>
      <c r="O44" s="26"/>
      <c r="P44" s="66"/>
      <c r="Q44" s="24"/>
      <c r="R44" s="25" t="str">
        <f>H44</f>
        <v>ISO</v>
      </c>
      <c r="S44" s="25" t="str">
        <f>N44</f>
        <v>2x90s</v>
      </c>
      <c r="T44" s="26"/>
    </row>
  </sheetData>
  <mergeCells count="43">
    <mergeCell ref="O2:T7"/>
    <mergeCell ref="M10:N10"/>
    <mergeCell ref="B12:T12"/>
    <mergeCell ref="B13:D13"/>
    <mergeCell ref="E13:F13"/>
    <mergeCell ref="G13:I13"/>
    <mergeCell ref="J13:M13"/>
    <mergeCell ref="N13:Q13"/>
    <mergeCell ref="R13:T13"/>
    <mergeCell ref="G16:T16"/>
    <mergeCell ref="H17:I17"/>
    <mergeCell ref="M17:N17"/>
    <mergeCell ref="R17:S17"/>
    <mergeCell ref="N15:Q15"/>
    <mergeCell ref="R15:T15"/>
    <mergeCell ref="C44:E44"/>
    <mergeCell ref="C39:E39"/>
    <mergeCell ref="C26:E26"/>
    <mergeCell ref="C28:E28"/>
    <mergeCell ref="C29:E29"/>
    <mergeCell ref="C30:E30"/>
    <mergeCell ref="B32:E32"/>
    <mergeCell ref="C33:E33"/>
    <mergeCell ref="C34:E34"/>
    <mergeCell ref="C35:E35"/>
    <mergeCell ref="C37:E37"/>
    <mergeCell ref="C38:E38"/>
    <mergeCell ref="B14:T14"/>
    <mergeCell ref="B41:E41"/>
    <mergeCell ref="C42:E42"/>
    <mergeCell ref="C43:E43"/>
    <mergeCell ref="C19:E19"/>
    <mergeCell ref="C20:E20"/>
    <mergeCell ref="C21:E21"/>
    <mergeCell ref="B23:E23"/>
    <mergeCell ref="C24:E24"/>
    <mergeCell ref="C25:E25"/>
    <mergeCell ref="B18:E18"/>
    <mergeCell ref="B15:D15"/>
    <mergeCell ref="E15:F15"/>
    <mergeCell ref="G15:I15"/>
    <mergeCell ref="J15:M15"/>
    <mergeCell ref="B16:E17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2A521917-6F9A-4B1A-A7A9-6F1DF222AAED}">
          <x14:formula1>
            <xm:f>' Unterkörper Progressionen '!$Z$2:$Z$17</xm:f>
          </x14:formula1>
          <xm:sqref>N29 S38 S34 N34 N38 S29</xm:sqref>
        </x14:dataValidation>
        <x14:dataValidation type="list" allowBlank="1" showInputMessage="1" showErrorMessage="1" xr:uid="{B8B2A1E7-C749-46B8-9E68-792C6CD5A9F7}">
          <x14:formula1>
            <xm:f>'Oberkörper Progressionen '!$Q:$Q</xm:f>
          </x14:formula1>
          <xm:sqref>C43:E43</xm:sqref>
        </x14:dataValidation>
        <x14:dataValidation type="list" allowBlank="1" showInputMessage="1" showErrorMessage="1" xr:uid="{73CA0DDB-6C2F-40FE-A828-0D9CEC7CFBC1}">
          <x14:formula1>
            <xm:f>'Oberkörper Progressionen '!$B:$B</xm:f>
          </x14:formula1>
          <xm:sqref>C19:E19</xm:sqref>
        </x14:dataValidation>
        <x14:dataValidation type="list" allowBlank="1" showInputMessage="1" showErrorMessage="1" xr:uid="{1D584C67-3C35-4838-93CD-5B139C11913F}">
          <x14:formula1>
            <xm:f>'Oberkörper Progressionen '!$E:$E</xm:f>
          </x14:formula1>
          <xm:sqref>C24:E24</xm:sqref>
        </x14:dataValidation>
        <x14:dataValidation type="list" allowBlank="1" showInputMessage="1" showErrorMessage="1" xr:uid="{03BDCE30-2A17-4467-9F1E-0A747C4F1672}">
          <x14:formula1>
            <xm:f>'Oberkörper Progressionen '!$F:$F</xm:f>
          </x14:formula1>
          <xm:sqref>C25:E25</xm:sqref>
        </x14:dataValidation>
        <x14:dataValidation type="list" allowBlank="1" showInputMessage="1" showErrorMessage="1" xr:uid="{3548998B-28FC-4109-9453-3F8AB8CD1783}">
          <x14:formula1>
            <xm:f>'Oberkörper Progressionen '!$N:$N</xm:f>
          </x14:formula1>
          <xm:sqref>C26:E26</xm:sqref>
        </x14:dataValidation>
        <x14:dataValidation type="list" allowBlank="1" showInputMessage="1" showErrorMessage="1" xr:uid="{57E8566D-9321-4FCB-892D-B0CFF4EFC6BD}">
          <x14:formula1>
            <xm:f>'Oberkörper Progressionen '!$H:$H</xm:f>
          </x14:formula1>
          <xm:sqref>C28:E28</xm:sqref>
        </x14:dataValidation>
        <x14:dataValidation type="list" allowBlank="1" showInputMessage="1" showErrorMessage="1" xr:uid="{FED37D38-530A-46AA-84CD-BF78AB53B079}">
          <x14:formula1>
            <xm:f>'Oberkörper Progressionen '!$I:$I</xm:f>
          </x14:formula1>
          <xm:sqref>C29:E29</xm:sqref>
        </x14:dataValidation>
        <x14:dataValidation type="list" allowBlank="1" showInputMessage="1" showErrorMessage="1" xr:uid="{96E7A0E2-CCC6-495C-8501-0A7F83BDC189}">
          <x14:formula1>
            <xm:f>'Oberkörper Progressionen '!$G:$G</xm:f>
          </x14:formula1>
          <xm:sqref>C30:E31</xm:sqref>
        </x14:dataValidation>
        <x14:dataValidation type="list" allowBlank="1" showInputMessage="1" showErrorMessage="1" xr:uid="{B9858C8B-8519-4BD9-8E08-6DD17FB68DD7}">
          <x14:formula1>
            <xm:f>'Oberkörper Progressionen '!$L:$L</xm:f>
          </x14:formula1>
          <xm:sqref>C33:E33</xm:sqref>
        </x14:dataValidation>
        <x14:dataValidation type="list" allowBlank="1" showInputMessage="1" showErrorMessage="1" xr:uid="{5D75702D-E040-475E-BED7-53087370B33D}">
          <x14:formula1>
            <xm:f>'Oberkörper Progressionen '!$M:$M</xm:f>
          </x14:formula1>
          <xm:sqref>C34:E34</xm:sqref>
        </x14:dataValidation>
        <x14:dataValidation type="list" allowBlank="1" showInputMessage="1" showErrorMessage="1" xr:uid="{EF5400C1-4729-49E1-8B35-299918061350}">
          <x14:formula1>
            <xm:f>'Oberkörper Progressionen '!$J:$J</xm:f>
          </x14:formula1>
          <xm:sqref>C35:E35</xm:sqref>
        </x14:dataValidation>
        <x14:dataValidation type="list" allowBlank="1" showInputMessage="1" showErrorMessage="1" xr:uid="{3F711CA8-FB99-4F05-A118-FFBDBB7D4FEC}">
          <x14:formula1>
            <xm:f>'Oberkörper Progressionen '!$O:$O</xm:f>
          </x14:formula1>
          <xm:sqref>C37:E37</xm:sqref>
        </x14:dataValidation>
        <x14:dataValidation type="list" allowBlank="1" showInputMessage="1" showErrorMessage="1" xr:uid="{DC35BFC8-C8A4-4010-A4C6-275087BC1CEF}">
          <x14:formula1>
            <xm:f>'Oberkörper Progressionen '!$P:$P</xm:f>
          </x14:formula1>
          <xm:sqref>C38:E38</xm:sqref>
        </x14:dataValidation>
        <x14:dataValidation type="list" allowBlank="1" showInputMessage="1" showErrorMessage="1" xr:uid="{362E2474-890E-4B9B-8620-694CE1C455AC}">
          <x14:formula1>
            <xm:f>'Oberkörper Progressionen '!$K:$K</xm:f>
          </x14:formula1>
          <xm:sqref>C39:E40</xm:sqref>
        </x14:dataValidation>
        <x14:dataValidation type="list" allowBlank="1" showInputMessage="1" showErrorMessage="1" xr:uid="{518D0011-96E5-46C7-8AD3-248FC1FD7E25}">
          <x14:formula1>
            <xm:f>'Oberkörper Progressionen '!$R:$R</xm:f>
          </x14:formula1>
          <xm:sqref>C42:E42</xm:sqref>
        </x14:dataValidation>
        <x14:dataValidation type="list" allowBlank="1" showInputMessage="1" showErrorMessage="1" xr:uid="{26044973-EF9C-4E0B-9359-D7504AA1B059}">
          <x14:formula1>
            <xm:f>'Oberkörper Progressionen '!$S:$S</xm:f>
          </x14:formula1>
          <xm:sqref>C44:E44</xm:sqref>
        </x14:dataValidation>
        <x14:dataValidation type="list" allowBlank="1" showInputMessage="1" showErrorMessage="1" xr:uid="{E21134A5-5D12-436E-9A22-AE4BB32CC2C4}">
          <x14:formula1>
            <xm:f>'Oberkörper Progressionen '!$C:$C</xm:f>
          </x14:formula1>
          <xm:sqref>C20:E20</xm:sqref>
        </x14:dataValidation>
        <x14:dataValidation type="list" allowBlank="1" showInputMessage="1" showErrorMessage="1" xr:uid="{D4509AF4-C294-46CE-A720-6D9F049EAC6B}">
          <x14:formula1>
            <xm:f>'Oberkörper Progressionen '!$D:$D</xm:f>
          </x14:formula1>
          <xm:sqref>C21:E21</xm:sqref>
        </x14:dataValidation>
        <x14:dataValidation type="list" allowBlank="1" showInputMessage="1" showErrorMessage="1" xr:uid="{732E376F-6D7E-488F-9803-9B8A4D9AFB40}">
          <x14:formula1>
            <xm:f>' Unterkörper Progressionen '!$Z:$Z</xm:f>
          </x14:formula1>
          <xm:sqref>I42:I44 I24:I25 I28:I31 I33:I35 I37:I40</xm:sqref>
        </x14:dataValidation>
        <x14:dataValidation type="list" allowBlank="1" showInputMessage="1" showErrorMessage="1" xr:uid="{E6888FA2-1E17-47DF-8EBF-29ED8CB25A33}">
          <x14:formula1>
            <xm:f>' Unterkörper Progressionen '!$AA:$AA</xm:f>
          </x14:formula1>
          <xm:sqref>J20:J21</xm:sqref>
        </x14:dataValidation>
        <x14:dataValidation type="list" allowBlank="1" showInputMessage="1" showErrorMessage="1" xr:uid="{F4A55B39-BDD0-42BD-B6B1-2981F263C392}">
          <x14:formula1>
            <xm:f>' Unterkörper Progressionen '!$AC:$AC</xm:f>
          </x14:formula1>
          <xm:sqref>S32 S23 I23 N23 S41 N41 I41 I32 N32</xm:sqref>
        </x14:dataValidation>
        <x14:dataValidation type="list" allowBlank="1" showInputMessage="1" showErrorMessage="1" xr:uid="{99EDE95E-D2FB-45B1-B720-58C4C146212C}">
          <x14:formula1>
            <xm:f>' Unterkörper Progressionen '!$AB:$AB</xm:f>
          </x14:formula1>
          <xm:sqref>H19:H21 H42:H44 H37:H39 H33:H35 H28:H30 H24:H26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45EC-0C27-41C1-B7D7-49F74711C260}">
  <sheetPr>
    <pageSetUpPr fitToPage="1"/>
  </sheetPr>
  <dimension ref="B1:X54"/>
  <sheetViews>
    <sheetView topLeftCell="A22" zoomScaleNormal="100" workbookViewId="0">
      <selection activeCell="E50" sqref="E50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ht="16.5" hidden="1" thickBot="1" x14ac:dyDescent="0.3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">
        <v>192</v>
      </c>
      <c r="C13" s="631"/>
      <c r="D13" s="631"/>
      <c r="E13" s="633" t="s">
        <v>329</v>
      </c>
      <c r="F13" s="634"/>
      <c r="G13" s="631" t="s">
        <v>43</v>
      </c>
      <c r="H13" s="631"/>
      <c r="I13" s="631"/>
      <c r="J13" s="631" t="s">
        <v>694</v>
      </c>
      <c r="K13" s="631"/>
      <c r="L13" s="631"/>
      <c r="M13" s="631"/>
      <c r="N13" s="631" t="s">
        <v>690</v>
      </c>
      <c r="O13" s="631"/>
      <c r="P13" s="631"/>
      <c r="Q13" s="631"/>
      <c r="R13" s="631" t="s">
        <v>347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">
        <v>687</v>
      </c>
      <c r="C15" s="553"/>
      <c r="D15" s="553"/>
      <c r="E15" s="653" t="s">
        <v>745</v>
      </c>
      <c r="F15" s="654"/>
      <c r="G15" s="553" t="s">
        <v>662</v>
      </c>
      <c r="H15" s="553"/>
      <c r="I15" s="553"/>
      <c r="J15" s="553" t="s">
        <v>344</v>
      </c>
      <c r="K15" s="553"/>
      <c r="L15" s="553"/>
      <c r="M15" s="553"/>
      <c r="N15" s="553" t="s">
        <v>63</v>
      </c>
      <c r="O15" s="553"/>
      <c r="P15" s="553"/>
      <c r="Q15" s="553"/>
      <c r="R15" s="553" t="s">
        <v>155</v>
      </c>
      <c r="S15" s="553"/>
      <c r="T15" s="556"/>
    </row>
    <row r="16" spans="2:23" ht="4.9000000000000004" hidden="1" customHeight="1" thickBot="1" x14ac:dyDescent="0.3"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2:24" ht="18" customHeight="1" thickBot="1" x14ac:dyDescent="0.3">
      <c r="B17" s="619" t="s">
        <v>372</v>
      </c>
      <c r="C17" s="620"/>
      <c r="D17" s="620"/>
      <c r="E17" s="621"/>
      <c r="F17" s="310"/>
      <c r="G17" s="589" t="s">
        <v>116</v>
      </c>
      <c r="H17" s="590"/>
      <c r="I17" s="590"/>
      <c r="J17" s="590"/>
      <c r="K17" s="590"/>
      <c r="L17" s="590"/>
      <c r="M17" s="590"/>
      <c r="N17" s="590"/>
      <c r="O17" s="590"/>
      <c r="P17" s="590"/>
      <c r="Q17" s="590"/>
      <c r="R17" s="590"/>
      <c r="S17" s="590"/>
      <c r="T17" s="591"/>
    </row>
    <row r="18" spans="2:24" ht="21.6" customHeight="1" thickBot="1" x14ac:dyDescent="0.3">
      <c r="B18" s="622"/>
      <c r="C18" s="623"/>
      <c r="D18" s="623"/>
      <c r="E18" s="624"/>
      <c r="F18" s="1"/>
      <c r="G18" s="70" t="s">
        <v>865</v>
      </c>
      <c r="H18" s="582" t="s">
        <v>877</v>
      </c>
      <c r="I18" s="583"/>
      <c r="J18" s="71" t="s">
        <v>866</v>
      </c>
      <c r="K18" s="64"/>
      <c r="L18" s="70" t="s">
        <v>867</v>
      </c>
      <c r="M18" s="582" t="s">
        <v>878</v>
      </c>
      <c r="N18" s="583"/>
      <c r="O18" s="71" t="s">
        <v>868</v>
      </c>
      <c r="P18" s="64"/>
      <c r="Q18" s="70" t="s">
        <v>869</v>
      </c>
      <c r="R18" s="595" t="s">
        <v>879</v>
      </c>
      <c r="S18" s="596"/>
      <c r="T18" s="71" t="s">
        <v>870</v>
      </c>
      <c r="W18" s="36"/>
      <c r="X18" s="1"/>
    </row>
    <row r="19" spans="2:24" ht="18" customHeight="1" thickBot="1" x14ac:dyDescent="0.3">
      <c r="B19" s="650" t="s">
        <v>8</v>
      </c>
      <c r="C19" s="651"/>
      <c r="D19" s="651"/>
      <c r="E19" s="652"/>
      <c r="F19" s="72"/>
      <c r="G19" s="529" t="s">
        <v>880</v>
      </c>
      <c r="H19" s="530" t="s">
        <v>9</v>
      </c>
      <c r="I19" s="530" t="s">
        <v>11</v>
      </c>
      <c r="J19" s="531" t="s">
        <v>880</v>
      </c>
      <c r="K19" s="1"/>
      <c r="L19" s="529" t="s">
        <v>9</v>
      </c>
      <c r="M19" s="530" t="s">
        <v>10</v>
      </c>
      <c r="N19" s="530" t="s">
        <v>11</v>
      </c>
      <c r="O19" s="531" t="s">
        <v>880</v>
      </c>
      <c r="P19" s="1"/>
      <c r="Q19" s="532" t="s">
        <v>9</v>
      </c>
      <c r="R19" s="533" t="s">
        <v>10</v>
      </c>
      <c r="S19" s="533" t="s">
        <v>11</v>
      </c>
      <c r="T19" s="534" t="s">
        <v>880</v>
      </c>
      <c r="W19" s="37"/>
      <c r="X19" s="1"/>
    </row>
    <row r="20" spans="2:24" s="1" customFormat="1" ht="19.899999999999999" customHeight="1" x14ac:dyDescent="0.25">
      <c r="B20" s="9">
        <v>1</v>
      </c>
      <c r="C20" s="560" t="s">
        <v>822</v>
      </c>
      <c r="D20" s="560"/>
      <c r="E20" s="561"/>
      <c r="G20" s="18"/>
      <c r="H20" s="22" t="s">
        <v>12</v>
      </c>
      <c r="I20" s="19" t="s">
        <v>14</v>
      </c>
      <c r="J20" s="20" t="s">
        <v>16</v>
      </c>
      <c r="L20" s="18" t="s">
        <v>12</v>
      </c>
      <c r="M20" s="19"/>
      <c r="N20" s="19" t="s">
        <v>14</v>
      </c>
      <c r="O20" s="20" t="s">
        <v>16</v>
      </c>
      <c r="Q20" s="43" t="s">
        <v>12</v>
      </c>
      <c r="R20" s="44"/>
      <c r="S20" s="44" t="s">
        <v>14</v>
      </c>
      <c r="T20" s="45" t="s">
        <v>16</v>
      </c>
      <c r="W20" s="36"/>
    </row>
    <row r="21" spans="2:24" s="1" customFormat="1" ht="19.899999999999999" customHeight="1" x14ac:dyDescent="0.25">
      <c r="B21" s="3">
        <v>2</v>
      </c>
      <c r="C21" s="567" t="s">
        <v>765</v>
      </c>
      <c r="D21" s="567"/>
      <c r="E21" s="568"/>
      <c r="G21" s="67"/>
      <c r="H21" s="28" t="s">
        <v>12</v>
      </c>
      <c r="I21" s="68" t="s">
        <v>14</v>
      </c>
      <c r="J21" s="69"/>
      <c r="L21" s="67" t="s">
        <v>12</v>
      </c>
      <c r="M21" s="68"/>
      <c r="N21" s="68" t="s">
        <v>14</v>
      </c>
      <c r="O21" s="69"/>
      <c r="Q21" s="75" t="s">
        <v>12</v>
      </c>
      <c r="R21" s="76"/>
      <c r="S21" s="76" t="s">
        <v>14</v>
      </c>
      <c r="T21" s="77"/>
      <c r="W21" s="36"/>
    </row>
    <row r="22" spans="2:24" s="1" customFormat="1" ht="19.899999999999999" customHeight="1" thickBot="1" x14ac:dyDescent="0.3">
      <c r="B22" s="4">
        <v>3</v>
      </c>
      <c r="C22" s="565"/>
      <c r="D22" s="565"/>
      <c r="E22" s="566"/>
      <c r="G22" s="24"/>
      <c r="H22" s="25" t="s">
        <v>12</v>
      </c>
      <c r="I22" s="25" t="s">
        <v>14</v>
      </c>
      <c r="J22" s="26"/>
      <c r="L22" s="24" t="s">
        <v>12</v>
      </c>
      <c r="M22" s="25"/>
      <c r="N22" s="25" t="s">
        <v>14</v>
      </c>
      <c r="O22" s="26"/>
      <c r="Q22" s="46" t="s">
        <v>12</v>
      </c>
      <c r="R22" s="47"/>
      <c r="S22" s="47" t="s">
        <v>14</v>
      </c>
      <c r="T22" s="48"/>
    </row>
    <row r="23" spans="2:24" s="2" customFormat="1" ht="4.9000000000000004" customHeight="1" thickBot="1" x14ac:dyDescent="0.3">
      <c r="B23" s="73"/>
      <c r="G23" s="1"/>
      <c r="H23" s="1"/>
      <c r="Q23" s="49"/>
      <c r="R23" s="49"/>
      <c r="S23" s="49"/>
      <c r="T23" s="74"/>
      <c r="X23" s="1"/>
    </row>
    <row r="24" spans="2:24" s="1" customFormat="1" ht="18" customHeight="1" thickBot="1" x14ac:dyDescent="0.3">
      <c r="B24" s="616" t="s">
        <v>882</v>
      </c>
      <c r="C24" s="617"/>
      <c r="D24" s="617"/>
      <c r="E24" s="618"/>
      <c r="G24" s="511" t="s">
        <v>880</v>
      </c>
      <c r="H24" s="512" t="s">
        <v>9</v>
      </c>
      <c r="I24" s="512" t="s">
        <v>896</v>
      </c>
      <c r="J24" s="513" t="s">
        <v>880</v>
      </c>
      <c r="L24" s="511" t="str">
        <f>G24</f>
        <v>GEWICHT</v>
      </c>
      <c r="M24" s="512" t="s">
        <v>9</v>
      </c>
      <c r="N24" s="512" t="str">
        <f>I24</f>
        <v>SxR/RPE 7-8</v>
      </c>
      <c r="O24" s="513" t="s">
        <v>880</v>
      </c>
      <c r="Q24" s="514" t="str">
        <f>L24</f>
        <v>GEWICHT</v>
      </c>
      <c r="R24" s="515" t="s">
        <v>9</v>
      </c>
      <c r="S24" s="512" t="str">
        <f>I24</f>
        <v>SxR/RPE 7-8</v>
      </c>
      <c r="T24" s="516" t="s">
        <v>880</v>
      </c>
    </row>
    <row r="25" spans="2:24" s="1" customFormat="1" ht="19.899999999999999" customHeight="1" x14ac:dyDescent="0.25">
      <c r="B25" s="9">
        <v>1</v>
      </c>
      <c r="C25" s="560" t="s">
        <v>904</v>
      </c>
      <c r="D25" s="560"/>
      <c r="E25" s="561"/>
      <c r="G25" s="21"/>
      <c r="H25" s="22" t="s">
        <v>888</v>
      </c>
      <c r="I25" s="28" t="s">
        <v>710</v>
      </c>
      <c r="J25" s="23"/>
      <c r="L25" s="21"/>
      <c r="M25" s="22" t="str">
        <f t="shared" ref="M25:M26" si="0">H25</f>
        <v>3-1-1-0</v>
      </c>
      <c r="N25" s="22" t="str">
        <f>I25</f>
        <v>2x12</v>
      </c>
      <c r="O25" s="23"/>
      <c r="Q25" s="50"/>
      <c r="R25" s="52" t="str">
        <f t="shared" ref="R25:R26" si="1">M25</f>
        <v>3-1-1-0</v>
      </c>
      <c r="S25" s="52" t="str">
        <f>N25</f>
        <v>2x12</v>
      </c>
      <c r="T25" s="53"/>
    </row>
    <row r="26" spans="2:24" s="1" customFormat="1" ht="19.899999999999999" customHeight="1" x14ac:dyDescent="0.25">
      <c r="B26" s="3">
        <v>2</v>
      </c>
      <c r="C26" s="567" t="s">
        <v>349</v>
      </c>
      <c r="D26" s="567"/>
      <c r="E26" s="568"/>
      <c r="G26" s="27"/>
      <c r="H26" s="28" t="s">
        <v>889</v>
      </c>
      <c r="I26" s="28" t="s">
        <v>710</v>
      </c>
      <c r="J26" s="29"/>
      <c r="L26" s="27"/>
      <c r="M26" s="28" t="str">
        <f t="shared" si="0"/>
        <v>3-1-1-1</v>
      </c>
      <c r="N26" s="28" t="str">
        <f>I26</f>
        <v>2x12</v>
      </c>
      <c r="O26" s="29"/>
      <c r="Q26" s="54"/>
      <c r="R26" s="56" t="str">
        <f t="shared" si="1"/>
        <v>3-1-1-1</v>
      </c>
      <c r="S26" s="56" t="str">
        <f>N26</f>
        <v>2x12</v>
      </c>
      <c r="T26" s="57"/>
    </row>
    <row r="27" spans="2:24" s="1" customFormat="1" ht="19.899999999999999" customHeight="1" thickBot="1" x14ac:dyDescent="0.3">
      <c r="B27" s="4">
        <v>3</v>
      </c>
      <c r="C27" s="565" t="s">
        <v>52</v>
      </c>
      <c r="D27" s="565"/>
      <c r="E27" s="566"/>
      <c r="G27" s="24"/>
      <c r="H27" s="25" t="s">
        <v>889</v>
      </c>
      <c r="I27" s="25" t="s">
        <v>14</v>
      </c>
      <c r="J27" s="26"/>
      <c r="L27" s="24"/>
      <c r="M27" s="25" t="str">
        <f>H27</f>
        <v>3-1-1-1</v>
      </c>
      <c r="N27" s="25" t="str">
        <f>I27</f>
        <v>3x5</v>
      </c>
      <c r="O27" s="26"/>
      <c r="Q27" s="46"/>
      <c r="R27" s="47" t="str">
        <f>H27</f>
        <v>3-1-1-1</v>
      </c>
      <c r="S27" s="47" t="str">
        <f>N27</f>
        <v>3x5</v>
      </c>
      <c r="T27" s="48"/>
    </row>
    <row r="28" spans="2:24" s="2" customFormat="1" ht="4.9000000000000004" customHeight="1" thickBot="1" x14ac:dyDescent="0.3">
      <c r="B28" s="73"/>
      <c r="G28" s="1"/>
      <c r="H28" s="1"/>
      <c r="L28" s="1"/>
      <c r="M28" s="1"/>
      <c r="Q28" s="547"/>
      <c r="R28" s="547"/>
      <c r="S28" s="49"/>
      <c r="T28" s="74"/>
    </row>
    <row r="29" spans="2:24" s="1" customFormat="1" ht="19.899999999999999" customHeight="1" x14ac:dyDescent="0.25">
      <c r="B29" s="9">
        <v>4</v>
      </c>
      <c r="C29" s="560" t="s">
        <v>693</v>
      </c>
      <c r="D29" s="560"/>
      <c r="E29" s="561"/>
      <c r="G29" s="21"/>
      <c r="H29" s="22" t="s">
        <v>888</v>
      </c>
      <c r="I29" s="22" t="s">
        <v>710</v>
      </c>
      <c r="J29" s="23"/>
      <c r="L29" s="21"/>
      <c r="M29" s="22" t="str">
        <f t="shared" ref="M29:M30" si="2">H29</f>
        <v>3-1-1-0</v>
      </c>
      <c r="N29" s="22" t="str">
        <f>I29</f>
        <v>2x12</v>
      </c>
      <c r="O29" s="23"/>
      <c r="Q29" s="50"/>
      <c r="R29" s="52" t="str">
        <f>H29</f>
        <v>3-1-1-0</v>
      </c>
      <c r="S29" s="52" t="str">
        <f>N29</f>
        <v>2x12</v>
      </c>
      <c r="T29" s="53"/>
    </row>
    <row r="30" spans="2:24" s="1" customFormat="1" ht="19.899999999999999" customHeight="1" x14ac:dyDescent="0.25">
      <c r="B30" s="3">
        <v>5</v>
      </c>
      <c r="C30" s="567" t="s">
        <v>394</v>
      </c>
      <c r="D30" s="567"/>
      <c r="E30" s="568"/>
      <c r="G30" s="27"/>
      <c r="H30" s="28" t="s">
        <v>889</v>
      </c>
      <c r="I30" s="28" t="s">
        <v>710</v>
      </c>
      <c r="J30" s="29"/>
      <c r="L30" s="27"/>
      <c r="M30" s="28" t="str">
        <f t="shared" si="2"/>
        <v>3-1-1-1</v>
      </c>
      <c r="N30" s="28" t="str">
        <f>I30</f>
        <v>2x12</v>
      </c>
      <c r="O30" s="29"/>
      <c r="Q30" s="54"/>
      <c r="R30" s="56" t="str">
        <f>H29</f>
        <v>3-1-1-0</v>
      </c>
      <c r="S30" s="28" t="str">
        <f>N30</f>
        <v>2x12</v>
      </c>
      <c r="T30" s="57"/>
    </row>
    <row r="31" spans="2:24" s="1" customFormat="1" ht="19.899999999999999" customHeight="1" thickBot="1" x14ac:dyDescent="0.3">
      <c r="B31" s="4">
        <v>6</v>
      </c>
      <c r="C31" s="565" t="s">
        <v>81</v>
      </c>
      <c r="D31" s="565"/>
      <c r="E31" s="566"/>
      <c r="G31" s="24"/>
      <c r="H31" s="25" t="s">
        <v>900</v>
      </c>
      <c r="I31" s="25" t="s">
        <v>715</v>
      </c>
      <c r="J31" s="26"/>
      <c r="L31" s="24"/>
      <c r="M31" s="25" t="str">
        <f>H31</f>
        <v>ISO</v>
      </c>
      <c r="N31" s="25" t="str">
        <f>I31</f>
        <v>3x10s ea</v>
      </c>
      <c r="O31" s="26"/>
      <c r="Q31" s="46"/>
      <c r="R31" s="47" t="str">
        <f>H31</f>
        <v>ISO</v>
      </c>
      <c r="S31" s="47" t="str">
        <f>N31</f>
        <v>3x10s ea</v>
      </c>
      <c r="T31" s="48"/>
    </row>
    <row r="32" spans="2:24" s="1" customFormat="1" ht="5.0999999999999996" customHeight="1" thickBot="1" x14ac:dyDescent="0.3">
      <c r="B32" s="4"/>
      <c r="C32" s="66"/>
      <c r="D32" s="66"/>
      <c r="E32" s="113"/>
      <c r="G32" s="4"/>
      <c r="H32" s="66"/>
      <c r="I32" s="66"/>
      <c r="J32" s="66"/>
      <c r="L32" s="66"/>
      <c r="M32" s="66"/>
      <c r="N32" s="66"/>
      <c r="O32" s="66"/>
      <c r="Q32" s="115"/>
      <c r="R32" s="115"/>
      <c r="S32" s="115"/>
      <c r="T32" s="116"/>
    </row>
    <row r="33" spans="2:22" s="2" customFormat="1" ht="18" customHeight="1" thickBot="1" x14ac:dyDescent="0.3">
      <c r="B33" s="610" t="s">
        <v>883</v>
      </c>
      <c r="C33" s="611"/>
      <c r="D33" s="611"/>
      <c r="E33" s="612"/>
      <c r="F33" s="64"/>
      <c r="G33" s="541" t="s">
        <v>880</v>
      </c>
      <c r="H33" s="542" t="s">
        <v>9</v>
      </c>
      <c r="I33" s="542" t="s">
        <v>896</v>
      </c>
      <c r="J33" s="543" t="s">
        <v>880</v>
      </c>
      <c r="K33" s="1"/>
      <c r="L33" s="541" t="s">
        <v>880</v>
      </c>
      <c r="M33" s="542" t="s">
        <v>9</v>
      </c>
      <c r="N33" s="542" t="str">
        <f>I33</f>
        <v>SxR/RPE 7-8</v>
      </c>
      <c r="O33" s="543" t="s">
        <v>880</v>
      </c>
      <c r="P33" s="1"/>
      <c r="Q33" s="541" t="s">
        <v>880</v>
      </c>
      <c r="R33" s="542" t="s">
        <v>9</v>
      </c>
      <c r="S33" s="542" t="str">
        <f>I33</f>
        <v>SxR/RPE 7-8</v>
      </c>
      <c r="T33" s="543" t="s">
        <v>880</v>
      </c>
    </row>
    <row r="34" spans="2:22" s="1" customFormat="1" ht="19.899999999999999" customHeight="1" x14ac:dyDescent="0.25">
      <c r="B34" s="9">
        <v>7</v>
      </c>
      <c r="C34" s="560" t="s">
        <v>470</v>
      </c>
      <c r="D34" s="560"/>
      <c r="E34" s="561"/>
      <c r="G34" s="21"/>
      <c r="H34" s="22" t="s">
        <v>889</v>
      </c>
      <c r="I34" s="22" t="s">
        <v>710</v>
      </c>
      <c r="J34" s="23"/>
      <c r="L34" s="21"/>
      <c r="M34" s="22" t="str">
        <f t="shared" ref="M34:M36" si="3">H34</f>
        <v>3-1-1-1</v>
      </c>
      <c r="N34" s="22" t="str">
        <f>I34</f>
        <v>2x12</v>
      </c>
      <c r="O34" s="23"/>
      <c r="Q34" s="50"/>
      <c r="R34" s="52" t="str">
        <f>H34</f>
        <v>3-1-1-1</v>
      </c>
      <c r="S34" s="52" t="str">
        <f>I34</f>
        <v>2x12</v>
      </c>
      <c r="T34" s="53"/>
    </row>
    <row r="35" spans="2:22" s="1" customFormat="1" ht="19.899999999999999" customHeight="1" x14ac:dyDescent="0.25">
      <c r="B35" s="3">
        <v>8</v>
      </c>
      <c r="C35" s="567" t="s">
        <v>429</v>
      </c>
      <c r="D35" s="567"/>
      <c r="E35" s="568"/>
      <c r="G35" s="27"/>
      <c r="H35" s="28" t="s">
        <v>900</v>
      </c>
      <c r="I35" s="28" t="s">
        <v>715</v>
      </c>
      <c r="J35" s="29"/>
      <c r="L35" s="27"/>
      <c r="M35" s="28" t="str">
        <f t="shared" si="3"/>
        <v>ISO</v>
      </c>
      <c r="N35" s="28" t="str">
        <f>I35</f>
        <v>3x10s ea</v>
      </c>
      <c r="O35" s="29"/>
      <c r="Q35" s="54"/>
      <c r="R35" s="56" t="str">
        <f>H35</f>
        <v>ISO</v>
      </c>
      <c r="S35" s="28" t="str">
        <f>N35</f>
        <v>3x10s ea</v>
      </c>
      <c r="T35" s="57"/>
    </row>
    <row r="36" spans="2:22" s="1" customFormat="1" ht="19.899999999999999" customHeight="1" thickBot="1" x14ac:dyDescent="0.3">
      <c r="B36" s="4">
        <v>9</v>
      </c>
      <c r="C36" s="565" t="s">
        <v>630</v>
      </c>
      <c r="D36" s="565"/>
      <c r="E36" s="566"/>
      <c r="G36" s="24"/>
      <c r="H36" s="25" t="s">
        <v>900</v>
      </c>
      <c r="I36" s="25" t="s">
        <v>716</v>
      </c>
      <c r="J36" s="26"/>
      <c r="L36" s="24"/>
      <c r="M36" s="25" t="str">
        <f t="shared" si="3"/>
        <v>ISO</v>
      </c>
      <c r="N36" s="25" t="str">
        <f>I36</f>
        <v xml:space="preserve">3x10s </v>
      </c>
      <c r="O36" s="26"/>
      <c r="Q36" s="46"/>
      <c r="R36" s="47" t="str">
        <f>H36</f>
        <v>ISO</v>
      </c>
      <c r="S36" s="47" t="str">
        <f>N36</f>
        <v xml:space="preserve">3x10s </v>
      </c>
      <c r="T36" s="48"/>
    </row>
    <row r="37" spans="2:22" s="2" customFormat="1" ht="4.9000000000000004" customHeight="1" thickBot="1" x14ac:dyDescent="0.3">
      <c r="B37" s="73"/>
      <c r="G37" s="1"/>
      <c r="H37" s="1"/>
      <c r="L37" s="1"/>
      <c r="M37" s="1"/>
      <c r="Q37" s="547"/>
      <c r="R37" s="547"/>
      <c r="S37" s="49"/>
      <c r="T37" s="74"/>
    </row>
    <row r="38" spans="2:22" s="1" customFormat="1" ht="19.899999999999999" customHeight="1" x14ac:dyDescent="0.25">
      <c r="B38" s="9">
        <v>10</v>
      </c>
      <c r="C38" s="560" t="s">
        <v>823</v>
      </c>
      <c r="D38" s="560"/>
      <c r="E38" s="561"/>
      <c r="G38" s="21"/>
      <c r="H38" s="22" t="s">
        <v>889</v>
      </c>
      <c r="I38" s="22" t="s">
        <v>710</v>
      </c>
      <c r="J38" s="23"/>
      <c r="L38" s="21"/>
      <c r="M38" s="22" t="str">
        <f t="shared" ref="M38:M40" si="4">H38</f>
        <v>3-1-1-1</v>
      </c>
      <c r="N38" s="22" t="str">
        <f>I38</f>
        <v>2x12</v>
      </c>
      <c r="O38" s="23"/>
      <c r="Q38" s="21"/>
      <c r="R38" s="22" t="str">
        <f>H38</f>
        <v>3-1-1-1</v>
      </c>
      <c r="S38" s="52" t="str">
        <f>N38</f>
        <v>2x12</v>
      </c>
      <c r="T38" s="23"/>
    </row>
    <row r="39" spans="2:22" s="1" customFormat="1" ht="19.899999999999999" customHeight="1" x14ac:dyDescent="0.25">
      <c r="B39" s="3">
        <v>11</v>
      </c>
      <c r="C39" s="567" t="s">
        <v>770</v>
      </c>
      <c r="D39" s="567"/>
      <c r="E39" s="568"/>
      <c r="G39" s="27"/>
      <c r="H39" s="28" t="s">
        <v>900</v>
      </c>
      <c r="I39" s="28" t="s">
        <v>715</v>
      </c>
      <c r="J39" s="29"/>
      <c r="L39" s="27"/>
      <c r="M39" s="28" t="str">
        <f t="shared" si="4"/>
        <v>ISO</v>
      </c>
      <c r="N39" s="28" t="str">
        <f>I39</f>
        <v>3x10s ea</v>
      </c>
      <c r="O39" s="29"/>
      <c r="Q39" s="27"/>
      <c r="R39" s="28" t="str">
        <f>H39</f>
        <v>ISO</v>
      </c>
      <c r="S39" s="28" t="str">
        <f>N39</f>
        <v>3x10s ea</v>
      </c>
      <c r="T39" s="29"/>
    </row>
    <row r="40" spans="2:22" s="1" customFormat="1" ht="19.899999999999999" customHeight="1" thickBot="1" x14ac:dyDescent="0.3">
      <c r="B40" s="4">
        <v>12</v>
      </c>
      <c r="C40" s="565" t="s">
        <v>440</v>
      </c>
      <c r="D40" s="565"/>
      <c r="E40" s="566"/>
      <c r="G40" s="24"/>
      <c r="H40" s="25" t="s">
        <v>889</v>
      </c>
      <c r="I40" s="25" t="s">
        <v>710</v>
      </c>
      <c r="J40" s="26"/>
      <c r="L40" s="24"/>
      <c r="M40" s="25" t="str">
        <f t="shared" si="4"/>
        <v>3-1-1-1</v>
      </c>
      <c r="N40" s="25" t="str">
        <f>I40</f>
        <v>2x12</v>
      </c>
      <c r="O40" s="26"/>
      <c r="Q40" s="46"/>
      <c r="R40" s="47" t="str">
        <f>H40</f>
        <v>3-1-1-1</v>
      </c>
      <c r="S40" s="47" t="str">
        <f>N40</f>
        <v>2x12</v>
      </c>
      <c r="T40" s="48"/>
    </row>
    <row r="41" spans="2:22" s="1" customFormat="1" ht="5.0999999999999996" customHeight="1" thickBot="1" x14ac:dyDescent="0.3">
      <c r="B41" s="4"/>
      <c r="C41" s="66"/>
      <c r="D41" s="66"/>
      <c r="E41" s="113"/>
      <c r="G41" s="4"/>
      <c r="H41" s="66"/>
      <c r="I41" s="66"/>
      <c r="J41" s="66"/>
      <c r="L41" s="66"/>
      <c r="M41" s="66"/>
      <c r="N41" s="66"/>
      <c r="O41" s="66"/>
      <c r="Q41" s="115"/>
      <c r="R41" s="115"/>
      <c r="S41" s="115"/>
      <c r="T41" s="116"/>
    </row>
    <row r="42" spans="2:22" s="2" customFormat="1" ht="18" customHeight="1" thickBot="1" x14ac:dyDescent="0.3">
      <c r="B42" s="607" t="s">
        <v>875</v>
      </c>
      <c r="C42" s="608"/>
      <c r="D42" s="608"/>
      <c r="E42" s="609"/>
      <c r="F42" s="1"/>
      <c r="G42" s="549" t="s">
        <v>880</v>
      </c>
      <c r="H42" s="550" t="s">
        <v>9</v>
      </c>
      <c r="I42" s="550" t="s">
        <v>901</v>
      </c>
      <c r="J42" s="551" t="s">
        <v>880</v>
      </c>
      <c r="K42" s="523"/>
      <c r="L42" s="549" t="str">
        <f>G42</f>
        <v>GEWICHT</v>
      </c>
      <c r="M42" s="550" t="s">
        <v>9</v>
      </c>
      <c r="N42" s="550" t="str">
        <f>I42</f>
        <v>SxR/RPE 9</v>
      </c>
      <c r="O42" s="551" t="s">
        <v>880</v>
      </c>
      <c r="P42" s="547"/>
      <c r="Q42" s="549" t="str">
        <f>L42</f>
        <v>GEWICHT</v>
      </c>
      <c r="R42" s="550" t="s">
        <v>9</v>
      </c>
      <c r="S42" s="550" t="str">
        <f>I42</f>
        <v>SxR/RPE 9</v>
      </c>
      <c r="T42" s="551" t="s">
        <v>880</v>
      </c>
    </row>
    <row r="43" spans="2:22" s="1" customFormat="1" ht="19.899999999999999" customHeight="1" x14ac:dyDescent="0.25">
      <c r="B43" s="9">
        <v>13</v>
      </c>
      <c r="C43" s="560" t="s">
        <v>182</v>
      </c>
      <c r="D43" s="560"/>
      <c r="E43" s="561"/>
      <c r="G43" s="21"/>
      <c r="H43" s="22" t="s">
        <v>900</v>
      </c>
      <c r="I43" s="22" t="s">
        <v>709</v>
      </c>
      <c r="J43" s="23"/>
      <c r="L43" s="21"/>
      <c r="M43" s="22" t="str">
        <f>H43</f>
        <v>ISO</v>
      </c>
      <c r="N43" s="22" t="str">
        <f>I43</f>
        <v>2x30s</v>
      </c>
      <c r="O43" s="23"/>
      <c r="Q43" s="21"/>
      <c r="R43" s="22" t="str">
        <f>H43</f>
        <v>ISO</v>
      </c>
      <c r="S43" s="22" t="str">
        <f>N43</f>
        <v>2x30s</v>
      </c>
      <c r="T43" s="23"/>
    </row>
    <row r="44" spans="2:22" s="1" customFormat="1" ht="19.899999999999999" customHeight="1" x14ac:dyDescent="0.25">
      <c r="B44" s="3">
        <v>14</v>
      </c>
      <c r="C44" s="567" t="s">
        <v>36</v>
      </c>
      <c r="D44" s="567"/>
      <c r="E44" s="568"/>
      <c r="G44" s="27"/>
      <c r="H44" s="28" t="s">
        <v>900</v>
      </c>
      <c r="I44" s="28" t="s">
        <v>709</v>
      </c>
      <c r="J44" s="29"/>
      <c r="L44" s="27"/>
      <c r="M44" s="28" t="str">
        <f>H43</f>
        <v>ISO</v>
      </c>
      <c r="N44" s="28" t="str">
        <f>I44</f>
        <v>2x30s</v>
      </c>
      <c r="O44" s="29"/>
      <c r="Q44" s="27"/>
      <c r="R44" s="28" t="str">
        <f>H43</f>
        <v>ISO</v>
      </c>
      <c r="S44" s="28" t="str">
        <f>N44</f>
        <v>2x30s</v>
      </c>
      <c r="T44" s="29"/>
    </row>
    <row r="45" spans="2:22" s="1" customFormat="1" ht="19.899999999999999" customHeight="1" thickBot="1" x14ac:dyDescent="0.3">
      <c r="B45" s="4">
        <v>15</v>
      </c>
      <c r="C45" s="571" t="s">
        <v>338</v>
      </c>
      <c r="D45" s="571"/>
      <c r="E45" s="572"/>
      <c r="F45" s="66"/>
      <c r="G45" s="24"/>
      <c r="H45" s="25" t="s">
        <v>900</v>
      </c>
      <c r="I45" s="25" t="s">
        <v>709</v>
      </c>
      <c r="J45" s="26"/>
      <c r="K45" s="66"/>
      <c r="L45" s="24"/>
      <c r="M45" s="25" t="str">
        <f>H43</f>
        <v>ISO</v>
      </c>
      <c r="N45" s="25" t="str">
        <f>I45</f>
        <v>2x30s</v>
      </c>
      <c r="O45" s="26"/>
      <c r="P45" s="66"/>
      <c r="Q45" s="24"/>
      <c r="R45" s="25" t="str">
        <f>H43</f>
        <v>ISO</v>
      </c>
      <c r="S45" s="25" t="str">
        <f>N45</f>
        <v>2x30s</v>
      </c>
      <c r="T45" s="26"/>
    </row>
    <row r="46" spans="2:22" s="2" customFormat="1" ht="4.9000000000000004" customHeight="1" x14ac:dyDescent="0.25">
      <c r="Q46" s="49"/>
      <c r="R46" s="49"/>
      <c r="S46" s="49"/>
      <c r="T46" s="49"/>
    </row>
    <row r="47" spans="2:22" x14ac:dyDescent="0.25">
      <c r="V47" s="1"/>
    </row>
    <row r="48" spans="2:22" x14ac:dyDescent="0.25">
      <c r="V48" s="1"/>
    </row>
    <row r="49" spans="22:22" x14ac:dyDescent="0.25">
      <c r="V49" s="1"/>
    </row>
    <row r="50" spans="22:22" x14ac:dyDescent="0.25">
      <c r="V50" s="1"/>
    </row>
    <row r="51" spans="22:22" x14ac:dyDescent="0.25">
      <c r="V51" s="1"/>
    </row>
    <row r="52" spans="22:22" x14ac:dyDescent="0.25">
      <c r="V52" s="1"/>
    </row>
    <row r="53" spans="22:22" x14ac:dyDescent="0.25">
      <c r="V53" s="1"/>
    </row>
    <row r="54" spans="22:22" x14ac:dyDescent="0.25">
      <c r="V54" s="1"/>
    </row>
  </sheetData>
  <mergeCells count="44">
    <mergeCell ref="B14:T14"/>
    <mergeCell ref="O2:T7"/>
    <mergeCell ref="E10:G10"/>
    <mergeCell ref="I10:L10"/>
    <mergeCell ref="B12:T12"/>
    <mergeCell ref="B13:D13"/>
    <mergeCell ref="E13:F13"/>
    <mergeCell ref="G13:I13"/>
    <mergeCell ref="J13:M13"/>
    <mergeCell ref="N13:Q13"/>
    <mergeCell ref="R13:T13"/>
    <mergeCell ref="B19:E19"/>
    <mergeCell ref="B15:D15"/>
    <mergeCell ref="E15:F15"/>
    <mergeCell ref="G15:I15"/>
    <mergeCell ref="J15:M15"/>
    <mergeCell ref="B17:E18"/>
    <mergeCell ref="G17:T17"/>
    <mergeCell ref="H18:I18"/>
    <mergeCell ref="M18:N18"/>
    <mergeCell ref="R18:S18"/>
    <mergeCell ref="N15:Q15"/>
    <mergeCell ref="R15:T15"/>
    <mergeCell ref="C20:E20"/>
    <mergeCell ref="C21:E21"/>
    <mergeCell ref="C22:E22"/>
    <mergeCell ref="B24:E24"/>
    <mergeCell ref="C25:E25"/>
    <mergeCell ref="B42:E42"/>
    <mergeCell ref="C43:E43"/>
    <mergeCell ref="C44:E44"/>
    <mergeCell ref="C45:E45"/>
    <mergeCell ref="C26:E26"/>
    <mergeCell ref="C40:E40"/>
    <mergeCell ref="C27:E27"/>
    <mergeCell ref="C29:E29"/>
    <mergeCell ref="C30:E30"/>
    <mergeCell ref="C31:E31"/>
    <mergeCell ref="B33:E33"/>
    <mergeCell ref="C34:E34"/>
    <mergeCell ref="C35:E35"/>
    <mergeCell ref="C36:E36"/>
    <mergeCell ref="C38:E38"/>
    <mergeCell ref="C39:E39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showInputMessage="1" showErrorMessage="1" xr:uid="{53E3D240-1081-461F-BF2F-43FA73992040}">
          <x14:formula1>
            <xm:f>'BH1-2 Progressionen'!$L:$L</xm:f>
          </x14:formula1>
          <xm:sqref>N15</xm:sqref>
        </x14:dataValidation>
        <x14:dataValidation type="list" allowBlank="1" showInputMessage="1" showErrorMessage="1" xr:uid="{2ACAE4D7-336C-4E4B-A1B4-97B3361CBCB9}">
          <x14:formula1>
            <xm:f>'BH1-2 Progressionen'!$F:$F</xm:f>
          </x14:formula1>
          <xm:sqref>N13</xm:sqref>
        </x14:dataValidation>
        <x14:dataValidation type="list" allowBlank="1" showInputMessage="1" showErrorMessage="1" xr:uid="{DA7A1389-EC33-4BF7-BB72-6A7B99708083}">
          <x14:formula1>
            <xm:f>'BH1-2 Progressionen'!$K:$K</xm:f>
          </x14:formula1>
          <xm:sqref>J15</xm:sqref>
        </x14:dataValidation>
        <x14:dataValidation type="list" allowBlank="1" showInputMessage="1" showErrorMessage="1" xr:uid="{59AABE4E-E2C6-429B-B227-B6B60CC04811}">
          <x14:formula1>
            <xm:f>'BH1-2 Progressionen'!$E:$E</xm:f>
          </x14:formula1>
          <xm:sqref>J13</xm:sqref>
        </x14:dataValidation>
        <x14:dataValidation type="list" allowBlank="1" showInputMessage="1" showErrorMessage="1" xr:uid="{86CBA4B3-6253-4D5C-ACEC-274531D58211}">
          <x14:formula1>
            <xm:f>'BH1-2 Progressionen'!$J:$J</xm:f>
          </x14:formula1>
          <xm:sqref>G15</xm:sqref>
        </x14:dataValidation>
        <x14:dataValidation type="list" allowBlank="1" showInputMessage="1" showErrorMessage="1" xr:uid="{11FC9D5A-5CC8-4C99-BD02-6A6204436C3D}">
          <x14:formula1>
            <xm:f>'BH1-2 Progressionen'!$D:$D</xm:f>
          </x14:formula1>
          <xm:sqref>G13</xm:sqref>
        </x14:dataValidation>
        <x14:dataValidation type="list" allowBlank="1" showInputMessage="1" showErrorMessage="1" xr:uid="{5D54D6B4-6D66-4D33-8B17-6906BE8E96D8}">
          <x14:formula1>
            <xm:f>'BH1-2 Progressionen'!$M:$M</xm:f>
          </x14:formula1>
          <xm:sqref>R15:T15</xm:sqref>
        </x14:dataValidation>
        <x14:dataValidation type="list" allowBlank="1" showInputMessage="1" showErrorMessage="1" xr:uid="{F8077414-7F03-4718-8A31-238B6A78C7B7}">
          <x14:formula1>
            <xm:f>'BH1-2 Progressionen'!$I:$I</xm:f>
          </x14:formula1>
          <xm:sqref>E15</xm:sqref>
        </x14:dataValidation>
        <x14:dataValidation type="list" allowBlank="1" showInputMessage="1" showErrorMessage="1" xr:uid="{75B64A68-0E71-456B-BF06-34722E3827C5}">
          <x14:formula1>
            <xm:f>'BH1-2 Progressionen'!$H:$H</xm:f>
          </x14:formula1>
          <xm:sqref>B15:D15</xm:sqref>
        </x14:dataValidation>
        <x14:dataValidation type="list" allowBlank="1" showInputMessage="1" showErrorMessage="1" xr:uid="{3C5D1C25-9FAA-4C9D-BB59-EA490A348039}">
          <x14:formula1>
            <xm:f>'BH1-2 Progressionen'!$G:$G</xm:f>
          </x14:formula1>
          <xm:sqref>R13:T13</xm:sqref>
        </x14:dataValidation>
        <x14:dataValidation type="list" allowBlank="1" showInputMessage="1" showErrorMessage="1" xr:uid="{25FF6F0A-3474-406C-921A-A31D870EE390}">
          <x14:formula1>
            <xm:f>'BH1-2 Progressionen'!$C:$C</xm:f>
          </x14:formula1>
          <xm:sqref>E13</xm:sqref>
        </x14:dataValidation>
        <x14:dataValidation type="list" allowBlank="1" showInputMessage="1" showErrorMessage="1" xr:uid="{7F2244A6-05E7-41C9-B249-ACD469DECC57}">
          <x14:formula1>
            <xm:f>'BH1-2 Progressionen'!$B:$B</xm:f>
          </x14:formula1>
          <xm:sqref>B13:D13</xm:sqref>
        </x14:dataValidation>
        <x14:dataValidation type="list" allowBlank="1" showInputMessage="1" showErrorMessage="1" xr:uid="{2ECA0FBB-E40D-4371-9CD6-3E80E236B97C}">
          <x14:formula1>
            <xm:f>'BH1-2 Progressionen'!$A:$A</xm:f>
          </x14:formula1>
          <xm:sqref>B17:E18</xm:sqref>
        </x14:dataValidation>
        <x14:dataValidation type="list" allowBlank="1" showInputMessage="1" showErrorMessage="1" xr:uid="{6E0042B7-09D2-4B63-8426-0D99393520E5}">
          <x14:formula1>
            <xm:f>' Unterkörper Progressionen '!$W:$W</xm:f>
          </x14:formula1>
          <xm:sqref>C45:E45</xm:sqref>
        </x14:dataValidation>
        <x14:dataValidation type="list" allowBlank="1" showInputMessage="1" showErrorMessage="1" xr:uid="{FE41B82F-8520-48C7-99EE-3010CFBB5A79}">
          <x14:formula1>
            <xm:f>' Unterkörper Progressionen '!$V:$V</xm:f>
          </x14:formula1>
          <xm:sqref>C44:E44</xm:sqref>
        </x14:dataValidation>
        <x14:dataValidation type="list" allowBlank="1" showInputMessage="1" showErrorMessage="1" xr:uid="{42611D08-1188-4EA6-9259-154AFA4DA2D2}">
          <x14:formula1>
            <xm:f>' Unterkörper Progressionen '!$U:$U</xm:f>
          </x14:formula1>
          <xm:sqref>C43:E43</xm:sqref>
        </x14:dataValidation>
        <x14:dataValidation type="list" allowBlank="1" showInputMessage="1" showErrorMessage="1" xr:uid="{85A35DF5-BDA0-4355-B825-1F1A1973AEC7}">
          <x14:formula1>
            <xm:f>' Unterkörper Progressionen '!$S:$S</xm:f>
          </x14:formula1>
          <xm:sqref>C40:E40</xm:sqref>
        </x14:dataValidation>
        <x14:dataValidation type="list" allowBlank="1" showInputMessage="1" showErrorMessage="1" xr:uid="{49B88E4B-BDA6-445F-8CAF-6F6F28FEED83}">
          <x14:formula1>
            <xm:f>' Unterkörper Progressionen '!$R:$R</xm:f>
          </x14:formula1>
          <xm:sqref>C39:E39</xm:sqref>
        </x14:dataValidation>
        <x14:dataValidation type="list" allowBlank="1" showInputMessage="1" showErrorMessage="1" xr:uid="{18FCEF7B-1718-46C8-9770-2A550B880C6C}">
          <x14:formula1>
            <xm:f>' Unterkörper Progressionen '!$Q:$Q</xm:f>
          </x14:formula1>
          <xm:sqref>C38:E38</xm:sqref>
        </x14:dataValidation>
        <x14:dataValidation type="list" allowBlank="1" showInputMessage="1" showErrorMessage="1" xr:uid="{146629B4-8418-4411-A82F-6D96E70A09C7}">
          <x14:formula1>
            <xm:f>' Unterkörper Progressionen '!$P:$P</xm:f>
          </x14:formula1>
          <xm:sqref>C36:E36</xm:sqref>
        </x14:dataValidation>
        <x14:dataValidation type="list" allowBlank="1" showInputMessage="1" showErrorMessage="1" xr:uid="{2F6A161D-56C6-4807-A73B-46F76F5615AB}">
          <x14:formula1>
            <xm:f>' Unterkörper Progressionen '!$M:$M</xm:f>
          </x14:formula1>
          <xm:sqref>C35:E35</xm:sqref>
        </x14:dataValidation>
        <x14:dataValidation type="list" allowBlank="1" showInputMessage="1" showErrorMessage="1" xr:uid="{95E2465D-D50E-444B-AEBD-2097EFC8ED7F}">
          <x14:formula1>
            <xm:f>' Unterkörper Progressionen '!$L:$L</xm:f>
          </x14:formula1>
          <xm:sqref>C34:E34</xm:sqref>
        </x14:dataValidation>
        <x14:dataValidation type="list" allowBlank="1" showInputMessage="1" showErrorMessage="1" xr:uid="{3D56858F-2D54-4666-AAF6-2BEBFC53DEC6}">
          <x14:formula1>
            <xm:f>' Unterkörper Progressionen '!$J:$J</xm:f>
          </x14:formula1>
          <xm:sqref>C31:E31</xm:sqref>
        </x14:dataValidation>
        <x14:dataValidation type="list" allowBlank="1" showInputMessage="1" showErrorMessage="1" xr:uid="{9AFB91BE-03DF-4BFD-BA85-3BACCF6EA6D9}">
          <x14:formula1>
            <xm:f>' Unterkörper Progressionen '!$I:$I</xm:f>
          </x14:formula1>
          <xm:sqref>C30:E30</xm:sqref>
        </x14:dataValidation>
        <x14:dataValidation type="list" allowBlank="1" showInputMessage="1" showErrorMessage="1" xr:uid="{2BE4F983-97D9-46A4-8371-072AFB84D978}">
          <x14:formula1>
            <xm:f>' Unterkörper Progressionen '!$H:$H</xm:f>
          </x14:formula1>
          <xm:sqref>C29:E29</xm:sqref>
        </x14:dataValidation>
        <x14:dataValidation type="list" allowBlank="1" showInputMessage="1" showErrorMessage="1" xr:uid="{92592663-C048-423B-9F6A-B8A5E458D016}">
          <x14:formula1>
            <xm:f>' Unterkörper Progressionen '!$G:$G</xm:f>
          </x14:formula1>
          <xm:sqref>C27:E27</xm:sqref>
        </x14:dataValidation>
        <x14:dataValidation type="list" allowBlank="1" showInputMessage="1" showErrorMessage="1" xr:uid="{88DE0A43-3E0D-4946-88B5-501CE6B58357}">
          <x14:formula1>
            <xm:f>' Unterkörper Progressionen '!$F:$F</xm:f>
          </x14:formula1>
          <xm:sqref>C26:E26</xm:sqref>
        </x14:dataValidation>
        <x14:dataValidation type="list" allowBlank="1" showInputMessage="1" showErrorMessage="1" xr:uid="{EF1DBE94-7E65-40E6-A38C-B0D346C71E38}">
          <x14:formula1>
            <xm:f>' Unterkörper Progressionen '!$E:$E</xm:f>
          </x14:formula1>
          <xm:sqref>C25:E25</xm:sqref>
        </x14:dataValidation>
        <x14:dataValidation type="list" allowBlank="1" showInputMessage="1" showErrorMessage="1" xr:uid="{CB73CECC-C870-4348-9D9B-D5C2EDDE4F52}">
          <x14:formula1>
            <xm:f>' Unterkörper Progressionen '!$D:$D</xm:f>
          </x14:formula1>
          <xm:sqref>C22:E22</xm:sqref>
        </x14:dataValidation>
        <x14:dataValidation type="list" allowBlank="1" showInputMessage="1" showErrorMessage="1" xr:uid="{F48D5119-7BC8-4AD2-820F-1AA5BFC8FC99}">
          <x14:formula1>
            <xm:f>' Unterkörper Progressionen '!$C:$C</xm:f>
          </x14:formula1>
          <xm:sqref>C21:E21</xm:sqref>
        </x14:dataValidation>
        <x14:dataValidation type="list" allowBlank="1" showInputMessage="1" showErrorMessage="1" xr:uid="{F7FC792A-D941-4104-A0A1-DEB97A2082F5}">
          <x14:formula1>
            <xm:f>' Unterkörper Progressionen '!$B:$B</xm:f>
          </x14:formula1>
          <xm:sqref>C20:E20</xm:sqref>
        </x14:dataValidation>
        <x14:dataValidation type="list" allowBlank="1" showInputMessage="1" showErrorMessage="1" xr:uid="{2B22A556-ACA6-40A2-BB74-DF7A04615168}">
          <x14:formula1>
            <xm:f>' Unterkörper Progressionen '!$AA:$AA</xm:f>
          </x14:formula1>
          <xm:sqref>J21:J23</xm:sqref>
        </x14:dataValidation>
        <x14:dataValidation type="list" allowBlank="1" showInputMessage="1" showErrorMessage="1" xr:uid="{D04308D4-8F12-46ED-8B6F-0528699ACBEF}">
          <x14:formula1>
            <xm:f>' Unterkörper Progressionen '!$Z:$Z</xm:f>
          </x14:formula1>
          <xm:sqref>I43:I45 I25:I27 I29:I32 I38:I41 I34:I36</xm:sqref>
        </x14:dataValidation>
        <x14:dataValidation type="list" allowBlank="1" showInputMessage="1" showErrorMessage="1" xr:uid="{44726781-7AF6-4108-B8DE-46D41D9EB773}">
          <x14:formula1>
            <xm:f>' Unterkörper Progressionen '!$AC:$AC</xm:f>
          </x14:formula1>
          <xm:sqref>S33 I24 S42 N42 I42 I33 N33</xm:sqref>
        </x14:dataValidation>
        <x14:dataValidation type="list" allowBlank="1" showInputMessage="1" showErrorMessage="1" xr:uid="{201B9002-6478-4DCB-B23C-8F0D175F9FE9}">
          <x14:formula1>
            <xm:f>' Unterkörper Progressionen '!$AB:$AB</xm:f>
          </x14:formula1>
          <xm:sqref>H25:H27 H20:H22 H43:H45 H38:H40 H34:H36 H29:H31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81B5-6BDF-4A97-BEEF-4D96919ECAD9}">
  <sheetPr>
    <pageSetUpPr fitToPage="1"/>
  </sheetPr>
  <dimension ref="B1:W44"/>
  <sheetViews>
    <sheetView topLeftCell="A20" zoomScale="94" zoomScaleNormal="100" workbookViewId="0">
      <selection activeCell="B41" sqref="B41:E41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W9" s="2"/>
    </row>
    <row r="10" spans="2:23" ht="16.5" hidden="1" thickBot="1" x14ac:dyDescent="0.3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1" customFormat="1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tr">
        <f>Unterkörper7!B13</f>
        <v>LOADED - TGU - 1/2-KN. TO STAND</v>
      </c>
      <c r="C13" s="631"/>
      <c r="D13" s="631"/>
      <c r="E13" s="633" t="str">
        <f>Unterkörper7!E13</f>
        <v>CIRCLE CRAWL</v>
      </c>
      <c r="F13" s="634"/>
      <c r="G13" s="631" t="str">
        <f>Unterkörper7!G13</f>
        <v>2KB RACK CARRY</v>
      </c>
      <c r="H13" s="631"/>
      <c r="I13" s="631"/>
      <c r="J13" s="631" t="str">
        <f>Unterkörper7!J13</f>
        <v>2KB RACK SQUAT</v>
      </c>
      <c r="K13" s="631"/>
      <c r="L13" s="631"/>
      <c r="M13" s="631"/>
      <c r="N13" s="631" t="str">
        <f>Unterkörper7!N13</f>
        <v>1-ARM 1KB SUMO DEADLIFT</v>
      </c>
      <c r="O13" s="631"/>
      <c r="P13" s="631"/>
      <c r="Q13" s="631"/>
      <c r="R13" s="631" t="str">
        <f>Unterkörper7!R13</f>
        <v>1KB 1-LEG DEADLIFT TO BOX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tr">
        <f>Unterkörper7!B15</f>
        <v>LOADED ANKLE ROCKER 1-LEG SQUAT</v>
      </c>
      <c r="C15" s="553"/>
      <c r="D15" s="553"/>
      <c r="E15" s="653" t="str">
        <f>Unterkörper7!E15</f>
        <v>SEATED CALF RAISE 90° MAX FORCE 10 SEC</v>
      </c>
      <c r="F15" s="654"/>
      <c r="G15" s="553" t="str">
        <f>Unterkörper7!G15</f>
        <v>LOADED 1-ARM WAITER  ANKLE MARCH</v>
      </c>
      <c r="H15" s="553"/>
      <c r="I15" s="553"/>
      <c r="J15" s="553" t="str">
        <f>Unterkörper7!J15</f>
        <v>LOADED C-SKIP</v>
      </c>
      <c r="K15" s="553"/>
      <c r="L15" s="553"/>
      <c r="M15" s="553"/>
      <c r="N15" s="553" t="str">
        <f>Unterkörper7!N15</f>
        <v>1-LEG MEDIAL HOP - TO BOX (CM)</v>
      </c>
      <c r="O15" s="553"/>
      <c r="P15" s="553"/>
      <c r="Q15" s="553"/>
      <c r="R15" s="553" t="str">
        <f>Unterkörper7!R15</f>
        <v>REACTIVE SQUAT JUMP</v>
      </c>
      <c r="S15" s="553"/>
      <c r="T15" s="556"/>
    </row>
    <row r="16" spans="2:23" ht="16.5" customHeight="1" thickBot="1" x14ac:dyDescent="0.3">
      <c r="B16" s="647" t="str">
        <f>Unterkörper7!B17</f>
        <v>LEVEL 7</v>
      </c>
      <c r="C16" s="648"/>
      <c r="D16" s="648"/>
      <c r="E16" s="649"/>
      <c r="F16" s="1"/>
      <c r="G16" s="592" t="s">
        <v>352</v>
      </c>
      <c r="H16" s="593"/>
      <c r="I16" s="593"/>
      <c r="J16" s="593"/>
      <c r="K16" s="593"/>
      <c r="L16" s="593"/>
      <c r="M16" s="593"/>
      <c r="N16" s="593"/>
      <c r="O16" s="593"/>
      <c r="P16" s="593"/>
      <c r="Q16" s="593"/>
      <c r="R16" s="593"/>
      <c r="S16" s="593"/>
      <c r="T16" s="594"/>
    </row>
    <row r="17" spans="2:23" ht="21.6" customHeight="1" thickBot="1" x14ac:dyDescent="0.3">
      <c r="B17" s="622"/>
      <c r="C17" s="623"/>
      <c r="D17" s="623"/>
      <c r="E17" s="624"/>
      <c r="F17" s="1"/>
      <c r="G17" s="70" t="s">
        <v>865</v>
      </c>
      <c r="H17" s="582" t="s">
        <v>877</v>
      </c>
      <c r="I17" s="583"/>
      <c r="J17" s="71" t="s">
        <v>866</v>
      </c>
      <c r="K17" s="64"/>
      <c r="L17" s="70" t="s">
        <v>867</v>
      </c>
      <c r="M17" s="582" t="s">
        <v>878</v>
      </c>
      <c r="N17" s="583"/>
      <c r="O17" s="71" t="s">
        <v>868</v>
      </c>
      <c r="P17" s="64"/>
      <c r="Q17" s="70" t="s">
        <v>869</v>
      </c>
      <c r="R17" s="595" t="s">
        <v>879</v>
      </c>
      <c r="S17" s="596"/>
      <c r="T17" s="71" t="s">
        <v>870</v>
      </c>
    </row>
    <row r="18" spans="2:23" ht="18" customHeight="1" thickBot="1" x14ac:dyDescent="0.3">
      <c r="B18" s="641" t="s">
        <v>8</v>
      </c>
      <c r="C18" s="642"/>
      <c r="D18" s="642"/>
      <c r="E18" s="643"/>
      <c r="F18" s="72"/>
      <c r="G18" s="501" t="s">
        <v>880</v>
      </c>
      <c r="H18" s="502" t="s">
        <v>9</v>
      </c>
      <c r="I18" s="502" t="s">
        <v>11</v>
      </c>
      <c r="J18" s="503" t="s">
        <v>880</v>
      </c>
      <c r="K18" s="1"/>
      <c r="L18" s="501" t="s">
        <v>880</v>
      </c>
      <c r="M18" s="502" t="s">
        <v>9</v>
      </c>
      <c r="N18" s="502" t="s">
        <v>11</v>
      </c>
      <c r="O18" s="503" t="s">
        <v>880</v>
      </c>
      <c r="P18" s="1"/>
      <c r="Q18" s="504" t="s">
        <v>880</v>
      </c>
      <c r="R18" s="505" t="s">
        <v>9</v>
      </c>
      <c r="S18" s="505" t="s">
        <v>11</v>
      </c>
      <c r="T18" s="506" t="s">
        <v>880</v>
      </c>
    </row>
    <row r="19" spans="2:23" s="1" customFormat="1" ht="19.899999999999999" customHeight="1" x14ac:dyDescent="0.25">
      <c r="B19" s="9">
        <v>1</v>
      </c>
      <c r="C19" s="560" t="s">
        <v>155</v>
      </c>
      <c r="D19" s="560"/>
      <c r="E19" s="561"/>
      <c r="G19" s="18"/>
      <c r="H19" s="22" t="s">
        <v>12</v>
      </c>
      <c r="I19" s="19" t="s">
        <v>14</v>
      </c>
      <c r="J19" s="20" t="s">
        <v>16</v>
      </c>
      <c r="L19" s="18"/>
      <c r="M19" s="19" t="str">
        <f t="shared" ref="M19:M21" si="0">H19</f>
        <v>EXPL</v>
      </c>
      <c r="N19" s="19" t="s">
        <v>14</v>
      </c>
      <c r="O19" s="20" t="s">
        <v>16</v>
      </c>
      <c r="Q19" s="43"/>
      <c r="R19" s="44" t="str">
        <f t="shared" ref="R19:R21" si="1">H19</f>
        <v>EXPL</v>
      </c>
      <c r="S19" s="44" t="s">
        <v>14</v>
      </c>
      <c r="T19" s="45" t="s">
        <v>16</v>
      </c>
    </row>
    <row r="20" spans="2:23" s="1" customFormat="1" ht="19.899999999999999" customHeight="1" x14ac:dyDescent="0.25">
      <c r="B20" s="3">
        <v>2</v>
      </c>
      <c r="C20" s="567" t="s">
        <v>829</v>
      </c>
      <c r="D20" s="567"/>
      <c r="E20" s="568"/>
      <c r="G20" s="67"/>
      <c r="H20" s="28" t="s">
        <v>12</v>
      </c>
      <c r="I20" s="68" t="s">
        <v>14</v>
      </c>
      <c r="J20" s="69"/>
      <c r="L20" s="67"/>
      <c r="M20" s="68" t="str">
        <f t="shared" si="0"/>
        <v>EXPL</v>
      </c>
      <c r="N20" s="68" t="s">
        <v>14</v>
      </c>
      <c r="O20" s="69"/>
      <c r="Q20" s="75"/>
      <c r="R20" s="76" t="str">
        <f t="shared" si="1"/>
        <v>EXPL</v>
      </c>
      <c r="S20" s="76" t="s">
        <v>14</v>
      </c>
      <c r="T20" s="77"/>
    </row>
    <row r="21" spans="2:23" s="1" customFormat="1" ht="19.899999999999999" customHeight="1" thickBot="1" x14ac:dyDescent="0.3">
      <c r="B21" s="4">
        <v>3</v>
      </c>
      <c r="C21" s="565" t="s">
        <v>242</v>
      </c>
      <c r="D21" s="565"/>
      <c r="E21" s="566"/>
      <c r="G21" s="24"/>
      <c r="H21" s="25" t="s">
        <v>12</v>
      </c>
      <c r="I21" s="25" t="s">
        <v>14</v>
      </c>
      <c r="J21" s="26"/>
      <c r="L21" s="24"/>
      <c r="M21" s="25" t="str">
        <f t="shared" si="0"/>
        <v>EXPL</v>
      </c>
      <c r="N21" s="25" t="s">
        <v>14</v>
      </c>
      <c r="O21" s="26"/>
      <c r="Q21" s="46"/>
      <c r="R21" s="47" t="str">
        <f t="shared" si="1"/>
        <v>EXPL</v>
      </c>
      <c r="S21" s="47" t="s">
        <v>14</v>
      </c>
      <c r="T21" s="48"/>
    </row>
    <row r="22" spans="2:23" s="2" customFormat="1" ht="4.9000000000000004" customHeight="1" thickBot="1" x14ac:dyDescent="0.3">
      <c r="B22" s="73"/>
      <c r="Q22" s="49"/>
      <c r="R22" s="49"/>
      <c r="S22" s="49"/>
      <c r="T22" s="74"/>
    </row>
    <row r="23" spans="2:23" s="523" customFormat="1" ht="18" customHeight="1" thickBot="1" x14ac:dyDescent="0.3">
      <c r="B23" s="644" t="s">
        <v>871</v>
      </c>
      <c r="C23" s="645"/>
      <c r="D23" s="645"/>
      <c r="E23" s="646"/>
      <c r="G23" s="524" t="s">
        <v>880</v>
      </c>
      <c r="H23" s="525" t="s">
        <v>9</v>
      </c>
      <c r="I23" s="525" t="s">
        <v>896</v>
      </c>
      <c r="J23" s="526" t="s">
        <v>880</v>
      </c>
      <c r="L23" s="524" t="str">
        <f>G23</f>
        <v>GEWICHT</v>
      </c>
      <c r="M23" s="525" t="s">
        <v>9</v>
      </c>
      <c r="N23" s="525" t="str">
        <f>I23</f>
        <v>SxR/RPE 7-8</v>
      </c>
      <c r="O23" s="526" t="s">
        <v>880</v>
      </c>
      <c r="Q23" s="524" t="str">
        <f>L23</f>
        <v>GEWICHT</v>
      </c>
      <c r="R23" s="525" t="s">
        <v>9</v>
      </c>
      <c r="S23" s="525" t="str">
        <f>I23</f>
        <v>SxR/RPE 7-8</v>
      </c>
      <c r="T23" s="526" t="s">
        <v>880</v>
      </c>
      <c r="W23" s="527"/>
    </row>
    <row r="24" spans="2:23" s="1" customFormat="1" ht="19.899999999999999" customHeight="1" x14ac:dyDescent="0.25">
      <c r="B24" s="9">
        <v>1</v>
      </c>
      <c r="C24" s="560" t="s">
        <v>251</v>
      </c>
      <c r="D24" s="560"/>
      <c r="E24" s="561"/>
      <c r="G24" s="21"/>
      <c r="H24" s="22" t="s">
        <v>890</v>
      </c>
      <c r="I24" s="28" t="s">
        <v>710</v>
      </c>
      <c r="J24" s="23"/>
      <c r="L24" s="21"/>
      <c r="M24" s="22" t="str">
        <f>H24</f>
        <v>2-1-1-0</v>
      </c>
      <c r="N24" s="22" t="str">
        <f>I24</f>
        <v>2x12</v>
      </c>
      <c r="O24" s="23"/>
      <c r="Q24" s="50"/>
      <c r="R24" s="52" t="str">
        <f>H24</f>
        <v>2-1-1-0</v>
      </c>
      <c r="S24" s="52" t="str">
        <f>I24</f>
        <v>2x12</v>
      </c>
      <c r="T24" s="53"/>
      <c r="W24" s="36"/>
    </row>
    <row r="25" spans="2:23" s="1" customFormat="1" ht="19.899999999999999" customHeight="1" x14ac:dyDescent="0.25">
      <c r="B25" s="3">
        <v>2</v>
      </c>
      <c r="C25" s="567" t="s">
        <v>279</v>
      </c>
      <c r="D25" s="567"/>
      <c r="E25" s="568"/>
      <c r="G25" s="27"/>
      <c r="H25" s="28" t="s">
        <v>890</v>
      </c>
      <c r="I25" s="28" t="s">
        <v>710</v>
      </c>
      <c r="J25" s="29"/>
      <c r="L25" s="27"/>
      <c r="M25" s="28" t="str">
        <f>H25</f>
        <v>2-1-1-0</v>
      </c>
      <c r="N25" s="28" t="str">
        <f>I25</f>
        <v>2x12</v>
      </c>
      <c r="O25" s="29"/>
      <c r="Q25" s="54"/>
      <c r="R25" s="56" t="str">
        <f>H25</f>
        <v>2-1-1-0</v>
      </c>
      <c r="S25" s="56" t="str">
        <f>I25</f>
        <v>2x12</v>
      </c>
      <c r="T25" s="57"/>
      <c r="W25" s="36"/>
    </row>
    <row r="26" spans="2:23" s="1" customFormat="1" ht="19.899999999999999" customHeight="1" thickBot="1" x14ac:dyDescent="0.3">
      <c r="B26" s="4">
        <v>3</v>
      </c>
      <c r="C26" s="565" t="s">
        <v>328</v>
      </c>
      <c r="D26" s="565"/>
      <c r="E26" s="566"/>
      <c r="G26" s="24"/>
      <c r="H26" s="25" t="s">
        <v>915</v>
      </c>
      <c r="I26" s="25" t="s">
        <v>712</v>
      </c>
      <c r="J26" s="26"/>
      <c r="L26" s="24"/>
      <c r="M26" s="25" t="str">
        <f>H26</f>
        <v>1-1-1-1</v>
      </c>
      <c r="N26" s="25" t="str">
        <f>I26</f>
        <v>2x15m</v>
      </c>
      <c r="O26" s="26"/>
      <c r="Q26" s="46"/>
      <c r="R26" s="47" t="str">
        <f>H26</f>
        <v>1-1-1-1</v>
      </c>
      <c r="S26" s="47" t="str">
        <f>I26</f>
        <v>2x15m</v>
      </c>
      <c r="T26" s="48"/>
    </row>
    <row r="27" spans="2:23" s="2" customFormat="1" ht="4.9000000000000004" customHeight="1" thickBot="1" x14ac:dyDescent="0.3">
      <c r="B27" s="73"/>
      <c r="Q27" s="49"/>
      <c r="R27" s="49"/>
      <c r="S27" s="49"/>
      <c r="T27" s="74"/>
    </row>
    <row r="28" spans="2:23" s="1" customFormat="1" ht="19.899999999999999" customHeight="1" x14ac:dyDescent="0.25">
      <c r="B28" s="9">
        <v>4</v>
      </c>
      <c r="C28" s="560" t="s">
        <v>283</v>
      </c>
      <c r="D28" s="560"/>
      <c r="E28" s="561"/>
      <c r="G28" s="21"/>
      <c r="H28" s="22" t="s">
        <v>890</v>
      </c>
      <c r="I28" s="22" t="s">
        <v>710</v>
      </c>
      <c r="J28" s="23"/>
      <c r="L28" s="21"/>
      <c r="M28" s="22" t="str">
        <f t="shared" ref="M28:M30" si="2">H28</f>
        <v>2-1-1-0</v>
      </c>
      <c r="N28" s="22" t="str">
        <f>I28</f>
        <v>2x12</v>
      </c>
      <c r="O28" s="23"/>
      <c r="Q28" s="50"/>
      <c r="R28" s="52" t="str">
        <f t="shared" ref="R28:R30" si="3">H28</f>
        <v>2-1-1-0</v>
      </c>
      <c r="S28" s="52" t="str">
        <f>I28</f>
        <v>2x12</v>
      </c>
      <c r="T28" s="53"/>
    </row>
    <row r="29" spans="2:23" s="1" customFormat="1" ht="19.899999999999999" customHeight="1" x14ac:dyDescent="0.25">
      <c r="B29" s="3">
        <v>5</v>
      </c>
      <c r="C29" s="567" t="s">
        <v>775</v>
      </c>
      <c r="D29" s="567"/>
      <c r="E29" s="568"/>
      <c r="G29" s="27"/>
      <c r="H29" s="28" t="s">
        <v>890</v>
      </c>
      <c r="I29" s="28" t="s">
        <v>710</v>
      </c>
      <c r="J29" s="29"/>
      <c r="L29" s="27"/>
      <c r="M29" s="28" t="str">
        <f t="shared" si="2"/>
        <v>2-1-1-0</v>
      </c>
      <c r="N29" s="28" t="str">
        <f>I29</f>
        <v>2x12</v>
      </c>
      <c r="O29" s="29"/>
      <c r="Q29" s="54"/>
      <c r="R29" s="56" t="str">
        <f t="shared" si="3"/>
        <v>2-1-1-0</v>
      </c>
      <c r="S29" s="28" t="str">
        <f>I29</f>
        <v>2x12</v>
      </c>
      <c r="T29" s="57"/>
    </row>
    <row r="30" spans="2:23" s="1" customFormat="1" ht="19.899999999999999" customHeight="1" thickBot="1" x14ac:dyDescent="0.3">
      <c r="B30" s="4">
        <v>6</v>
      </c>
      <c r="C30" s="565" t="s">
        <v>52</v>
      </c>
      <c r="D30" s="565"/>
      <c r="E30" s="566"/>
      <c r="G30" s="24"/>
      <c r="H30" s="25" t="s">
        <v>889</v>
      </c>
      <c r="I30" s="25" t="s">
        <v>754</v>
      </c>
      <c r="J30" s="26"/>
      <c r="L30" s="24"/>
      <c r="M30" s="25" t="str">
        <f t="shared" si="2"/>
        <v>3-1-1-1</v>
      </c>
      <c r="N30" s="25" t="str">
        <f>I30</f>
        <v>3x5 ea</v>
      </c>
      <c r="O30" s="26"/>
      <c r="Q30" s="46"/>
      <c r="R30" s="47" t="str">
        <f t="shared" si="3"/>
        <v>3-1-1-1</v>
      </c>
      <c r="S30" s="47" t="str">
        <f>I30</f>
        <v>3x5 ea</v>
      </c>
      <c r="T30" s="48"/>
    </row>
    <row r="31" spans="2:23" s="1" customFormat="1" ht="5.0999999999999996" customHeight="1" thickBot="1" x14ac:dyDescent="0.3">
      <c r="B31" s="4"/>
      <c r="C31" s="66"/>
      <c r="D31" s="66"/>
      <c r="E31" s="113"/>
      <c r="G31" s="4"/>
      <c r="H31" s="66"/>
      <c r="I31" s="66"/>
      <c r="J31" s="66"/>
      <c r="L31" s="66"/>
      <c r="M31" s="66"/>
      <c r="N31" s="66"/>
      <c r="O31" s="66"/>
      <c r="Q31" s="115"/>
      <c r="R31" s="115"/>
      <c r="S31" s="115"/>
      <c r="T31" s="116"/>
    </row>
    <row r="32" spans="2:23" s="2" customFormat="1" ht="18" customHeight="1" thickBot="1" x14ac:dyDescent="0.3">
      <c r="B32" s="635" t="s">
        <v>872</v>
      </c>
      <c r="C32" s="636"/>
      <c r="D32" s="636"/>
      <c r="E32" s="637"/>
      <c r="F32" s="114"/>
      <c r="G32" s="517" t="s">
        <v>880</v>
      </c>
      <c r="H32" s="518" t="s">
        <v>9</v>
      </c>
      <c r="I32" s="518" t="s">
        <v>896</v>
      </c>
      <c r="J32" s="519" t="s">
        <v>880</v>
      </c>
      <c r="K32" s="1"/>
      <c r="L32" s="517" t="s">
        <v>880</v>
      </c>
      <c r="M32" s="518" t="s">
        <v>9</v>
      </c>
      <c r="N32" s="518" t="str">
        <f>I32</f>
        <v>SxR/RPE 7-8</v>
      </c>
      <c r="O32" s="519" t="s">
        <v>880</v>
      </c>
      <c r="P32" s="1"/>
      <c r="Q32" s="517" t="s">
        <v>880</v>
      </c>
      <c r="R32" s="518" t="s">
        <v>9</v>
      </c>
      <c r="S32" s="518" t="str">
        <f>I32</f>
        <v>SxR/RPE 7-8</v>
      </c>
      <c r="T32" s="519" t="s">
        <v>880</v>
      </c>
    </row>
    <row r="33" spans="2:20" s="1" customFormat="1" ht="19.899999999999999" customHeight="1" x14ac:dyDescent="0.25">
      <c r="B33" s="9">
        <v>7</v>
      </c>
      <c r="C33" s="560" t="s">
        <v>262</v>
      </c>
      <c r="D33" s="560"/>
      <c r="E33" s="561"/>
      <c r="G33" s="21"/>
      <c r="H33" s="22" t="s">
        <v>889</v>
      </c>
      <c r="I33" s="22" t="s">
        <v>710</v>
      </c>
      <c r="J33" s="23"/>
      <c r="L33" s="21"/>
      <c r="M33" s="22" t="str">
        <f>H33</f>
        <v>3-1-1-1</v>
      </c>
      <c r="N33" s="22" t="str">
        <f>I33</f>
        <v>2x12</v>
      </c>
      <c r="O33" s="23"/>
      <c r="Q33" s="50"/>
      <c r="R33" s="52" t="str">
        <f>H33</f>
        <v>3-1-1-1</v>
      </c>
      <c r="S33" s="52" t="str">
        <f>I33</f>
        <v>2x12</v>
      </c>
      <c r="T33" s="53"/>
    </row>
    <row r="34" spans="2:20" s="1" customFormat="1" ht="19.899999999999999" customHeight="1" x14ac:dyDescent="0.25">
      <c r="B34" s="3">
        <v>8</v>
      </c>
      <c r="C34" s="567" t="s">
        <v>203</v>
      </c>
      <c r="D34" s="567"/>
      <c r="E34" s="568"/>
      <c r="G34" s="27"/>
      <c r="H34" s="28" t="s">
        <v>889</v>
      </c>
      <c r="I34" s="28" t="s">
        <v>710</v>
      </c>
      <c r="J34" s="29"/>
      <c r="L34" s="27"/>
      <c r="M34" s="28" t="str">
        <f>H34</f>
        <v>3-1-1-1</v>
      </c>
      <c r="N34" s="28" t="str">
        <f>I34</f>
        <v>2x12</v>
      </c>
      <c r="O34" s="29"/>
      <c r="Q34" s="54"/>
      <c r="R34" s="56" t="str">
        <f>H34</f>
        <v>3-1-1-1</v>
      </c>
      <c r="S34" s="28" t="str">
        <f>I34</f>
        <v>2x12</v>
      </c>
      <c r="T34" s="57"/>
    </row>
    <row r="35" spans="2:20" s="1" customFormat="1" ht="19.899999999999999" customHeight="1" thickBot="1" x14ac:dyDescent="0.3">
      <c r="B35" s="4">
        <v>9</v>
      </c>
      <c r="C35" s="565" t="s">
        <v>776</v>
      </c>
      <c r="D35" s="565"/>
      <c r="E35" s="566"/>
      <c r="G35" s="24"/>
      <c r="H35" s="25" t="s">
        <v>890</v>
      </c>
      <c r="I35" s="25" t="s">
        <v>710</v>
      </c>
      <c r="J35" s="26"/>
      <c r="L35" s="24"/>
      <c r="M35" s="25" t="str">
        <f>H35</f>
        <v>2-1-1-0</v>
      </c>
      <c r="N35" s="25" t="str">
        <f>I35</f>
        <v>2x12</v>
      </c>
      <c r="O35" s="26"/>
      <c r="Q35" s="46"/>
      <c r="R35" s="47" t="str">
        <f>H35</f>
        <v>2-1-1-0</v>
      </c>
      <c r="S35" s="47" t="str">
        <f>I35</f>
        <v>2x12</v>
      </c>
      <c r="T35" s="48"/>
    </row>
    <row r="36" spans="2:20" s="2" customFormat="1" ht="4.9000000000000004" customHeight="1" thickBot="1" x14ac:dyDescent="0.3">
      <c r="B36" s="73"/>
      <c r="H36" s="1"/>
      <c r="Q36" s="49"/>
      <c r="R36" s="49"/>
      <c r="S36" s="49"/>
      <c r="T36" s="74"/>
    </row>
    <row r="37" spans="2:20" s="1" customFormat="1" ht="19.899999999999999" customHeight="1" x14ac:dyDescent="0.25">
      <c r="B37" s="9">
        <v>10</v>
      </c>
      <c r="C37" s="560" t="s">
        <v>263</v>
      </c>
      <c r="D37" s="560"/>
      <c r="E37" s="561"/>
      <c r="G37" s="21"/>
      <c r="H37" s="22" t="s">
        <v>889</v>
      </c>
      <c r="I37" s="22" t="s">
        <v>710</v>
      </c>
      <c r="J37" s="23"/>
      <c r="L37" s="21"/>
      <c r="M37" s="22" t="str">
        <f t="shared" ref="M37:M39" si="4">H37</f>
        <v>3-1-1-1</v>
      </c>
      <c r="N37" s="22" t="str">
        <f>I37</f>
        <v>2x12</v>
      </c>
      <c r="O37" s="23"/>
      <c r="Q37" s="21"/>
      <c r="R37" s="22" t="str">
        <f t="shared" ref="R37:R39" si="5">H37</f>
        <v>3-1-1-1</v>
      </c>
      <c r="S37" s="52" t="str">
        <f>I37</f>
        <v>2x12</v>
      </c>
      <c r="T37" s="23"/>
    </row>
    <row r="38" spans="2:20" s="1" customFormat="1" ht="19.899999999999999" customHeight="1" x14ac:dyDescent="0.25">
      <c r="B38" s="3">
        <v>11</v>
      </c>
      <c r="C38" s="567" t="s">
        <v>510</v>
      </c>
      <c r="D38" s="567"/>
      <c r="E38" s="568"/>
      <c r="G38" s="27"/>
      <c r="H38" s="28" t="s">
        <v>911</v>
      </c>
      <c r="I38" s="28" t="s">
        <v>710</v>
      </c>
      <c r="J38" s="29"/>
      <c r="L38" s="27"/>
      <c r="M38" s="28" t="str">
        <f t="shared" si="4"/>
        <v>5-0-3-0</v>
      </c>
      <c r="N38" s="28" t="str">
        <f>I38</f>
        <v>2x12</v>
      </c>
      <c r="O38" s="29"/>
      <c r="Q38" s="27"/>
      <c r="R38" s="28" t="str">
        <f t="shared" si="5"/>
        <v>5-0-3-0</v>
      </c>
      <c r="S38" s="28" t="str">
        <f>I38</f>
        <v>2x12</v>
      </c>
      <c r="T38" s="29"/>
    </row>
    <row r="39" spans="2:20" s="1" customFormat="1" ht="19.899999999999999" customHeight="1" thickBot="1" x14ac:dyDescent="0.3">
      <c r="B39" s="4">
        <v>12</v>
      </c>
      <c r="C39" s="565" t="s">
        <v>733</v>
      </c>
      <c r="D39" s="565"/>
      <c r="E39" s="566"/>
      <c r="G39" s="24"/>
      <c r="H39" s="25" t="s">
        <v>889</v>
      </c>
      <c r="I39" s="25" t="s">
        <v>710</v>
      </c>
      <c r="J39" s="26"/>
      <c r="L39" s="24"/>
      <c r="M39" s="25" t="str">
        <f t="shared" si="4"/>
        <v>3-1-1-1</v>
      </c>
      <c r="N39" s="25" t="str">
        <f>I39</f>
        <v>2x12</v>
      </c>
      <c r="O39" s="26"/>
      <c r="Q39" s="46"/>
      <c r="R39" s="47" t="str">
        <f t="shared" si="5"/>
        <v>3-1-1-1</v>
      </c>
      <c r="S39" s="47" t="str">
        <f>I39</f>
        <v>2x12</v>
      </c>
      <c r="T39" s="48"/>
    </row>
    <row r="40" spans="2:20" s="1" customFormat="1" ht="5.0999999999999996" customHeight="1" thickBot="1" x14ac:dyDescent="0.3">
      <c r="B40" s="4"/>
      <c r="C40" s="66"/>
      <c r="D40" s="66"/>
      <c r="E40" s="113"/>
      <c r="G40" s="4"/>
      <c r="H40" s="66"/>
      <c r="I40" s="66"/>
      <c r="J40" s="66"/>
      <c r="L40" s="66"/>
      <c r="M40" s="66"/>
      <c r="N40" s="66"/>
      <c r="O40" s="66"/>
      <c r="Q40" s="115"/>
      <c r="R40" s="115"/>
      <c r="S40" s="115"/>
      <c r="T40" s="116"/>
    </row>
    <row r="41" spans="2:20" s="2" customFormat="1" ht="18" customHeight="1" thickBot="1" x14ac:dyDescent="0.3">
      <c r="B41" s="638" t="s">
        <v>876</v>
      </c>
      <c r="C41" s="639"/>
      <c r="D41" s="639"/>
      <c r="E41" s="640"/>
      <c r="G41" s="520" t="s">
        <v>880</v>
      </c>
      <c r="H41" s="521" t="s">
        <v>9</v>
      </c>
      <c r="I41" s="521" t="s">
        <v>901</v>
      </c>
      <c r="J41" s="522" t="s">
        <v>880</v>
      </c>
      <c r="K41" s="523"/>
      <c r="L41" s="520" t="str">
        <f>G41</f>
        <v>GEWICHT</v>
      </c>
      <c r="M41" s="521" t="s">
        <v>9</v>
      </c>
      <c r="N41" s="521" t="str">
        <f>I41</f>
        <v>SxR/RPE 9</v>
      </c>
      <c r="O41" s="522" t="s">
        <v>880</v>
      </c>
      <c r="P41" s="523"/>
      <c r="Q41" s="520" t="str">
        <f>L41</f>
        <v>GEWICHT</v>
      </c>
      <c r="R41" s="521" t="s">
        <v>9</v>
      </c>
      <c r="S41" s="521" t="str">
        <f>I41</f>
        <v>SxR/RPE 9</v>
      </c>
      <c r="T41" s="522" t="s">
        <v>880</v>
      </c>
    </row>
    <row r="42" spans="2:20" s="1" customFormat="1" ht="19.899999999999999" customHeight="1" x14ac:dyDescent="0.25">
      <c r="B42" s="9">
        <v>13</v>
      </c>
      <c r="C42" s="560" t="s">
        <v>208</v>
      </c>
      <c r="D42" s="560"/>
      <c r="E42" s="561"/>
      <c r="G42" s="21"/>
      <c r="H42" s="22" t="s">
        <v>900</v>
      </c>
      <c r="I42" s="22" t="s">
        <v>709</v>
      </c>
      <c r="J42" s="23"/>
      <c r="L42" s="21"/>
      <c r="M42" s="22" t="str">
        <f>H42</f>
        <v>ISO</v>
      </c>
      <c r="N42" s="22" t="str">
        <f>I42</f>
        <v>2x30s</v>
      </c>
      <c r="O42" s="23"/>
      <c r="Q42" s="21"/>
      <c r="R42" s="22" t="str">
        <f>H42</f>
        <v>ISO</v>
      </c>
      <c r="S42" s="22" t="str">
        <f>N42</f>
        <v>2x30s</v>
      </c>
      <c r="T42" s="23"/>
    </row>
    <row r="43" spans="2:20" s="1" customFormat="1" ht="19.899999999999999" customHeight="1" x14ac:dyDescent="0.25">
      <c r="B43" s="3">
        <v>14</v>
      </c>
      <c r="C43" s="567" t="s">
        <v>515</v>
      </c>
      <c r="D43" s="567"/>
      <c r="E43" s="568"/>
      <c r="G43" s="27"/>
      <c r="H43" s="28" t="s">
        <v>900</v>
      </c>
      <c r="I43" s="28" t="s">
        <v>709</v>
      </c>
      <c r="J43" s="29"/>
      <c r="L43" s="27"/>
      <c r="M43" s="28" t="str">
        <f>H43</f>
        <v>ISO</v>
      </c>
      <c r="N43" s="28" t="str">
        <f>I43</f>
        <v>2x30s</v>
      </c>
      <c r="O43" s="29"/>
      <c r="Q43" s="27"/>
      <c r="R43" s="28" t="str">
        <f>H43</f>
        <v>ISO</v>
      </c>
      <c r="S43" s="28" t="str">
        <f>N43</f>
        <v>2x30s</v>
      </c>
      <c r="T43" s="29"/>
    </row>
    <row r="44" spans="2:20" s="1" customFormat="1" ht="19.899999999999999" customHeight="1" thickBot="1" x14ac:dyDescent="0.3">
      <c r="B44" s="4">
        <v>15</v>
      </c>
      <c r="C44" s="571" t="s">
        <v>353</v>
      </c>
      <c r="D44" s="571"/>
      <c r="E44" s="572"/>
      <c r="F44" s="66"/>
      <c r="G44" s="24"/>
      <c r="H44" s="25" t="s">
        <v>900</v>
      </c>
      <c r="I44" s="25" t="s">
        <v>709</v>
      </c>
      <c r="J44" s="26"/>
      <c r="K44" s="66"/>
      <c r="L44" s="24"/>
      <c r="M44" s="25" t="str">
        <f>H44</f>
        <v>ISO</v>
      </c>
      <c r="N44" s="25" t="str">
        <f>I44</f>
        <v>2x30s</v>
      </c>
      <c r="O44" s="26"/>
      <c r="P44" s="66"/>
      <c r="Q44" s="24"/>
      <c r="R44" s="25" t="str">
        <f>H44</f>
        <v>ISO</v>
      </c>
      <c r="S44" s="25" t="str">
        <f>N44</f>
        <v>2x30s</v>
      </c>
      <c r="T44" s="26"/>
    </row>
  </sheetData>
  <mergeCells count="43">
    <mergeCell ref="B14:T14"/>
    <mergeCell ref="O2:T7"/>
    <mergeCell ref="M10:N10"/>
    <mergeCell ref="B12:T12"/>
    <mergeCell ref="B13:D13"/>
    <mergeCell ref="E13:F13"/>
    <mergeCell ref="G13:I13"/>
    <mergeCell ref="J13:M13"/>
    <mergeCell ref="N13:Q13"/>
    <mergeCell ref="R13:T13"/>
    <mergeCell ref="B18:E18"/>
    <mergeCell ref="B15:D15"/>
    <mergeCell ref="E15:F15"/>
    <mergeCell ref="G15:I15"/>
    <mergeCell ref="J15:M15"/>
    <mergeCell ref="B16:E17"/>
    <mergeCell ref="G16:T16"/>
    <mergeCell ref="H17:I17"/>
    <mergeCell ref="M17:N17"/>
    <mergeCell ref="R17:S17"/>
    <mergeCell ref="N15:Q15"/>
    <mergeCell ref="R15:T15"/>
    <mergeCell ref="C19:E19"/>
    <mergeCell ref="C20:E20"/>
    <mergeCell ref="C21:E21"/>
    <mergeCell ref="B23:E23"/>
    <mergeCell ref="C24:E24"/>
    <mergeCell ref="B41:E41"/>
    <mergeCell ref="C42:E42"/>
    <mergeCell ref="C43:E43"/>
    <mergeCell ref="C44:E44"/>
    <mergeCell ref="C25:E25"/>
    <mergeCell ref="C39:E39"/>
    <mergeCell ref="C26:E26"/>
    <mergeCell ref="C28:E28"/>
    <mergeCell ref="C29:E29"/>
    <mergeCell ref="C30:E30"/>
    <mergeCell ref="B32:E32"/>
    <mergeCell ref="C33:E33"/>
    <mergeCell ref="C34:E34"/>
    <mergeCell ref="C35:E35"/>
    <mergeCell ref="C37:E37"/>
    <mergeCell ref="C38:E38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E353AED2-BD79-434D-A0BE-AAA5BB756AB4}">
          <x14:formula1>
            <xm:f>' Unterkörper Progressionen '!$Z$2:$Z$17</xm:f>
          </x14:formula1>
          <xm:sqref>N29 S38 S34 N34 N38 S29</xm:sqref>
        </x14:dataValidation>
        <x14:dataValidation type="list" allowBlank="1" showInputMessage="1" showErrorMessage="1" xr:uid="{E4A1D3B1-D48E-41BB-BAD8-A589B3DBB955}">
          <x14:formula1>
            <xm:f>'Oberkörper Progressionen '!$S:$S</xm:f>
          </x14:formula1>
          <xm:sqref>C44:E44</xm:sqref>
        </x14:dataValidation>
        <x14:dataValidation type="list" allowBlank="1" showInputMessage="1" showErrorMessage="1" xr:uid="{B395CE99-AAB5-4ECF-A611-370FE85D225F}">
          <x14:formula1>
            <xm:f>'Oberkörper Progressionen '!$R:$R</xm:f>
          </x14:formula1>
          <xm:sqref>C42:E42</xm:sqref>
        </x14:dataValidation>
        <x14:dataValidation type="list" allowBlank="1" showInputMessage="1" showErrorMessage="1" xr:uid="{12C9BA78-13F5-45C2-B70D-719B170FD55B}">
          <x14:formula1>
            <xm:f>'Oberkörper Progressionen '!$K:$K</xm:f>
          </x14:formula1>
          <xm:sqref>C39:E40</xm:sqref>
        </x14:dataValidation>
        <x14:dataValidation type="list" allowBlank="1" showInputMessage="1" showErrorMessage="1" xr:uid="{84EF7D7C-A8B6-4541-A206-0FAC7A6270B6}">
          <x14:formula1>
            <xm:f>'Oberkörper Progressionen '!$P:$P</xm:f>
          </x14:formula1>
          <xm:sqref>C38:E38</xm:sqref>
        </x14:dataValidation>
        <x14:dataValidation type="list" allowBlank="1" showInputMessage="1" showErrorMessage="1" xr:uid="{FFC99E47-45D5-435C-BD9D-13B02F94B715}">
          <x14:formula1>
            <xm:f>'Oberkörper Progressionen '!$O:$O</xm:f>
          </x14:formula1>
          <xm:sqref>C37:E37</xm:sqref>
        </x14:dataValidation>
        <x14:dataValidation type="list" allowBlank="1" showInputMessage="1" showErrorMessage="1" xr:uid="{300540E8-322E-4431-978C-6344C54E5432}">
          <x14:formula1>
            <xm:f>'Oberkörper Progressionen '!$J:$J</xm:f>
          </x14:formula1>
          <xm:sqref>C35:E35</xm:sqref>
        </x14:dataValidation>
        <x14:dataValidation type="list" allowBlank="1" showInputMessage="1" showErrorMessage="1" xr:uid="{AAD59A54-C5F7-4546-9196-781ABD242F8D}">
          <x14:formula1>
            <xm:f>'Oberkörper Progressionen '!$M:$M</xm:f>
          </x14:formula1>
          <xm:sqref>C34:E34</xm:sqref>
        </x14:dataValidation>
        <x14:dataValidation type="list" allowBlank="1" showInputMessage="1" showErrorMessage="1" xr:uid="{AE27120C-7155-41F4-AAAE-74C801E3F0B3}">
          <x14:formula1>
            <xm:f>'Oberkörper Progressionen '!$L:$L</xm:f>
          </x14:formula1>
          <xm:sqref>C33:E33</xm:sqref>
        </x14:dataValidation>
        <x14:dataValidation type="list" allowBlank="1" showInputMessage="1" showErrorMessage="1" xr:uid="{885D73BB-FBF0-44D7-AD46-D141A52BF2B7}">
          <x14:formula1>
            <xm:f>'Oberkörper Progressionen '!$G:$G</xm:f>
          </x14:formula1>
          <xm:sqref>C30:E31</xm:sqref>
        </x14:dataValidation>
        <x14:dataValidation type="list" allowBlank="1" showInputMessage="1" showErrorMessage="1" xr:uid="{18F849DD-1093-477C-A8E6-772C3A9B4184}">
          <x14:formula1>
            <xm:f>'Oberkörper Progressionen '!$I:$I</xm:f>
          </x14:formula1>
          <xm:sqref>C29:E29</xm:sqref>
        </x14:dataValidation>
        <x14:dataValidation type="list" allowBlank="1" showInputMessage="1" showErrorMessage="1" xr:uid="{4208FE6E-61F0-4EF6-8C3E-D17D8A3ADD52}">
          <x14:formula1>
            <xm:f>'Oberkörper Progressionen '!$H:$H</xm:f>
          </x14:formula1>
          <xm:sqref>C28:E28</xm:sqref>
        </x14:dataValidation>
        <x14:dataValidation type="list" allowBlank="1" showInputMessage="1" showErrorMessage="1" xr:uid="{C2BF4666-8475-4DEE-8E46-000180175B46}">
          <x14:formula1>
            <xm:f>'Oberkörper Progressionen '!$N:$N</xm:f>
          </x14:formula1>
          <xm:sqref>C26:E26</xm:sqref>
        </x14:dataValidation>
        <x14:dataValidation type="list" allowBlank="1" showInputMessage="1" showErrorMessage="1" xr:uid="{21C49DE2-1556-464D-9B58-449FB4D09F5A}">
          <x14:formula1>
            <xm:f>'Oberkörper Progressionen '!$F:$F</xm:f>
          </x14:formula1>
          <xm:sqref>C25:E25</xm:sqref>
        </x14:dataValidation>
        <x14:dataValidation type="list" allowBlank="1" showInputMessage="1" showErrorMessage="1" xr:uid="{DD1405B1-1718-4883-8E84-53117B907103}">
          <x14:formula1>
            <xm:f>'Oberkörper Progressionen '!$E:$E</xm:f>
          </x14:formula1>
          <xm:sqref>C24:E24</xm:sqref>
        </x14:dataValidation>
        <x14:dataValidation type="list" allowBlank="1" showInputMessage="1" showErrorMessage="1" xr:uid="{49EE4620-75C3-4528-8C53-C8417E89D1E6}">
          <x14:formula1>
            <xm:f>'Oberkörper Progressionen '!$B:$B</xm:f>
          </x14:formula1>
          <xm:sqref>C19:E19</xm:sqref>
        </x14:dataValidation>
        <x14:dataValidation type="list" allowBlank="1" showInputMessage="1" showErrorMessage="1" xr:uid="{964E6991-A630-45A9-9F6F-82046B5E8450}">
          <x14:formula1>
            <xm:f>'Oberkörper Progressionen '!$Q:$Q</xm:f>
          </x14:formula1>
          <xm:sqref>C43:E43</xm:sqref>
        </x14:dataValidation>
        <x14:dataValidation type="list" allowBlank="1" showInputMessage="1" showErrorMessage="1" xr:uid="{5624BEEF-FA5E-4365-AE52-8885E1285E5E}">
          <x14:formula1>
            <xm:f>'Oberkörper Progressionen '!$D:$D</xm:f>
          </x14:formula1>
          <xm:sqref>C21:E21</xm:sqref>
        </x14:dataValidation>
        <x14:dataValidation type="list" allowBlank="1" showInputMessage="1" showErrorMessage="1" xr:uid="{0557F81A-08B6-4E01-9BD8-2C74CC70B6D2}">
          <x14:formula1>
            <xm:f>'Oberkörper Progressionen '!$C:$C</xm:f>
          </x14:formula1>
          <xm:sqref>C20:E20</xm:sqref>
        </x14:dataValidation>
        <x14:dataValidation type="list" allowBlank="1" showInputMessage="1" showErrorMessage="1" xr:uid="{0E714D1D-2E14-4E5D-8997-567F746C2D3C}">
          <x14:formula1>
            <xm:f>' Unterkörper Progressionen '!$AA:$AA</xm:f>
          </x14:formula1>
          <xm:sqref>J20:J21</xm:sqref>
        </x14:dataValidation>
        <x14:dataValidation type="list" allowBlank="1" showInputMessage="1" showErrorMessage="1" xr:uid="{5993D02C-60D9-4FAD-809E-9626C37333C5}">
          <x14:formula1>
            <xm:f>' Unterkörper Progressionen '!$Z:$Z</xm:f>
          </x14:formula1>
          <xm:sqref>I42:I44 I24:I25 I28:I31 I33:I35 I37:I40</xm:sqref>
        </x14:dataValidation>
        <x14:dataValidation type="list" allowBlank="1" showInputMessage="1" showErrorMessage="1" xr:uid="{2422BCC8-0B1C-4BD0-BCD9-18AF8AA54E03}">
          <x14:formula1>
            <xm:f>' Unterkörper Progressionen '!$AC:$AC</xm:f>
          </x14:formula1>
          <xm:sqref>S32 S23 I23 N23 S41 N41 I41 I32 N32</xm:sqref>
        </x14:dataValidation>
        <x14:dataValidation type="list" allowBlank="1" showInputMessage="1" showErrorMessage="1" xr:uid="{6F175FB1-A03E-46C1-8020-B8E44F7FE21F}">
          <x14:formula1>
            <xm:f>' Unterkörper Progressionen '!$AB:$AB</xm:f>
          </x14:formula1>
          <xm:sqref>H19:H21 H42:H44 H37:H39 H33:H35 H28:H30 H24:H26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70DD-8AF8-4552-8B0E-17C010E21FD3}">
  <sheetPr>
    <pageSetUpPr fitToPage="1"/>
  </sheetPr>
  <dimension ref="B1:X54"/>
  <sheetViews>
    <sheetView zoomScaleNormal="100" workbookViewId="0">
      <selection activeCell="I22" sqref="I22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ht="16.5" hidden="1" thickBot="1" x14ac:dyDescent="0.3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">
        <v>192</v>
      </c>
      <c r="C13" s="631"/>
      <c r="D13" s="631"/>
      <c r="E13" s="633" t="s">
        <v>330</v>
      </c>
      <c r="F13" s="634"/>
      <c r="G13" s="631" t="s">
        <v>44</v>
      </c>
      <c r="H13" s="631"/>
      <c r="I13" s="631"/>
      <c r="J13" s="631" t="s">
        <v>405</v>
      </c>
      <c r="K13" s="631"/>
      <c r="L13" s="631"/>
      <c r="M13" s="631"/>
      <c r="N13" s="631" t="s">
        <v>691</v>
      </c>
      <c r="O13" s="631"/>
      <c r="P13" s="631"/>
      <c r="Q13" s="631"/>
      <c r="R13" s="631" t="s">
        <v>348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">
        <v>682</v>
      </c>
      <c r="C15" s="553"/>
      <c r="D15" s="553"/>
      <c r="E15" s="653" t="s">
        <v>327</v>
      </c>
      <c r="F15" s="654"/>
      <c r="G15" s="553" t="s">
        <v>663</v>
      </c>
      <c r="H15" s="553"/>
      <c r="I15" s="553"/>
      <c r="J15" s="553" t="s">
        <v>345</v>
      </c>
      <c r="K15" s="553"/>
      <c r="L15" s="553"/>
      <c r="M15" s="553"/>
      <c r="N15" s="553" t="s">
        <v>681</v>
      </c>
      <c r="O15" s="553"/>
      <c r="P15" s="553"/>
      <c r="Q15" s="553"/>
      <c r="R15" s="553" t="s">
        <v>555</v>
      </c>
      <c r="S15" s="553"/>
      <c r="T15" s="556"/>
    </row>
    <row r="16" spans="2:23" ht="4.9000000000000004" hidden="1" customHeight="1" thickBot="1" x14ac:dyDescent="0.3"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2:24" ht="18" customHeight="1" thickBot="1" x14ac:dyDescent="0.3">
      <c r="B17" s="619" t="s">
        <v>373</v>
      </c>
      <c r="C17" s="620"/>
      <c r="D17" s="620"/>
      <c r="E17" s="621"/>
      <c r="F17" s="310"/>
      <c r="G17" s="589" t="s">
        <v>116</v>
      </c>
      <c r="H17" s="590"/>
      <c r="I17" s="590"/>
      <c r="J17" s="590"/>
      <c r="K17" s="590"/>
      <c r="L17" s="590"/>
      <c r="M17" s="590"/>
      <c r="N17" s="590"/>
      <c r="O17" s="590"/>
      <c r="P17" s="590"/>
      <c r="Q17" s="590"/>
      <c r="R17" s="590"/>
      <c r="S17" s="590"/>
      <c r="T17" s="591"/>
    </row>
    <row r="18" spans="2:24" ht="21.6" customHeight="1" thickBot="1" x14ac:dyDescent="0.3">
      <c r="B18" s="622"/>
      <c r="C18" s="623"/>
      <c r="D18" s="623"/>
      <c r="E18" s="624"/>
      <c r="F18" s="1"/>
      <c r="G18" s="70" t="s">
        <v>865</v>
      </c>
      <c r="H18" s="582" t="s">
        <v>877</v>
      </c>
      <c r="I18" s="583"/>
      <c r="J18" s="71" t="s">
        <v>866</v>
      </c>
      <c r="K18" s="64"/>
      <c r="L18" s="70" t="s">
        <v>867</v>
      </c>
      <c r="M18" s="582" t="s">
        <v>878</v>
      </c>
      <c r="N18" s="583"/>
      <c r="O18" s="71" t="s">
        <v>868</v>
      </c>
      <c r="P18" s="64"/>
      <c r="Q18" s="70" t="s">
        <v>869</v>
      </c>
      <c r="R18" s="595" t="s">
        <v>879</v>
      </c>
      <c r="S18" s="596"/>
      <c r="T18" s="71" t="s">
        <v>870</v>
      </c>
      <c r="W18" s="36"/>
      <c r="X18" s="1"/>
    </row>
    <row r="19" spans="2:24" ht="18" customHeight="1" thickBot="1" x14ac:dyDescent="0.3">
      <c r="B19" s="650" t="s">
        <v>8</v>
      </c>
      <c r="C19" s="651"/>
      <c r="D19" s="651"/>
      <c r="E19" s="652"/>
      <c r="F19" s="72"/>
      <c r="G19" s="529" t="s">
        <v>880</v>
      </c>
      <c r="H19" s="530" t="s">
        <v>9</v>
      </c>
      <c r="I19" s="530" t="s">
        <v>11</v>
      </c>
      <c r="J19" s="531" t="s">
        <v>880</v>
      </c>
      <c r="K19" s="1"/>
      <c r="L19" s="529" t="s">
        <v>9</v>
      </c>
      <c r="M19" s="530" t="s">
        <v>10</v>
      </c>
      <c r="N19" s="530" t="s">
        <v>11</v>
      </c>
      <c r="O19" s="531" t="s">
        <v>880</v>
      </c>
      <c r="P19" s="1"/>
      <c r="Q19" s="532" t="s">
        <v>9</v>
      </c>
      <c r="R19" s="533" t="s">
        <v>10</v>
      </c>
      <c r="S19" s="533" t="s">
        <v>11</v>
      </c>
      <c r="T19" s="534" t="s">
        <v>880</v>
      </c>
      <c r="W19" s="37"/>
      <c r="X19" s="1"/>
    </row>
    <row r="20" spans="2:24" s="1" customFormat="1" ht="19.899999999999999" customHeight="1" x14ac:dyDescent="0.25">
      <c r="B20" s="9">
        <v>1</v>
      </c>
      <c r="C20" s="560" t="s">
        <v>818</v>
      </c>
      <c r="D20" s="560"/>
      <c r="E20" s="561"/>
      <c r="G20" s="18"/>
      <c r="H20" s="22" t="s">
        <v>12</v>
      </c>
      <c r="I20" s="19" t="s">
        <v>14</v>
      </c>
      <c r="J20" s="20" t="s">
        <v>16</v>
      </c>
      <c r="L20" s="18" t="s">
        <v>12</v>
      </c>
      <c r="M20" s="19"/>
      <c r="N20" s="19" t="s">
        <v>14</v>
      </c>
      <c r="O20" s="20" t="s">
        <v>16</v>
      </c>
      <c r="Q20" s="43" t="s">
        <v>12</v>
      </c>
      <c r="R20" s="44"/>
      <c r="S20" s="44" t="s">
        <v>14</v>
      </c>
      <c r="T20" s="45" t="s">
        <v>16</v>
      </c>
      <c r="W20" s="36"/>
    </row>
    <row r="21" spans="2:24" s="1" customFormat="1" ht="19.899999999999999" customHeight="1" x14ac:dyDescent="0.25">
      <c r="B21" s="3">
        <v>2</v>
      </c>
      <c r="C21" s="567" t="s">
        <v>766</v>
      </c>
      <c r="D21" s="567"/>
      <c r="E21" s="568"/>
      <c r="G21" s="67"/>
      <c r="H21" s="28" t="s">
        <v>12</v>
      </c>
      <c r="I21" s="68" t="s">
        <v>14</v>
      </c>
      <c r="J21" s="69"/>
      <c r="L21" s="67" t="s">
        <v>12</v>
      </c>
      <c r="M21" s="68"/>
      <c r="N21" s="68" t="s">
        <v>14</v>
      </c>
      <c r="O21" s="69"/>
      <c r="Q21" s="75" t="s">
        <v>12</v>
      </c>
      <c r="R21" s="76"/>
      <c r="S21" s="76" t="s">
        <v>14</v>
      </c>
      <c r="T21" s="77"/>
      <c r="W21" s="36"/>
    </row>
    <row r="22" spans="2:24" s="1" customFormat="1" ht="19.899999999999999" customHeight="1" thickBot="1" x14ac:dyDescent="0.3">
      <c r="B22" s="4">
        <v>3</v>
      </c>
      <c r="C22" s="565"/>
      <c r="D22" s="565"/>
      <c r="E22" s="566"/>
      <c r="G22" s="24"/>
      <c r="H22" s="25" t="s">
        <v>12</v>
      </c>
      <c r="I22" s="25" t="s">
        <v>14</v>
      </c>
      <c r="J22" s="26"/>
      <c r="L22" s="24" t="s">
        <v>12</v>
      </c>
      <c r="M22" s="25"/>
      <c r="N22" s="25" t="s">
        <v>14</v>
      </c>
      <c r="O22" s="26"/>
      <c r="Q22" s="46" t="s">
        <v>12</v>
      </c>
      <c r="R22" s="47"/>
      <c r="S22" s="47" t="s">
        <v>14</v>
      </c>
      <c r="T22" s="48"/>
    </row>
    <row r="23" spans="2:24" s="2" customFormat="1" ht="4.9000000000000004" customHeight="1" thickBot="1" x14ac:dyDescent="0.3">
      <c r="B23" s="73"/>
      <c r="G23" s="1"/>
      <c r="H23" s="1"/>
      <c r="Q23" s="49"/>
      <c r="R23" s="49"/>
      <c r="S23" s="49"/>
      <c r="T23" s="74"/>
      <c r="X23" s="1"/>
    </row>
    <row r="24" spans="2:24" s="1" customFormat="1" ht="18" customHeight="1" thickBot="1" x14ac:dyDescent="0.3">
      <c r="B24" s="616" t="s">
        <v>882</v>
      </c>
      <c r="C24" s="617"/>
      <c r="D24" s="617"/>
      <c r="E24" s="618"/>
      <c r="G24" s="511" t="s">
        <v>880</v>
      </c>
      <c r="H24" s="512" t="s">
        <v>9</v>
      </c>
      <c r="I24" s="512" t="s">
        <v>896</v>
      </c>
      <c r="J24" s="513" t="s">
        <v>880</v>
      </c>
      <c r="L24" s="511" t="str">
        <f>G24</f>
        <v>GEWICHT</v>
      </c>
      <c r="M24" s="512" t="s">
        <v>9</v>
      </c>
      <c r="N24" s="512" t="str">
        <f>I24</f>
        <v>SxR/RPE 7-8</v>
      </c>
      <c r="O24" s="513" t="s">
        <v>880</v>
      </c>
      <c r="Q24" s="514" t="str">
        <f>L24</f>
        <v>GEWICHT</v>
      </c>
      <c r="R24" s="515" t="s">
        <v>9</v>
      </c>
      <c r="S24" s="512" t="str">
        <f>I24</f>
        <v>SxR/RPE 7-8</v>
      </c>
      <c r="T24" s="516" t="s">
        <v>880</v>
      </c>
    </row>
    <row r="25" spans="2:24" s="1" customFormat="1" ht="19.899999999999999" customHeight="1" x14ac:dyDescent="0.25">
      <c r="B25" s="9">
        <v>1</v>
      </c>
      <c r="C25" s="560" t="s">
        <v>904</v>
      </c>
      <c r="D25" s="560"/>
      <c r="E25" s="561"/>
      <c r="G25" s="21"/>
      <c r="H25" s="22" t="s">
        <v>888</v>
      </c>
      <c r="I25" s="28" t="s">
        <v>708</v>
      </c>
      <c r="J25" s="23"/>
      <c r="L25" s="21"/>
      <c r="M25" s="22" t="str">
        <f t="shared" ref="M25:M26" si="0">H25</f>
        <v>3-1-1-0</v>
      </c>
      <c r="N25" s="22" t="str">
        <f>I25</f>
        <v>3x8</v>
      </c>
      <c r="O25" s="23"/>
      <c r="Q25" s="50"/>
      <c r="R25" s="52" t="str">
        <f t="shared" ref="R25:R26" si="1">M25</f>
        <v>3-1-1-0</v>
      </c>
      <c r="S25" s="52" t="str">
        <f>N25</f>
        <v>3x8</v>
      </c>
      <c r="T25" s="53"/>
    </row>
    <row r="26" spans="2:24" s="1" customFormat="1" ht="19.899999999999999" customHeight="1" x14ac:dyDescent="0.25">
      <c r="B26" s="3">
        <v>2</v>
      </c>
      <c r="C26" s="567" t="s">
        <v>701</v>
      </c>
      <c r="D26" s="567"/>
      <c r="E26" s="568"/>
      <c r="G26" s="27"/>
      <c r="H26" s="28" t="s">
        <v>889</v>
      </c>
      <c r="I26" s="28" t="s">
        <v>708</v>
      </c>
      <c r="J26" s="29"/>
      <c r="L26" s="27"/>
      <c r="M26" s="28" t="str">
        <f t="shared" si="0"/>
        <v>3-1-1-1</v>
      </c>
      <c r="N26" s="28" t="str">
        <f>I26</f>
        <v>3x8</v>
      </c>
      <c r="O26" s="29"/>
      <c r="Q26" s="54"/>
      <c r="R26" s="56" t="str">
        <f t="shared" si="1"/>
        <v>3-1-1-1</v>
      </c>
      <c r="S26" s="56" t="str">
        <f>N26</f>
        <v>3x8</v>
      </c>
      <c r="T26" s="57"/>
    </row>
    <row r="27" spans="2:24" s="1" customFormat="1" ht="19.899999999999999" customHeight="1" thickBot="1" x14ac:dyDescent="0.3">
      <c r="B27" s="4">
        <v>3</v>
      </c>
      <c r="C27" s="565" t="s">
        <v>653</v>
      </c>
      <c r="D27" s="565"/>
      <c r="E27" s="566"/>
      <c r="G27" s="24"/>
      <c r="H27" s="25" t="s">
        <v>900</v>
      </c>
      <c r="I27" s="25" t="s">
        <v>14</v>
      </c>
      <c r="J27" s="26"/>
      <c r="L27" s="24"/>
      <c r="M27" s="25" t="str">
        <f>H27</f>
        <v>ISO</v>
      </c>
      <c r="N27" s="25" t="str">
        <f>I27</f>
        <v>3x5</v>
      </c>
      <c r="O27" s="26"/>
      <c r="Q27" s="46"/>
      <c r="R27" s="47" t="str">
        <f>H27</f>
        <v>ISO</v>
      </c>
      <c r="S27" s="47" t="str">
        <f>N27</f>
        <v>3x5</v>
      </c>
      <c r="T27" s="48"/>
    </row>
    <row r="28" spans="2:24" s="2" customFormat="1" ht="4.9000000000000004" customHeight="1" thickBot="1" x14ac:dyDescent="0.3">
      <c r="B28" s="73"/>
      <c r="G28" s="1"/>
      <c r="H28" s="1"/>
      <c r="L28" s="1"/>
      <c r="M28" s="1"/>
      <c r="Q28" s="547"/>
      <c r="R28" s="547"/>
      <c r="S28" s="49"/>
      <c r="T28" s="74"/>
    </row>
    <row r="29" spans="2:24" s="1" customFormat="1" ht="19.899999999999999" customHeight="1" x14ac:dyDescent="0.25">
      <c r="B29" s="9">
        <v>4</v>
      </c>
      <c r="C29" s="560" t="s">
        <v>693</v>
      </c>
      <c r="D29" s="560"/>
      <c r="E29" s="561"/>
      <c r="G29" s="21"/>
      <c r="H29" s="22" t="s">
        <v>888</v>
      </c>
      <c r="I29" s="22" t="s">
        <v>708</v>
      </c>
      <c r="J29" s="23"/>
      <c r="L29" s="21"/>
      <c r="M29" s="22" t="str">
        <f t="shared" ref="M29:M30" si="2">H29</f>
        <v>3-1-1-0</v>
      </c>
      <c r="N29" s="22" t="str">
        <f>I29</f>
        <v>3x8</v>
      </c>
      <c r="O29" s="23"/>
      <c r="Q29" s="50"/>
      <c r="R29" s="52" t="str">
        <f>H29</f>
        <v>3-1-1-0</v>
      </c>
      <c r="S29" s="52" t="str">
        <f>N29</f>
        <v>3x8</v>
      </c>
      <c r="T29" s="53"/>
    </row>
    <row r="30" spans="2:24" s="1" customFormat="1" ht="19.899999999999999" customHeight="1" x14ac:dyDescent="0.25">
      <c r="B30" s="3">
        <v>5</v>
      </c>
      <c r="C30" s="567" t="s">
        <v>909</v>
      </c>
      <c r="D30" s="567"/>
      <c r="E30" s="568"/>
      <c r="G30" s="27"/>
      <c r="H30" s="28" t="s">
        <v>889</v>
      </c>
      <c r="I30" s="28" t="s">
        <v>708</v>
      </c>
      <c r="J30" s="29"/>
      <c r="L30" s="27"/>
      <c r="M30" s="28" t="str">
        <f t="shared" si="2"/>
        <v>3-1-1-1</v>
      </c>
      <c r="N30" s="28" t="str">
        <f>I30</f>
        <v>3x8</v>
      </c>
      <c r="O30" s="29"/>
      <c r="Q30" s="54"/>
      <c r="R30" s="56" t="str">
        <f>H29</f>
        <v>3-1-1-0</v>
      </c>
      <c r="S30" s="28" t="str">
        <f>N30</f>
        <v>3x8</v>
      </c>
      <c r="T30" s="57"/>
    </row>
    <row r="31" spans="2:24" s="1" customFormat="1" ht="19.899999999999999" customHeight="1" thickBot="1" x14ac:dyDescent="0.3">
      <c r="B31" s="4">
        <v>6</v>
      </c>
      <c r="C31" s="565" t="s">
        <v>82</v>
      </c>
      <c r="D31" s="565"/>
      <c r="E31" s="566"/>
      <c r="G31" s="24"/>
      <c r="H31" s="25" t="s">
        <v>900</v>
      </c>
      <c r="I31" s="25" t="s">
        <v>715</v>
      </c>
      <c r="J31" s="26"/>
      <c r="L31" s="24"/>
      <c r="M31" s="25" t="str">
        <f>H31</f>
        <v>ISO</v>
      </c>
      <c r="N31" s="25" t="str">
        <f>I31</f>
        <v>3x10s ea</v>
      </c>
      <c r="O31" s="26"/>
      <c r="Q31" s="46"/>
      <c r="R31" s="47" t="str">
        <f>H31</f>
        <v>ISO</v>
      </c>
      <c r="S31" s="47" t="str">
        <f>N31</f>
        <v>3x10s ea</v>
      </c>
      <c r="T31" s="48"/>
    </row>
    <row r="32" spans="2:24" s="1" customFormat="1" ht="5.0999999999999996" customHeight="1" thickBot="1" x14ac:dyDescent="0.3">
      <c r="B32" s="4"/>
      <c r="C32" s="66"/>
      <c r="D32" s="66"/>
      <c r="E32" s="113"/>
      <c r="G32" s="4"/>
      <c r="H32" s="66"/>
      <c r="I32" s="66"/>
      <c r="J32" s="66"/>
      <c r="L32" s="66"/>
      <c r="M32" s="66"/>
      <c r="N32" s="66"/>
      <c r="O32" s="66"/>
      <c r="Q32" s="115"/>
      <c r="R32" s="115"/>
      <c r="S32" s="115"/>
      <c r="T32" s="116"/>
    </row>
    <row r="33" spans="2:22" s="2" customFormat="1" ht="18" customHeight="1" thickBot="1" x14ac:dyDescent="0.3">
      <c r="B33" s="610" t="s">
        <v>883</v>
      </c>
      <c r="C33" s="611"/>
      <c r="D33" s="611"/>
      <c r="E33" s="612"/>
      <c r="F33" s="64"/>
      <c r="G33" s="541" t="s">
        <v>880</v>
      </c>
      <c r="H33" s="542" t="s">
        <v>9</v>
      </c>
      <c r="I33" s="542" t="s">
        <v>896</v>
      </c>
      <c r="J33" s="543" t="s">
        <v>880</v>
      </c>
      <c r="K33" s="1"/>
      <c r="L33" s="541" t="s">
        <v>880</v>
      </c>
      <c r="M33" s="542" t="s">
        <v>9</v>
      </c>
      <c r="N33" s="542" t="str">
        <f>I33</f>
        <v>SxR/RPE 7-8</v>
      </c>
      <c r="O33" s="543" t="s">
        <v>880</v>
      </c>
      <c r="P33" s="1"/>
      <c r="Q33" s="541" t="s">
        <v>880</v>
      </c>
      <c r="R33" s="542" t="s">
        <v>9</v>
      </c>
      <c r="S33" s="542" t="str">
        <f>I33</f>
        <v>SxR/RPE 7-8</v>
      </c>
      <c r="T33" s="543" t="s">
        <v>880</v>
      </c>
    </row>
    <row r="34" spans="2:22" s="1" customFormat="1" ht="19.899999999999999" customHeight="1" x14ac:dyDescent="0.25">
      <c r="B34" s="9">
        <v>7</v>
      </c>
      <c r="C34" s="560" t="s">
        <v>704</v>
      </c>
      <c r="D34" s="560"/>
      <c r="E34" s="561"/>
      <c r="G34" s="21"/>
      <c r="H34" s="22" t="s">
        <v>889</v>
      </c>
      <c r="I34" s="22" t="s">
        <v>710</v>
      </c>
      <c r="J34" s="23"/>
      <c r="L34" s="21"/>
      <c r="M34" s="22" t="str">
        <f t="shared" ref="M34:M36" si="3">H34</f>
        <v>3-1-1-1</v>
      </c>
      <c r="N34" s="22" t="str">
        <f>I34</f>
        <v>2x12</v>
      </c>
      <c r="O34" s="23"/>
      <c r="Q34" s="50"/>
      <c r="R34" s="52" t="str">
        <f>H34</f>
        <v>3-1-1-1</v>
      </c>
      <c r="S34" s="52" t="str">
        <f>I34</f>
        <v>2x12</v>
      </c>
      <c r="T34" s="53"/>
    </row>
    <row r="35" spans="2:22" s="1" customFormat="1" ht="19.899999999999999" customHeight="1" x14ac:dyDescent="0.25">
      <c r="B35" s="3">
        <v>8</v>
      </c>
      <c r="C35" s="567" t="s">
        <v>430</v>
      </c>
      <c r="D35" s="567"/>
      <c r="E35" s="568"/>
      <c r="G35" s="27"/>
      <c r="H35" s="28" t="s">
        <v>910</v>
      </c>
      <c r="I35" s="28" t="s">
        <v>754</v>
      </c>
      <c r="J35" s="29"/>
      <c r="L35" s="27"/>
      <c r="M35" s="28" t="str">
        <f t="shared" si="3"/>
        <v>2-2-2-2</v>
      </c>
      <c r="N35" s="28" t="str">
        <f>I35</f>
        <v>3x5 ea</v>
      </c>
      <c r="O35" s="29"/>
      <c r="Q35" s="54"/>
      <c r="R35" s="56" t="str">
        <f>H35</f>
        <v>2-2-2-2</v>
      </c>
      <c r="S35" s="28" t="str">
        <f>N35</f>
        <v>3x5 ea</v>
      </c>
      <c r="T35" s="57"/>
    </row>
    <row r="36" spans="2:22" s="1" customFormat="1" ht="19.899999999999999" customHeight="1" thickBot="1" x14ac:dyDescent="0.3">
      <c r="B36" s="4">
        <v>9</v>
      </c>
      <c r="C36" s="565" t="s">
        <v>410</v>
      </c>
      <c r="D36" s="565"/>
      <c r="E36" s="566"/>
      <c r="G36" s="24"/>
      <c r="H36" s="25" t="s">
        <v>900</v>
      </c>
      <c r="I36" s="25" t="s">
        <v>716</v>
      </c>
      <c r="J36" s="26"/>
      <c r="L36" s="24"/>
      <c r="M36" s="25" t="str">
        <f t="shared" si="3"/>
        <v>ISO</v>
      </c>
      <c r="N36" s="25" t="str">
        <f>I36</f>
        <v xml:space="preserve">3x10s </v>
      </c>
      <c r="O36" s="26"/>
      <c r="Q36" s="46"/>
      <c r="R36" s="47" t="str">
        <f>H36</f>
        <v>ISO</v>
      </c>
      <c r="S36" s="47" t="str">
        <f>N36</f>
        <v xml:space="preserve">3x10s </v>
      </c>
      <c r="T36" s="48"/>
    </row>
    <row r="37" spans="2:22" s="2" customFormat="1" ht="4.9000000000000004" customHeight="1" thickBot="1" x14ac:dyDescent="0.3">
      <c r="B37" s="73"/>
      <c r="G37" s="1"/>
      <c r="H37" s="1"/>
      <c r="L37" s="1"/>
      <c r="M37" s="1"/>
      <c r="Q37" s="547"/>
      <c r="R37" s="547"/>
      <c r="S37" s="49"/>
      <c r="T37" s="74"/>
    </row>
    <row r="38" spans="2:22" s="1" customFormat="1" ht="19.899999999999999" customHeight="1" x14ac:dyDescent="0.25">
      <c r="B38" s="9">
        <v>10</v>
      </c>
      <c r="C38" s="560" t="s">
        <v>824</v>
      </c>
      <c r="D38" s="560"/>
      <c r="E38" s="561"/>
      <c r="G38" s="21"/>
      <c r="H38" s="22" t="s">
        <v>889</v>
      </c>
      <c r="I38" s="22" t="s">
        <v>710</v>
      </c>
      <c r="J38" s="23"/>
      <c r="L38" s="21"/>
      <c r="M38" s="22" t="str">
        <f t="shared" ref="M38:M40" si="4">H38</f>
        <v>3-1-1-1</v>
      </c>
      <c r="N38" s="22" t="str">
        <f>I38</f>
        <v>2x12</v>
      </c>
      <c r="O38" s="23"/>
      <c r="Q38" s="21"/>
      <c r="R38" s="22" t="str">
        <f>H38</f>
        <v>3-1-1-1</v>
      </c>
      <c r="S38" s="52" t="str">
        <f>N38</f>
        <v>2x12</v>
      </c>
      <c r="T38" s="23"/>
    </row>
    <row r="39" spans="2:22" s="1" customFormat="1" ht="19.899999999999999" customHeight="1" x14ac:dyDescent="0.25">
      <c r="B39" s="3">
        <v>11</v>
      </c>
      <c r="C39" s="567" t="s">
        <v>771</v>
      </c>
      <c r="D39" s="567"/>
      <c r="E39" s="568"/>
      <c r="G39" s="27"/>
      <c r="H39" s="28" t="s">
        <v>900</v>
      </c>
      <c r="I39" s="28" t="s">
        <v>715</v>
      </c>
      <c r="J39" s="29"/>
      <c r="L39" s="27"/>
      <c r="M39" s="28" t="str">
        <f t="shared" si="4"/>
        <v>ISO</v>
      </c>
      <c r="N39" s="28" t="str">
        <f>I39</f>
        <v>3x10s ea</v>
      </c>
      <c r="O39" s="29"/>
      <c r="Q39" s="27"/>
      <c r="R39" s="28" t="str">
        <f>H39</f>
        <v>ISO</v>
      </c>
      <c r="S39" s="28" t="str">
        <f>N39</f>
        <v>3x10s ea</v>
      </c>
      <c r="T39" s="29"/>
    </row>
    <row r="40" spans="2:22" s="1" customFormat="1" ht="19.899999999999999" customHeight="1" thickBot="1" x14ac:dyDescent="0.3">
      <c r="B40" s="4">
        <v>12</v>
      </c>
      <c r="C40" s="565" t="s">
        <v>772</v>
      </c>
      <c r="D40" s="565"/>
      <c r="E40" s="566"/>
      <c r="G40" s="24"/>
      <c r="H40" s="25" t="s">
        <v>889</v>
      </c>
      <c r="I40" s="25" t="s">
        <v>710</v>
      </c>
      <c r="J40" s="26"/>
      <c r="L40" s="24"/>
      <c r="M40" s="25" t="str">
        <f t="shared" si="4"/>
        <v>3-1-1-1</v>
      </c>
      <c r="N40" s="25" t="str">
        <f>I40</f>
        <v>2x12</v>
      </c>
      <c r="O40" s="26"/>
      <c r="Q40" s="46"/>
      <c r="R40" s="47" t="str">
        <f>H40</f>
        <v>3-1-1-1</v>
      </c>
      <c r="S40" s="47" t="str">
        <f>N40</f>
        <v>2x12</v>
      </c>
      <c r="T40" s="48"/>
    </row>
    <row r="41" spans="2:22" s="1" customFormat="1" ht="5.0999999999999996" customHeight="1" thickBot="1" x14ac:dyDescent="0.3">
      <c r="B41" s="4"/>
      <c r="C41" s="66"/>
      <c r="D41" s="66"/>
      <c r="E41" s="113"/>
      <c r="G41" s="4"/>
      <c r="H41" s="66"/>
      <c r="I41" s="66"/>
      <c r="J41" s="66"/>
      <c r="L41" s="66"/>
      <c r="M41" s="66"/>
      <c r="N41" s="66"/>
      <c r="O41" s="66"/>
      <c r="Q41" s="115"/>
      <c r="R41" s="115"/>
      <c r="S41" s="115"/>
      <c r="T41" s="116"/>
    </row>
    <row r="42" spans="2:22" s="2" customFormat="1" ht="18" customHeight="1" thickBot="1" x14ac:dyDescent="0.3">
      <c r="B42" s="607" t="s">
        <v>875</v>
      </c>
      <c r="C42" s="608"/>
      <c r="D42" s="608"/>
      <c r="E42" s="609"/>
      <c r="F42" s="1"/>
      <c r="G42" s="549" t="s">
        <v>880</v>
      </c>
      <c r="H42" s="550" t="s">
        <v>9</v>
      </c>
      <c r="I42" s="550" t="s">
        <v>901</v>
      </c>
      <c r="J42" s="551" t="s">
        <v>880</v>
      </c>
      <c r="K42" s="523"/>
      <c r="L42" s="549" t="str">
        <f>G42</f>
        <v>GEWICHT</v>
      </c>
      <c r="M42" s="550" t="s">
        <v>9</v>
      </c>
      <c r="N42" s="550" t="str">
        <f>I42</f>
        <v>SxR/RPE 9</v>
      </c>
      <c r="O42" s="551" t="s">
        <v>880</v>
      </c>
      <c r="P42" s="547"/>
      <c r="Q42" s="549" t="str">
        <f>L42</f>
        <v>GEWICHT</v>
      </c>
      <c r="R42" s="550" t="s">
        <v>9</v>
      </c>
      <c r="S42" s="550" t="str">
        <f>I42</f>
        <v>SxR/RPE 9</v>
      </c>
      <c r="T42" s="551" t="s">
        <v>880</v>
      </c>
    </row>
    <row r="43" spans="2:22" s="1" customFormat="1" ht="19.899999999999999" customHeight="1" x14ac:dyDescent="0.25">
      <c r="B43" s="9">
        <v>13</v>
      </c>
      <c r="C43" s="560" t="s">
        <v>182</v>
      </c>
      <c r="D43" s="560"/>
      <c r="E43" s="561"/>
      <c r="G43" s="21"/>
      <c r="H43" s="22" t="s">
        <v>900</v>
      </c>
      <c r="I43" s="22" t="s">
        <v>715</v>
      </c>
      <c r="J43" s="23"/>
      <c r="L43" s="21"/>
      <c r="M43" s="22" t="str">
        <f>H43</f>
        <v>ISO</v>
      </c>
      <c r="N43" s="22" t="str">
        <f>I43</f>
        <v>3x10s ea</v>
      </c>
      <c r="O43" s="23"/>
      <c r="Q43" s="21"/>
      <c r="R43" s="22" t="str">
        <f>H43</f>
        <v>ISO</v>
      </c>
      <c r="S43" s="22" t="str">
        <f>N43</f>
        <v>3x10s ea</v>
      </c>
      <c r="T43" s="23"/>
    </row>
    <row r="44" spans="2:22" s="1" customFormat="1" ht="19.899999999999999" customHeight="1" x14ac:dyDescent="0.25">
      <c r="B44" s="3">
        <v>14</v>
      </c>
      <c r="C44" s="567" t="s">
        <v>36</v>
      </c>
      <c r="D44" s="567"/>
      <c r="E44" s="568"/>
      <c r="G44" s="27"/>
      <c r="H44" s="28" t="s">
        <v>900</v>
      </c>
      <c r="I44" s="28" t="s">
        <v>715</v>
      </c>
      <c r="J44" s="29"/>
      <c r="L44" s="27"/>
      <c r="M44" s="28" t="str">
        <f>H43</f>
        <v>ISO</v>
      </c>
      <c r="N44" s="28" t="str">
        <f>I44</f>
        <v>3x10s ea</v>
      </c>
      <c r="O44" s="29"/>
      <c r="Q44" s="27"/>
      <c r="R44" s="28" t="str">
        <f>H43</f>
        <v>ISO</v>
      </c>
      <c r="S44" s="28" t="str">
        <f>N44</f>
        <v>3x10s ea</v>
      </c>
      <c r="T44" s="29"/>
    </row>
    <row r="45" spans="2:22" s="1" customFormat="1" ht="19.899999999999999" customHeight="1" thickBot="1" x14ac:dyDescent="0.3">
      <c r="B45" s="4">
        <v>15</v>
      </c>
      <c r="C45" s="571" t="s">
        <v>338</v>
      </c>
      <c r="D45" s="571"/>
      <c r="E45" s="572"/>
      <c r="F45" s="66"/>
      <c r="G45" s="24"/>
      <c r="H45" s="25" t="s">
        <v>900</v>
      </c>
      <c r="I45" s="25" t="s">
        <v>715</v>
      </c>
      <c r="J45" s="26"/>
      <c r="K45" s="66"/>
      <c r="L45" s="24"/>
      <c r="M45" s="25" t="str">
        <f>H43</f>
        <v>ISO</v>
      </c>
      <c r="N45" s="25" t="str">
        <f>I45</f>
        <v>3x10s ea</v>
      </c>
      <c r="O45" s="26"/>
      <c r="P45" s="66"/>
      <c r="Q45" s="24"/>
      <c r="R45" s="25" t="str">
        <f>H43</f>
        <v>ISO</v>
      </c>
      <c r="S45" s="25" t="str">
        <f>N45</f>
        <v>3x10s ea</v>
      </c>
      <c r="T45" s="26"/>
    </row>
    <row r="46" spans="2:22" s="2" customFormat="1" ht="4.9000000000000004" customHeight="1" x14ac:dyDescent="0.25">
      <c r="Q46" s="49"/>
      <c r="R46" s="49"/>
      <c r="S46" s="49"/>
      <c r="T46" s="49"/>
    </row>
    <row r="47" spans="2:22" x14ac:dyDescent="0.25">
      <c r="V47" s="1"/>
    </row>
    <row r="48" spans="2:22" x14ac:dyDescent="0.25">
      <c r="V48" s="1"/>
    </row>
    <row r="49" spans="22:22" x14ac:dyDescent="0.25">
      <c r="V49" s="1"/>
    </row>
    <row r="50" spans="22:22" x14ac:dyDescent="0.25">
      <c r="V50" s="1"/>
    </row>
    <row r="51" spans="22:22" x14ac:dyDescent="0.25">
      <c r="V51" s="1"/>
    </row>
    <row r="52" spans="22:22" x14ac:dyDescent="0.25">
      <c r="V52" s="1"/>
    </row>
    <row r="53" spans="22:22" x14ac:dyDescent="0.25">
      <c r="V53" s="1"/>
    </row>
    <row r="54" spans="22:22" x14ac:dyDescent="0.25">
      <c r="V54" s="1"/>
    </row>
  </sheetData>
  <mergeCells count="44">
    <mergeCell ref="B14:T14"/>
    <mergeCell ref="O2:T7"/>
    <mergeCell ref="E10:G10"/>
    <mergeCell ref="I10:L10"/>
    <mergeCell ref="B12:T12"/>
    <mergeCell ref="B13:D13"/>
    <mergeCell ref="E13:F13"/>
    <mergeCell ref="G13:I13"/>
    <mergeCell ref="J13:M13"/>
    <mergeCell ref="N13:Q13"/>
    <mergeCell ref="R13:T13"/>
    <mergeCell ref="B19:E19"/>
    <mergeCell ref="B15:D15"/>
    <mergeCell ref="E15:F15"/>
    <mergeCell ref="G15:I15"/>
    <mergeCell ref="J15:M15"/>
    <mergeCell ref="B17:E18"/>
    <mergeCell ref="G17:T17"/>
    <mergeCell ref="H18:I18"/>
    <mergeCell ref="M18:N18"/>
    <mergeCell ref="R18:S18"/>
    <mergeCell ref="N15:Q15"/>
    <mergeCell ref="R15:T15"/>
    <mergeCell ref="C20:E20"/>
    <mergeCell ref="C21:E21"/>
    <mergeCell ref="C22:E22"/>
    <mergeCell ref="B24:E24"/>
    <mergeCell ref="C25:E25"/>
    <mergeCell ref="B42:E42"/>
    <mergeCell ref="C43:E43"/>
    <mergeCell ref="C44:E44"/>
    <mergeCell ref="C45:E45"/>
    <mergeCell ref="C26:E26"/>
    <mergeCell ref="C40:E40"/>
    <mergeCell ref="C27:E27"/>
    <mergeCell ref="C29:E29"/>
    <mergeCell ref="C30:E30"/>
    <mergeCell ref="C31:E31"/>
    <mergeCell ref="B33:E33"/>
    <mergeCell ref="C34:E34"/>
    <mergeCell ref="C35:E35"/>
    <mergeCell ref="C36:E36"/>
    <mergeCell ref="C38:E38"/>
    <mergeCell ref="C39:E39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showInputMessage="1" showErrorMessage="1" xr:uid="{402C452F-1A91-4663-9343-92AC4A1AF260}">
          <x14:formula1>
            <xm:f>'BH1-2 Progressionen'!$A:$A</xm:f>
          </x14:formula1>
          <xm:sqref>B17:E18</xm:sqref>
        </x14:dataValidation>
        <x14:dataValidation type="list" allowBlank="1" showInputMessage="1" showErrorMessage="1" xr:uid="{CCBC4A7E-286C-402A-9776-BF738CD8A770}">
          <x14:formula1>
            <xm:f>'BH1-2 Progressionen'!$B:$B</xm:f>
          </x14:formula1>
          <xm:sqref>B13:D13</xm:sqref>
        </x14:dataValidation>
        <x14:dataValidation type="list" allowBlank="1" showInputMessage="1" showErrorMessage="1" xr:uid="{E8842B89-41D3-42AB-94B3-B69BFAF3C636}">
          <x14:formula1>
            <xm:f>'BH1-2 Progressionen'!$C:$C</xm:f>
          </x14:formula1>
          <xm:sqref>E13</xm:sqref>
        </x14:dataValidation>
        <x14:dataValidation type="list" allowBlank="1" showInputMessage="1" showErrorMessage="1" xr:uid="{AA59014F-B9E0-4197-9F1D-F8755FFAF15E}">
          <x14:formula1>
            <xm:f>'BH1-2 Progressionen'!$G:$G</xm:f>
          </x14:formula1>
          <xm:sqref>R13:T13</xm:sqref>
        </x14:dataValidation>
        <x14:dataValidation type="list" allowBlank="1" showInputMessage="1" showErrorMessage="1" xr:uid="{081EB9D2-0836-4978-9769-016FA17ACEC2}">
          <x14:formula1>
            <xm:f>'BH1-2 Progressionen'!$H:$H</xm:f>
          </x14:formula1>
          <xm:sqref>B15:D15</xm:sqref>
        </x14:dataValidation>
        <x14:dataValidation type="list" allowBlank="1" showInputMessage="1" showErrorMessage="1" xr:uid="{A3513553-1BCB-4379-AF86-644B4630B750}">
          <x14:formula1>
            <xm:f>'BH1-2 Progressionen'!$I:$I</xm:f>
          </x14:formula1>
          <xm:sqref>E15</xm:sqref>
        </x14:dataValidation>
        <x14:dataValidation type="list" allowBlank="1" showInputMessage="1" showErrorMessage="1" xr:uid="{9DBDD3FF-9DE5-488F-8ABD-0682C3675035}">
          <x14:formula1>
            <xm:f>'BH1-2 Progressionen'!$M:$M</xm:f>
          </x14:formula1>
          <xm:sqref>R15:T15</xm:sqref>
        </x14:dataValidation>
        <x14:dataValidation type="list" allowBlank="1" showInputMessage="1" showErrorMessage="1" xr:uid="{C94667BC-2931-4EC4-B77E-574C2E234025}">
          <x14:formula1>
            <xm:f>'BH1-2 Progressionen'!$D:$D</xm:f>
          </x14:formula1>
          <xm:sqref>G13</xm:sqref>
        </x14:dataValidation>
        <x14:dataValidation type="list" allowBlank="1" showInputMessage="1" showErrorMessage="1" xr:uid="{14C1C583-AD9A-4270-AF98-4BC1D3B38AA7}">
          <x14:formula1>
            <xm:f>'BH1-2 Progressionen'!$J:$J</xm:f>
          </x14:formula1>
          <xm:sqref>G15</xm:sqref>
        </x14:dataValidation>
        <x14:dataValidation type="list" allowBlank="1" showInputMessage="1" showErrorMessage="1" xr:uid="{6CEB468A-0ADD-4EC0-B687-504D38BC9E31}">
          <x14:formula1>
            <xm:f>'BH1-2 Progressionen'!$E:$E</xm:f>
          </x14:formula1>
          <xm:sqref>J13</xm:sqref>
        </x14:dataValidation>
        <x14:dataValidation type="list" allowBlank="1" showInputMessage="1" showErrorMessage="1" xr:uid="{B17839F4-EE64-4444-9DD7-AFD5C7040138}">
          <x14:formula1>
            <xm:f>'BH1-2 Progressionen'!$K:$K</xm:f>
          </x14:formula1>
          <xm:sqref>J15</xm:sqref>
        </x14:dataValidation>
        <x14:dataValidation type="list" allowBlank="1" showInputMessage="1" showErrorMessage="1" xr:uid="{4E3B7F66-B8D3-4BDE-9C9E-A6E93D8229E0}">
          <x14:formula1>
            <xm:f>'BH1-2 Progressionen'!$F:$F</xm:f>
          </x14:formula1>
          <xm:sqref>N13</xm:sqref>
        </x14:dataValidation>
        <x14:dataValidation type="list" allowBlank="1" showInputMessage="1" showErrorMessage="1" xr:uid="{72A94722-8EED-4B54-9FAA-1A8CF7949586}">
          <x14:formula1>
            <xm:f>'BH1-2 Progressionen'!$L:$L</xm:f>
          </x14:formula1>
          <xm:sqref>N15</xm:sqref>
        </x14:dataValidation>
        <x14:dataValidation type="list" allowBlank="1" showInputMessage="1" showErrorMessage="1" xr:uid="{31C39A12-4873-4C20-B190-968B8A79189B}">
          <x14:formula1>
            <xm:f>' Unterkörper Progressionen '!$Z:$Z</xm:f>
          </x14:formula1>
          <xm:sqref>I43:I45 I25:I27 I29:I32 I38:I41 I34:I36</xm:sqref>
        </x14:dataValidation>
        <x14:dataValidation type="list" allowBlank="1" showInputMessage="1" showErrorMessage="1" xr:uid="{982A9D0A-A641-468B-AFA1-93F7493795CD}">
          <x14:formula1>
            <xm:f>' Unterkörper Progressionen '!$AA:$AA</xm:f>
          </x14:formula1>
          <xm:sqref>J21:J23</xm:sqref>
        </x14:dataValidation>
        <x14:dataValidation type="list" allowBlank="1" showInputMessage="1" showErrorMessage="1" xr:uid="{9B6DFCA1-395D-427B-8857-5C49AF9E83DB}">
          <x14:formula1>
            <xm:f>' Unterkörper Progressionen '!$B:$B</xm:f>
          </x14:formula1>
          <xm:sqref>C20:E20</xm:sqref>
        </x14:dataValidation>
        <x14:dataValidation type="list" allowBlank="1" showInputMessage="1" showErrorMessage="1" xr:uid="{9AD9D1A8-0CE3-432D-88E6-D1E034A3E997}">
          <x14:formula1>
            <xm:f>' Unterkörper Progressionen '!$C:$C</xm:f>
          </x14:formula1>
          <xm:sqref>C21:E21</xm:sqref>
        </x14:dataValidation>
        <x14:dataValidation type="list" allowBlank="1" showInputMessage="1" showErrorMessage="1" xr:uid="{0337BAD1-B1EA-4276-8C94-F97A886D1077}">
          <x14:formula1>
            <xm:f>' Unterkörper Progressionen '!$D:$D</xm:f>
          </x14:formula1>
          <xm:sqref>C22:E22</xm:sqref>
        </x14:dataValidation>
        <x14:dataValidation type="list" allowBlank="1" showInputMessage="1" showErrorMessage="1" xr:uid="{02035447-9C9E-4840-A13E-75A94C59AC6C}">
          <x14:formula1>
            <xm:f>' Unterkörper Progressionen '!$E:$E</xm:f>
          </x14:formula1>
          <xm:sqref>C25:E25</xm:sqref>
        </x14:dataValidation>
        <x14:dataValidation type="list" allowBlank="1" showInputMessage="1" showErrorMessage="1" xr:uid="{F26CCD65-1958-4437-AE9E-8D195CCCE9E7}">
          <x14:formula1>
            <xm:f>' Unterkörper Progressionen '!$F:$F</xm:f>
          </x14:formula1>
          <xm:sqref>C26:E26</xm:sqref>
        </x14:dataValidation>
        <x14:dataValidation type="list" allowBlank="1" showInputMessage="1" showErrorMessage="1" xr:uid="{2E615BBD-644F-48F0-ADD6-FC6F67AB963A}">
          <x14:formula1>
            <xm:f>' Unterkörper Progressionen '!$G:$G</xm:f>
          </x14:formula1>
          <xm:sqref>C27:E27</xm:sqref>
        </x14:dataValidation>
        <x14:dataValidation type="list" allowBlank="1" showInputMessage="1" showErrorMessage="1" xr:uid="{36FD8BFA-E170-40E6-8BC8-44F9854785C1}">
          <x14:formula1>
            <xm:f>' Unterkörper Progressionen '!$H:$H</xm:f>
          </x14:formula1>
          <xm:sqref>C29:E29</xm:sqref>
        </x14:dataValidation>
        <x14:dataValidation type="list" allowBlank="1" showInputMessage="1" showErrorMessage="1" xr:uid="{637289F5-32B7-4178-8F7C-A5AA1DC39260}">
          <x14:formula1>
            <xm:f>' Unterkörper Progressionen '!$I:$I</xm:f>
          </x14:formula1>
          <xm:sqref>C30:E30</xm:sqref>
        </x14:dataValidation>
        <x14:dataValidation type="list" allowBlank="1" showInputMessage="1" showErrorMessage="1" xr:uid="{301620EC-E0D8-4B3C-B798-B8D99C69853B}">
          <x14:formula1>
            <xm:f>' Unterkörper Progressionen '!$J:$J</xm:f>
          </x14:formula1>
          <xm:sqref>C31:E31</xm:sqref>
        </x14:dataValidation>
        <x14:dataValidation type="list" allowBlank="1" showInputMessage="1" showErrorMessage="1" xr:uid="{04FCE29A-2633-490D-A4CB-C3EC8BCD2598}">
          <x14:formula1>
            <xm:f>' Unterkörper Progressionen '!$L:$L</xm:f>
          </x14:formula1>
          <xm:sqref>C34:E34</xm:sqref>
        </x14:dataValidation>
        <x14:dataValidation type="list" allowBlank="1" showInputMessage="1" showErrorMessage="1" xr:uid="{EC5440D4-A76F-4865-B7A4-229F4B3C94B9}">
          <x14:formula1>
            <xm:f>' Unterkörper Progressionen '!$M:$M</xm:f>
          </x14:formula1>
          <xm:sqref>C35:E35</xm:sqref>
        </x14:dataValidation>
        <x14:dataValidation type="list" allowBlank="1" showInputMessage="1" showErrorMessage="1" xr:uid="{16FD8548-BBC9-4298-92CB-D841A4F8F5A6}">
          <x14:formula1>
            <xm:f>' Unterkörper Progressionen '!$P:$P</xm:f>
          </x14:formula1>
          <xm:sqref>C36:E36</xm:sqref>
        </x14:dataValidation>
        <x14:dataValidation type="list" allowBlank="1" showInputMessage="1" showErrorMessage="1" xr:uid="{007D676C-74AB-454D-9181-07CC06328CF1}">
          <x14:formula1>
            <xm:f>' Unterkörper Progressionen '!$Q:$Q</xm:f>
          </x14:formula1>
          <xm:sqref>C38:E38</xm:sqref>
        </x14:dataValidation>
        <x14:dataValidation type="list" allowBlank="1" showInputMessage="1" showErrorMessage="1" xr:uid="{116E7F6F-D40F-4664-9DEF-D6F0A51FDC5F}">
          <x14:formula1>
            <xm:f>' Unterkörper Progressionen '!$R:$R</xm:f>
          </x14:formula1>
          <xm:sqref>C39:E39</xm:sqref>
        </x14:dataValidation>
        <x14:dataValidation type="list" allowBlank="1" showInputMessage="1" showErrorMessage="1" xr:uid="{A82EA33A-143C-4E31-B502-915594BDF499}">
          <x14:formula1>
            <xm:f>' Unterkörper Progressionen '!$S:$S</xm:f>
          </x14:formula1>
          <xm:sqref>C40:E40</xm:sqref>
        </x14:dataValidation>
        <x14:dataValidation type="list" allowBlank="1" showInputMessage="1" showErrorMessage="1" xr:uid="{60A2EFA4-6D8F-4C78-B7CE-B3984BEF774F}">
          <x14:formula1>
            <xm:f>' Unterkörper Progressionen '!$U:$U</xm:f>
          </x14:formula1>
          <xm:sqref>C43:E43</xm:sqref>
        </x14:dataValidation>
        <x14:dataValidation type="list" allowBlank="1" showInputMessage="1" showErrorMessage="1" xr:uid="{5EA4D839-FD33-4D2F-8C5B-93155541F172}">
          <x14:formula1>
            <xm:f>' Unterkörper Progressionen '!$V:$V</xm:f>
          </x14:formula1>
          <xm:sqref>C44:E44</xm:sqref>
        </x14:dataValidation>
        <x14:dataValidation type="list" allowBlank="1" showInputMessage="1" showErrorMessage="1" xr:uid="{B47F8BF5-0397-41A1-80B4-3289B6A9C0CB}">
          <x14:formula1>
            <xm:f>' Unterkörper Progressionen '!$W:$W</xm:f>
          </x14:formula1>
          <xm:sqref>C45:E45</xm:sqref>
        </x14:dataValidation>
        <x14:dataValidation type="list" allowBlank="1" showInputMessage="1" showErrorMessage="1" xr:uid="{AD36CE44-5B0B-4FF0-A97F-BCBAB3B6D36E}">
          <x14:formula1>
            <xm:f>' Unterkörper Progressionen '!$AC:$AC</xm:f>
          </x14:formula1>
          <xm:sqref>S33 I24 S42 N42 I42 I33 N33</xm:sqref>
        </x14:dataValidation>
        <x14:dataValidation type="list" allowBlank="1" showInputMessage="1" showErrorMessage="1" xr:uid="{C512E8B8-CD58-4BF7-A5C0-B685A1D94105}">
          <x14:formula1>
            <xm:f>' Unterkörper Progressionen '!$AB:$AB</xm:f>
          </x14:formula1>
          <xm:sqref>H25:H27 H20:H22 H43:H45 H38:H40 H34:H36 H29:H31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5211-66BB-4B51-A400-6440DCDF9082}">
  <sheetPr>
    <pageSetUpPr fitToPage="1"/>
  </sheetPr>
  <dimension ref="B1:W44"/>
  <sheetViews>
    <sheetView topLeftCell="A6" zoomScaleNormal="100" workbookViewId="0">
      <selection activeCell="C38" sqref="C38:E38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W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W9" s="2"/>
    </row>
    <row r="10" spans="2:23" ht="16.5" hidden="1" thickBot="1" x14ac:dyDescent="0.3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s="1" customFormat="1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tr">
        <f>Unterkörper8!B13</f>
        <v>LOADED - TGU - 1/2-KN. TO STAND</v>
      </c>
      <c r="C13" s="631"/>
      <c r="D13" s="631"/>
      <c r="E13" s="633" t="str">
        <f>Unterkörper8!E13</f>
        <v>CRAB CRAWL</v>
      </c>
      <c r="F13" s="634"/>
      <c r="G13" s="631" t="str">
        <f>Unterkörper8!G13</f>
        <v>2KB SUITCASE CARRY</v>
      </c>
      <c r="H13" s="631"/>
      <c r="I13" s="631"/>
      <c r="J13" s="631" t="str">
        <f>Unterkörper8!J13</f>
        <v>1-ARM 1KB RACK SQUAT</v>
      </c>
      <c r="K13" s="631"/>
      <c r="L13" s="631"/>
      <c r="M13" s="631"/>
      <c r="N13" s="631" t="str">
        <f>Unterkörper8!N13</f>
        <v>2KB SUITCASE DEADLIFT</v>
      </c>
      <c r="O13" s="631"/>
      <c r="P13" s="631"/>
      <c r="Q13" s="631"/>
      <c r="R13" s="631" t="str">
        <f>Unterkörper8!R13</f>
        <v>LANDMINE 1-LEG DEADLIFT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tr">
        <f>Unterkörper8!B15</f>
        <v>LOADED ANKLE ROCKER PUSH PULL</v>
      </c>
      <c r="C15" s="553"/>
      <c r="D15" s="553"/>
      <c r="E15" s="653" t="str">
        <f>Unterkörper8!E15</f>
        <v>SEATED CALF RAISE 90° MAX FORCE 15 SEC</v>
      </c>
      <c r="F15" s="654"/>
      <c r="G15" s="553" t="str">
        <f>Unterkörper8!G15</f>
        <v>LOADED 1-ARM WAITER ANKLE SKIPS</v>
      </c>
      <c r="H15" s="553"/>
      <c r="I15" s="553"/>
      <c r="J15" s="553" t="str">
        <f>Unterkörper8!J15</f>
        <v>LOADED LATERAL SKIP</v>
      </c>
      <c r="K15" s="553"/>
      <c r="L15" s="553"/>
      <c r="M15" s="553"/>
      <c r="N15" s="553" t="str">
        <f>Unterkörper8!N15</f>
        <v>1-LEG LINEAR HOP - TO BOX (CM)</v>
      </c>
      <c r="O15" s="553"/>
      <c r="P15" s="553"/>
      <c r="Q15" s="553"/>
      <c r="R15" s="553" t="str">
        <f>Unterkörper8!R15</f>
        <v>REAKTIV CMJ</v>
      </c>
      <c r="S15" s="553"/>
      <c r="T15" s="556"/>
    </row>
    <row r="16" spans="2:23" ht="16.5" customHeight="1" thickBot="1" x14ac:dyDescent="0.3">
      <c r="B16" s="647" t="str">
        <f>Unterkörper8!B17</f>
        <v>LEVEL 8</v>
      </c>
      <c r="C16" s="648"/>
      <c r="D16" s="648"/>
      <c r="E16" s="649"/>
      <c r="F16" s="1"/>
      <c r="G16" s="592" t="s">
        <v>352</v>
      </c>
      <c r="H16" s="593"/>
      <c r="I16" s="593"/>
      <c r="J16" s="593"/>
      <c r="K16" s="593"/>
      <c r="L16" s="593"/>
      <c r="M16" s="593"/>
      <c r="N16" s="593"/>
      <c r="O16" s="593"/>
      <c r="P16" s="593"/>
      <c r="Q16" s="593"/>
      <c r="R16" s="593"/>
      <c r="S16" s="593"/>
      <c r="T16" s="594"/>
    </row>
    <row r="17" spans="2:23" ht="21.6" customHeight="1" thickBot="1" x14ac:dyDescent="0.3">
      <c r="B17" s="622"/>
      <c r="C17" s="623"/>
      <c r="D17" s="623"/>
      <c r="E17" s="624"/>
      <c r="F17" s="1"/>
      <c r="G17" s="70" t="s">
        <v>865</v>
      </c>
      <c r="H17" s="582" t="s">
        <v>877</v>
      </c>
      <c r="I17" s="583"/>
      <c r="J17" s="71" t="s">
        <v>866</v>
      </c>
      <c r="K17" s="64"/>
      <c r="L17" s="70" t="s">
        <v>867</v>
      </c>
      <c r="M17" s="582" t="s">
        <v>878</v>
      </c>
      <c r="N17" s="583"/>
      <c r="O17" s="71" t="s">
        <v>868</v>
      </c>
      <c r="P17" s="64"/>
      <c r="Q17" s="70" t="s">
        <v>869</v>
      </c>
      <c r="R17" s="595" t="s">
        <v>879</v>
      </c>
      <c r="S17" s="596"/>
      <c r="T17" s="71" t="s">
        <v>870</v>
      </c>
    </row>
    <row r="18" spans="2:23" ht="18" customHeight="1" thickBot="1" x14ac:dyDescent="0.3">
      <c r="B18" s="641" t="s">
        <v>8</v>
      </c>
      <c r="C18" s="642"/>
      <c r="D18" s="642"/>
      <c r="E18" s="643"/>
      <c r="F18" s="72"/>
      <c r="G18" s="501" t="s">
        <v>880</v>
      </c>
      <c r="H18" s="502" t="s">
        <v>9</v>
      </c>
      <c r="I18" s="502" t="s">
        <v>11</v>
      </c>
      <c r="J18" s="503" t="s">
        <v>880</v>
      </c>
      <c r="K18" s="1"/>
      <c r="L18" s="501" t="s">
        <v>880</v>
      </c>
      <c r="M18" s="502" t="s">
        <v>9</v>
      </c>
      <c r="N18" s="502" t="s">
        <v>11</v>
      </c>
      <c r="O18" s="503" t="s">
        <v>880</v>
      </c>
      <c r="P18" s="1"/>
      <c r="Q18" s="504" t="s">
        <v>880</v>
      </c>
      <c r="R18" s="505" t="s">
        <v>9</v>
      </c>
      <c r="S18" s="505" t="s">
        <v>11</v>
      </c>
      <c r="T18" s="506" t="s">
        <v>880</v>
      </c>
    </row>
    <row r="19" spans="2:23" s="1" customFormat="1" ht="19.899999999999999" customHeight="1" x14ac:dyDescent="0.25">
      <c r="B19" s="9">
        <v>1</v>
      </c>
      <c r="C19" s="560" t="s">
        <v>478</v>
      </c>
      <c r="D19" s="560"/>
      <c r="E19" s="561"/>
      <c r="G19" s="18"/>
      <c r="H19" s="22" t="s">
        <v>12</v>
      </c>
      <c r="I19" s="19" t="s">
        <v>14</v>
      </c>
      <c r="J19" s="20" t="s">
        <v>16</v>
      </c>
      <c r="L19" s="18"/>
      <c r="M19" s="19" t="str">
        <f t="shared" ref="M19:M21" si="0">H19</f>
        <v>EXPL</v>
      </c>
      <c r="N19" s="19" t="s">
        <v>14</v>
      </c>
      <c r="O19" s="20" t="s">
        <v>16</v>
      </c>
      <c r="Q19" s="43"/>
      <c r="R19" s="44" t="str">
        <f t="shared" ref="R19:R21" si="1">H19</f>
        <v>EXPL</v>
      </c>
      <c r="S19" s="44" t="s">
        <v>14</v>
      </c>
      <c r="T19" s="45" t="s">
        <v>16</v>
      </c>
    </row>
    <row r="20" spans="2:23" s="1" customFormat="1" ht="19.899999999999999" customHeight="1" x14ac:dyDescent="0.25">
      <c r="B20" s="3">
        <v>2</v>
      </c>
      <c r="C20" s="567" t="s">
        <v>830</v>
      </c>
      <c r="D20" s="567"/>
      <c r="E20" s="568"/>
      <c r="G20" s="67"/>
      <c r="H20" s="28" t="s">
        <v>12</v>
      </c>
      <c r="I20" s="68" t="s">
        <v>14</v>
      </c>
      <c r="J20" s="69"/>
      <c r="L20" s="67"/>
      <c r="M20" s="68" t="str">
        <f t="shared" si="0"/>
        <v>EXPL</v>
      </c>
      <c r="N20" s="68" t="s">
        <v>14</v>
      </c>
      <c r="O20" s="69"/>
      <c r="Q20" s="75"/>
      <c r="R20" s="76" t="str">
        <f t="shared" si="1"/>
        <v>EXPL</v>
      </c>
      <c r="S20" s="76" t="s">
        <v>14</v>
      </c>
      <c r="T20" s="77"/>
    </row>
    <row r="21" spans="2:23" s="1" customFormat="1" ht="19.899999999999999" customHeight="1" thickBot="1" x14ac:dyDescent="0.3">
      <c r="B21" s="4">
        <v>3</v>
      </c>
      <c r="C21" s="565" t="s">
        <v>836</v>
      </c>
      <c r="D21" s="565"/>
      <c r="E21" s="566"/>
      <c r="G21" s="24"/>
      <c r="H21" s="25" t="s">
        <v>12</v>
      </c>
      <c r="I21" s="25" t="s">
        <v>14</v>
      </c>
      <c r="J21" s="26"/>
      <c r="L21" s="24"/>
      <c r="M21" s="25" t="str">
        <f t="shared" si="0"/>
        <v>EXPL</v>
      </c>
      <c r="N21" s="25" t="s">
        <v>14</v>
      </c>
      <c r="O21" s="26"/>
      <c r="Q21" s="46"/>
      <c r="R21" s="47" t="str">
        <f t="shared" si="1"/>
        <v>EXPL</v>
      </c>
      <c r="S21" s="47" t="s">
        <v>14</v>
      </c>
      <c r="T21" s="48"/>
    </row>
    <row r="22" spans="2:23" s="2" customFormat="1" ht="4.9000000000000004" customHeight="1" thickBot="1" x14ac:dyDescent="0.3">
      <c r="B22" s="73"/>
      <c r="Q22" s="49"/>
      <c r="R22" s="49"/>
      <c r="S22" s="49"/>
      <c r="T22" s="74"/>
    </row>
    <row r="23" spans="2:23" s="523" customFormat="1" ht="18" customHeight="1" thickBot="1" x14ac:dyDescent="0.3">
      <c r="B23" s="644" t="s">
        <v>871</v>
      </c>
      <c r="C23" s="645"/>
      <c r="D23" s="645"/>
      <c r="E23" s="646"/>
      <c r="G23" s="524" t="s">
        <v>880</v>
      </c>
      <c r="H23" s="525" t="s">
        <v>9</v>
      </c>
      <c r="I23" s="525" t="s">
        <v>896</v>
      </c>
      <c r="J23" s="526" t="s">
        <v>880</v>
      </c>
      <c r="L23" s="524" t="str">
        <f>G23</f>
        <v>GEWICHT</v>
      </c>
      <c r="M23" s="525" t="s">
        <v>9</v>
      </c>
      <c r="N23" s="525" t="str">
        <f>I23</f>
        <v>SxR/RPE 7-8</v>
      </c>
      <c r="O23" s="526" t="s">
        <v>880</v>
      </c>
      <c r="Q23" s="524" t="str">
        <f>L23</f>
        <v>GEWICHT</v>
      </c>
      <c r="R23" s="525" t="s">
        <v>9</v>
      </c>
      <c r="S23" s="525" t="str">
        <f>I23</f>
        <v>SxR/RPE 7-8</v>
      </c>
      <c r="T23" s="526" t="s">
        <v>880</v>
      </c>
      <c r="W23" s="527"/>
    </row>
    <row r="24" spans="2:23" s="1" customFormat="1" ht="19.899999999999999" customHeight="1" x14ac:dyDescent="0.25">
      <c r="B24" s="9">
        <v>1</v>
      </c>
      <c r="C24" s="560" t="s">
        <v>255</v>
      </c>
      <c r="D24" s="560"/>
      <c r="E24" s="561"/>
      <c r="G24" s="21"/>
      <c r="H24" s="22" t="s">
        <v>890</v>
      </c>
      <c r="I24" s="28" t="s">
        <v>708</v>
      </c>
      <c r="J24" s="23"/>
      <c r="L24" s="21"/>
      <c r="M24" s="22" t="str">
        <f>H24</f>
        <v>2-1-1-0</v>
      </c>
      <c r="N24" s="22" t="str">
        <f>I24</f>
        <v>3x8</v>
      </c>
      <c r="O24" s="23"/>
      <c r="Q24" s="50"/>
      <c r="R24" s="52" t="str">
        <f>H24</f>
        <v>2-1-1-0</v>
      </c>
      <c r="S24" s="52" t="str">
        <f>I24</f>
        <v>3x8</v>
      </c>
      <c r="T24" s="53"/>
      <c r="W24" s="36"/>
    </row>
    <row r="25" spans="2:23" s="1" customFormat="1" ht="19.899999999999999" customHeight="1" x14ac:dyDescent="0.25">
      <c r="B25" s="3">
        <v>2</v>
      </c>
      <c r="C25" s="567" t="s">
        <v>279</v>
      </c>
      <c r="D25" s="567"/>
      <c r="E25" s="568"/>
      <c r="G25" s="27"/>
      <c r="H25" s="28" t="s">
        <v>890</v>
      </c>
      <c r="I25" s="28" t="s">
        <v>708</v>
      </c>
      <c r="J25" s="29"/>
      <c r="L25" s="27"/>
      <c r="M25" s="28" t="str">
        <f>H25</f>
        <v>2-1-1-0</v>
      </c>
      <c r="N25" s="28" t="str">
        <f>I25</f>
        <v>3x8</v>
      </c>
      <c r="O25" s="29"/>
      <c r="Q25" s="54"/>
      <c r="R25" s="56" t="str">
        <f>H25</f>
        <v>2-1-1-0</v>
      </c>
      <c r="S25" s="56" t="str">
        <f>I25</f>
        <v>3x8</v>
      </c>
      <c r="T25" s="57"/>
      <c r="W25" s="36"/>
    </row>
    <row r="26" spans="2:23" s="1" customFormat="1" ht="19.899999999999999" customHeight="1" thickBot="1" x14ac:dyDescent="0.3">
      <c r="B26" s="4">
        <v>3</v>
      </c>
      <c r="C26" s="565" t="s">
        <v>335</v>
      </c>
      <c r="D26" s="565"/>
      <c r="E26" s="566"/>
      <c r="G26" s="24"/>
      <c r="H26" s="25" t="s">
        <v>915</v>
      </c>
      <c r="I26" s="25" t="s">
        <v>712</v>
      </c>
      <c r="J26" s="26"/>
      <c r="L26" s="24"/>
      <c r="M26" s="25" t="str">
        <f>H26</f>
        <v>1-1-1-1</v>
      </c>
      <c r="N26" s="25" t="str">
        <f>I26</f>
        <v>2x15m</v>
      </c>
      <c r="O26" s="26"/>
      <c r="Q26" s="46"/>
      <c r="R26" s="47" t="str">
        <f>H26</f>
        <v>1-1-1-1</v>
      </c>
      <c r="S26" s="47" t="str">
        <f>I26</f>
        <v>2x15m</v>
      </c>
      <c r="T26" s="48"/>
    </row>
    <row r="27" spans="2:23" s="2" customFormat="1" ht="4.9000000000000004" customHeight="1" thickBot="1" x14ac:dyDescent="0.3">
      <c r="B27" s="73"/>
      <c r="Q27" s="49"/>
      <c r="R27" s="49"/>
      <c r="S27" s="49"/>
      <c r="T27" s="74"/>
    </row>
    <row r="28" spans="2:23" s="1" customFormat="1" ht="19.899999999999999" customHeight="1" x14ac:dyDescent="0.25">
      <c r="B28" s="9">
        <v>4</v>
      </c>
      <c r="C28" s="560" t="s">
        <v>912</v>
      </c>
      <c r="D28" s="560"/>
      <c r="E28" s="561"/>
      <c r="G28" s="21"/>
      <c r="H28" s="22" t="s">
        <v>890</v>
      </c>
      <c r="I28" s="22" t="s">
        <v>708</v>
      </c>
      <c r="J28" s="23"/>
      <c r="L28" s="21"/>
      <c r="M28" s="22" t="str">
        <f t="shared" ref="M28:M30" si="2">H28</f>
        <v>2-1-1-0</v>
      </c>
      <c r="N28" s="22" t="str">
        <f>I28</f>
        <v>3x8</v>
      </c>
      <c r="O28" s="23"/>
      <c r="Q28" s="50"/>
      <c r="R28" s="52" t="str">
        <f t="shared" ref="R28:R30" si="3">H28</f>
        <v>2-1-1-0</v>
      </c>
      <c r="S28" s="52" t="str">
        <f>I28</f>
        <v>3x8</v>
      </c>
      <c r="T28" s="53"/>
    </row>
    <row r="29" spans="2:23" s="1" customFormat="1" ht="19.899999999999999" customHeight="1" x14ac:dyDescent="0.25">
      <c r="B29" s="3">
        <v>5</v>
      </c>
      <c r="C29" s="567" t="s">
        <v>775</v>
      </c>
      <c r="D29" s="567"/>
      <c r="E29" s="568"/>
      <c r="G29" s="27"/>
      <c r="H29" s="28" t="s">
        <v>890</v>
      </c>
      <c r="I29" s="28" t="s">
        <v>708</v>
      </c>
      <c r="J29" s="29"/>
      <c r="L29" s="27"/>
      <c r="M29" s="28" t="str">
        <f t="shared" si="2"/>
        <v>2-1-1-0</v>
      </c>
      <c r="N29" s="28" t="str">
        <f>I29</f>
        <v>3x8</v>
      </c>
      <c r="O29" s="29"/>
      <c r="Q29" s="54"/>
      <c r="R29" s="56" t="str">
        <f t="shared" si="3"/>
        <v>2-1-1-0</v>
      </c>
      <c r="S29" s="28" t="str">
        <f>I29</f>
        <v>3x8</v>
      </c>
      <c r="T29" s="57"/>
    </row>
    <row r="30" spans="2:23" s="1" customFormat="1" ht="19.899999999999999" customHeight="1" thickBot="1" x14ac:dyDescent="0.3">
      <c r="B30" s="4">
        <v>6</v>
      </c>
      <c r="C30" s="565" t="s">
        <v>856</v>
      </c>
      <c r="D30" s="565"/>
      <c r="E30" s="566"/>
      <c r="G30" s="24"/>
      <c r="H30" s="25" t="s">
        <v>889</v>
      </c>
      <c r="I30" s="25" t="s">
        <v>708</v>
      </c>
      <c r="J30" s="26"/>
      <c r="L30" s="24"/>
      <c r="M30" s="25" t="str">
        <f t="shared" si="2"/>
        <v>3-1-1-1</v>
      </c>
      <c r="N30" s="25" t="str">
        <f>I30</f>
        <v>3x8</v>
      </c>
      <c r="O30" s="26"/>
      <c r="Q30" s="46"/>
      <c r="R30" s="47" t="str">
        <f t="shared" si="3"/>
        <v>3-1-1-1</v>
      </c>
      <c r="S30" s="47" t="str">
        <f>I30</f>
        <v>3x8</v>
      </c>
      <c r="T30" s="48"/>
    </row>
    <row r="31" spans="2:23" s="1" customFormat="1" ht="5.0999999999999996" customHeight="1" thickBot="1" x14ac:dyDescent="0.3">
      <c r="B31" s="4"/>
      <c r="C31" s="66"/>
      <c r="D31" s="66"/>
      <c r="E31" s="113"/>
      <c r="G31" s="4"/>
      <c r="H31" s="66"/>
      <c r="I31" s="66"/>
      <c r="J31" s="66"/>
      <c r="L31" s="66"/>
      <c r="M31" s="66"/>
      <c r="N31" s="66"/>
      <c r="O31" s="66"/>
      <c r="Q31" s="115"/>
      <c r="R31" s="115"/>
      <c r="S31" s="115"/>
      <c r="T31" s="116"/>
    </row>
    <row r="32" spans="2:23" s="2" customFormat="1" ht="18" customHeight="1" thickBot="1" x14ac:dyDescent="0.3">
      <c r="B32" s="635" t="s">
        <v>872</v>
      </c>
      <c r="C32" s="636"/>
      <c r="D32" s="636"/>
      <c r="E32" s="637"/>
      <c r="F32" s="114"/>
      <c r="G32" s="517" t="s">
        <v>880</v>
      </c>
      <c r="H32" s="518" t="s">
        <v>9</v>
      </c>
      <c r="I32" s="518" t="s">
        <v>896</v>
      </c>
      <c r="J32" s="519" t="s">
        <v>880</v>
      </c>
      <c r="K32" s="1"/>
      <c r="L32" s="517" t="s">
        <v>880</v>
      </c>
      <c r="M32" s="518" t="s">
        <v>9</v>
      </c>
      <c r="N32" s="518" t="str">
        <f>I32</f>
        <v>SxR/RPE 7-8</v>
      </c>
      <c r="O32" s="519" t="s">
        <v>880</v>
      </c>
      <c r="P32" s="1"/>
      <c r="Q32" s="517" t="s">
        <v>880</v>
      </c>
      <c r="R32" s="518" t="s">
        <v>9</v>
      </c>
      <c r="S32" s="518" t="str">
        <f>I32</f>
        <v>SxR/RPE 7-8</v>
      </c>
      <c r="T32" s="519" t="s">
        <v>880</v>
      </c>
    </row>
    <row r="33" spans="2:20" s="1" customFormat="1" ht="19.899999999999999" customHeight="1" x14ac:dyDescent="0.25">
      <c r="B33" s="9">
        <v>7</v>
      </c>
      <c r="C33" s="560" t="s">
        <v>262</v>
      </c>
      <c r="D33" s="560"/>
      <c r="E33" s="561"/>
      <c r="G33" s="21"/>
      <c r="H33" s="22" t="s">
        <v>889</v>
      </c>
      <c r="I33" s="22" t="s">
        <v>708</v>
      </c>
      <c r="J33" s="23"/>
      <c r="L33" s="21"/>
      <c r="M33" s="22" t="str">
        <f>H33</f>
        <v>3-1-1-1</v>
      </c>
      <c r="N33" s="22" t="str">
        <f>I33</f>
        <v>3x8</v>
      </c>
      <c r="O33" s="23"/>
      <c r="Q33" s="50"/>
      <c r="R33" s="52" t="str">
        <f>H33</f>
        <v>3-1-1-1</v>
      </c>
      <c r="S33" s="52" t="str">
        <f>I33</f>
        <v>3x8</v>
      </c>
      <c r="T33" s="53"/>
    </row>
    <row r="34" spans="2:20" s="1" customFormat="1" ht="19.899999999999999" customHeight="1" x14ac:dyDescent="0.25">
      <c r="B34" s="3">
        <v>8</v>
      </c>
      <c r="C34" s="567" t="s">
        <v>203</v>
      </c>
      <c r="D34" s="567"/>
      <c r="E34" s="568"/>
      <c r="G34" s="27"/>
      <c r="H34" s="28" t="s">
        <v>889</v>
      </c>
      <c r="I34" s="28" t="s">
        <v>708</v>
      </c>
      <c r="J34" s="29"/>
      <c r="L34" s="27"/>
      <c r="M34" s="28" t="str">
        <f>H34</f>
        <v>3-1-1-1</v>
      </c>
      <c r="N34" s="28" t="str">
        <f>I34</f>
        <v>3x8</v>
      </c>
      <c r="O34" s="29"/>
      <c r="Q34" s="54"/>
      <c r="R34" s="56" t="str">
        <f>H34</f>
        <v>3-1-1-1</v>
      </c>
      <c r="S34" s="28" t="str">
        <f>I34</f>
        <v>3x8</v>
      </c>
      <c r="T34" s="57"/>
    </row>
    <row r="35" spans="2:20" s="1" customFormat="1" ht="19.899999999999999" customHeight="1" thickBot="1" x14ac:dyDescent="0.3">
      <c r="B35" s="4">
        <v>9</v>
      </c>
      <c r="C35" s="565" t="s">
        <v>777</v>
      </c>
      <c r="D35" s="565"/>
      <c r="E35" s="566"/>
      <c r="G35" s="24"/>
      <c r="H35" s="25" t="s">
        <v>900</v>
      </c>
      <c r="I35" s="25" t="s">
        <v>708</v>
      </c>
      <c r="J35" s="26"/>
      <c r="L35" s="24"/>
      <c r="M35" s="25" t="str">
        <f>H35</f>
        <v>ISO</v>
      </c>
      <c r="N35" s="25" t="str">
        <f>I35</f>
        <v>3x8</v>
      </c>
      <c r="O35" s="26"/>
      <c r="Q35" s="46"/>
      <c r="R35" s="47" t="str">
        <f>H35</f>
        <v>ISO</v>
      </c>
      <c r="S35" s="47" t="str">
        <f>I35</f>
        <v>3x8</v>
      </c>
      <c r="T35" s="48"/>
    </row>
    <row r="36" spans="2:20" s="2" customFormat="1" ht="4.9000000000000004" customHeight="1" thickBot="1" x14ac:dyDescent="0.3">
      <c r="B36" s="73"/>
      <c r="H36" s="1"/>
      <c r="Q36" s="49"/>
      <c r="R36" s="49"/>
      <c r="S36" s="49"/>
      <c r="T36" s="74"/>
    </row>
    <row r="37" spans="2:20" s="1" customFormat="1" ht="19.899999999999999" customHeight="1" x14ac:dyDescent="0.25">
      <c r="B37" s="9">
        <v>10</v>
      </c>
      <c r="C37" s="560" t="s">
        <v>263</v>
      </c>
      <c r="D37" s="560"/>
      <c r="E37" s="561"/>
      <c r="G37" s="21"/>
      <c r="H37" s="22" t="s">
        <v>890</v>
      </c>
      <c r="I37" s="22" t="s">
        <v>710</v>
      </c>
      <c r="J37" s="23"/>
      <c r="L37" s="21"/>
      <c r="M37" s="22" t="str">
        <f t="shared" ref="M37:M39" si="4">H37</f>
        <v>2-1-1-0</v>
      </c>
      <c r="N37" s="22" t="str">
        <f>I37</f>
        <v>2x12</v>
      </c>
      <c r="O37" s="23"/>
      <c r="Q37" s="21"/>
      <c r="R37" s="22" t="str">
        <f t="shared" ref="R37:R39" si="5">H37</f>
        <v>2-1-1-0</v>
      </c>
      <c r="S37" s="52" t="str">
        <f>I37</f>
        <v>2x12</v>
      </c>
      <c r="T37" s="23"/>
    </row>
    <row r="38" spans="2:20" s="1" customFormat="1" ht="19.899999999999999" customHeight="1" x14ac:dyDescent="0.25">
      <c r="B38" s="3">
        <v>11</v>
      </c>
      <c r="C38" s="567" t="s">
        <v>917</v>
      </c>
      <c r="D38" s="567"/>
      <c r="E38" s="568"/>
      <c r="G38" s="27"/>
      <c r="H38" s="28" t="s">
        <v>911</v>
      </c>
      <c r="I38" s="28" t="s">
        <v>710</v>
      </c>
      <c r="J38" s="29"/>
      <c r="L38" s="27"/>
      <c r="M38" s="28" t="str">
        <f t="shared" si="4"/>
        <v>5-0-3-0</v>
      </c>
      <c r="N38" s="28" t="str">
        <f>I38</f>
        <v>2x12</v>
      </c>
      <c r="O38" s="29"/>
      <c r="Q38" s="27"/>
      <c r="R38" s="28" t="str">
        <f t="shared" si="5"/>
        <v>5-0-3-0</v>
      </c>
      <c r="S38" s="28" t="str">
        <f>I38</f>
        <v>2x12</v>
      </c>
      <c r="T38" s="29"/>
    </row>
    <row r="39" spans="2:20" s="1" customFormat="1" ht="19.899999999999999" customHeight="1" thickBot="1" x14ac:dyDescent="0.3">
      <c r="B39" s="4">
        <v>12</v>
      </c>
      <c r="C39" s="655" t="s">
        <v>734</v>
      </c>
      <c r="D39" s="655"/>
      <c r="E39" s="656"/>
      <c r="G39" s="24"/>
      <c r="H39" s="25" t="s">
        <v>889</v>
      </c>
      <c r="I39" s="25" t="s">
        <v>14</v>
      </c>
      <c r="J39" s="26"/>
      <c r="L39" s="24"/>
      <c r="M39" s="25" t="str">
        <f t="shared" si="4"/>
        <v>3-1-1-1</v>
      </c>
      <c r="N39" s="25" t="str">
        <f>I39</f>
        <v>3x5</v>
      </c>
      <c r="O39" s="26"/>
      <c r="Q39" s="46"/>
      <c r="R39" s="47" t="str">
        <f t="shared" si="5"/>
        <v>3-1-1-1</v>
      </c>
      <c r="S39" s="47" t="str">
        <f>I39</f>
        <v>3x5</v>
      </c>
      <c r="T39" s="48"/>
    </row>
    <row r="40" spans="2:20" s="1" customFormat="1" ht="5.0999999999999996" customHeight="1" thickBot="1" x14ac:dyDescent="0.3">
      <c r="B40" s="4"/>
      <c r="C40" s="66"/>
      <c r="D40" s="66"/>
      <c r="E40" s="113"/>
      <c r="G40" s="4"/>
      <c r="H40" s="66"/>
      <c r="I40" s="66"/>
      <c r="J40" s="66"/>
      <c r="L40" s="66"/>
      <c r="M40" s="66"/>
      <c r="N40" s="66"/>
      <c r="O40" s="66"/>
      <c r="Q40" s="115"/>
      <c r="R40" s="115"/>
      <c r="S40" s="115"/>
      <c r="T40" s="116"/>
    </row>
    <row r="41" spans="2:20" s="2" customFormat="1" ht="18" customHeight="1" thickBot="1" x14ac:dyDescent="0.3">
      <c r="B41" s="638" t="s">
        <v>876</v>
      </c>
      <c r="C41" s="639"/>
      <c r="D41" s="639"/>
      <c r="E41" s="640"/>
      <c r="G41" s="520" t="s">
        <v>880</v>
      </c>
      <c r="H41" s="521" t="s">
        <v>9</v>
      </c>
      <c r="I41" s="521" t="s">
        <v>901</v>
      </c>
      <c r="J41" s="522" t="s">
        <v>880</v>
      </c>
      <c r="K41" s="523"/>
      <c r="L41" s="520" t="str">
        <f>G41</f>
        <v>GEWICHT</v>
      </c>
      <c r="M41" s="521" t="s">
        <v>9</v>
      </c>
      <c r="N41" s="521" t="str">
        <f>I41</f>
        <v>SxR/RPE 9</v>
      </c>
      <c r="O41" s="522" t="s">
        <v>880</v>
      </c>
      <c r="P41" s="523"/>
      <c r="Q41" s="520" t="str">
        <f>L41</f>
        <v>GEWICHT</v>
      </c>
      <c r="R41" s="521" t="s">
        <v>9</v>
      </c>
      <c r="S41" s="521" t="str">
        <f>I41</f>
        <v>SxR/RPE 9</v>
      </c>
      <c r="T41" s="522" t="s">
        <v>880</v>
      </c>
    </row>
    <row r="42" spans="2:20" s="1" customFormat="1" ht="19.899999999999999" customHeight="1" x14ac:dyDescent="0.25">
      <c r="B42" s="9">
        <v>13</v>
      </c>
      <c r="C42" s="560" t="s">
        <v>208</v>
      </c>
      <c r="D42" s="560"/>
      <c r="E42" s="561"/>
      <c r="G42" s="21"/>
      <c r="H42" s="22" t="s">
        <v>900</v>
      </c>
      <c r="I42" s="22" t="s">
        <v>715</v>
      </c>
      <c r="J42" s="23"/>
      <c r="L42" s="21"/>
      <c r="M42" s="22" t="str">
        <f>H42</f>
        <v>ISO</v>
      </c>
      <c r="N42" s="22" t="str">
        <f>I42</f>
        <v>3x10s ea</v>
      </c>
      <c r="O42" s="23"/>
      <c r="Q42" s="21"/>
      <c r="R42" s="22" t="str">
        <f>H42</f>
        <v>ISO</v>
      </c>
      <c r="S42" s="22" t="str">
        <f>N42</f>
        <v>3x10s ea</v>
      </c>
      <c r="T42" s="23"/>
    </row>
    <row r="43" spans="2:20" s="1" customFormat="1" ht="19.899999999999999" customHeight="1" x14ac:dyDescent="0.25">
      <c r="B43" s="3">
        <v>14</v>
      </c>
      <c r="C43" s="567" t="s">
        <v>515</v>
      </c>
      <c r="D43" s="567"/>
      <c r="E43" s="568"/>
      <c r="G43" s="27"/>
      <c r="H43" s="28" t="s">
        <v>900</v>
      </c>
      <c r="I43" s="28" t="s">
        <v>715</v>
      </c>
      <c r="J43" s="29"/>
      <c r="L43" s="27"/>
      <c r="M43" s="28" t="str">
        <f>H43</f>
        <v>ISO</v>
      </c>
      <c r="N43" s="28" t="str">
        <f>I43</f>
        <v>3x10s ea</v>
      </c>
      <c r="O43" s="29"/>
      <c r="Q43" s="27"/>
      <c r="R43" s="28" t="str">
        <f>H43</f>
        <v>ISO</v>
      </c>
      <c r="S43" s="28" t="str">
        <f>N43</f>
        <v>3x10s ea</v>
      </c>
      <c r="T43" s="29"/>
    </row>
    <row r="44" spans="2:20" s="1" customFormat="1" ht="19.899999999999999" customHeight="1" thickBot="1" x14ac:dyDescent="0.3">
      <c r="B44" s="4">
        <v>15</v>
      </c>
      <c r="C44" s="571" t="s">
        <v>353</v>
      </c>
      <c r="D44" s="571"/>
      <c r="E44" s="572"/>
      <c r="F44" s="66"/>
      <c r="G44" s="24"/>
      <c r="H44" s="25" t="s">
        <v>900</v>
      </c>
      <c r="I44" s="25" t="s">
        <v>715</v>
      </c>
      <c r="J44" s="26"/>
      <c r="K44" s="66"/>
      <c r="L44" s="24"/>
      <c r="M44" s="25" t="str">
        <f>H44</f>
        <v>ISO</v>
      </c>
      <c r="N44" s="25" t="str">
        <f>I44</f>
        <v>3x10s ea</v>
      </c>
      <c r="O44" s="26"/>
      <c r="P44" s="66"/>
      <c r="Q44" s="24"/>
      <c r="R44" s="25" t="str">
        <f>H44</f>
        <v>ISO</v>
      </c>
      <c r="S44" s="25" t="str">
        <f>N44</f>
        <v>3x10s ea</v>
      </c>
      <c r="T44" s="26"/>
    </row>
  </sheetData>
  <mergeCells count="43">
    <mergeCell ref="B14:T14"/>
    <mergeCell ref="O2:T7"/>
    <mergeCell ref="M10:N10"/>
    <mergeCell ref="B12:T12"/>
    <mergeCell ref="B13:D13"/>
    <mergeCell ref="E13:F13"/>
    <mergeCell ref="G13:I13"/>
    <mergeCell ref="J13:M13"/>
    <mergeCell ref="N13:Q13"/>
    <mergeCell ref="R13:T13"/>
    <mergeCell ref="B18:E18"/>
    <mergeCell ref="B15:D15"/>
    <mergeCell ref="E15:F15"/>
    <mergeCell ref="G15:I15"/>
    <mergeCell ref="J15:M15"/>
    <mergeCell ref="B16:E17"/>
    <mergeCell ref="G16:T16"/>
    <mergeCell ref="H17:I17"/>
    <mergeCell ref="M17:N17"/>
    <mergeCell ref="R17:S17"/>
    <mergeCell ref="N15:Q15"/>
    <mergeCell ref="R15:T15"/>
    <mergeCell ref="C19:E19"/>
    <mergeCell ref="C20:E20"/>
    <mergeCell ref="C21:E21"/>
    <mergeCell ref="B23:E23"/>
    <mergeCell ref="C24:E24"/>
    <mergeCell ref="B41:E41"/>
    <mergeCell ref="C42:E42"/>
    <mergeCell ref="C43:E43"/>
    <mergeCell ref="C44:E44"/>
    <mergeCell ref="C25:E25"/>
    <mergeCell ref="C39:E39"/>
    <mergeCell ref="C26:E26"/>
    <mergeCell ref="C28:E28"/>
    <mergeCell ref="C29:E29"/>
    <mergeCell ref="C30:E30"/>
    <mergeCell ref="B32:E32"/>
    <mergeCell ref="C33:E33"/>
    <mergeCell ref="C34:E34"/>
    <mergeCell ref="C35:E35"/>
    <mergeCell ref="C37:E37"/>
    <mergeCell ref="C38:E38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F3830EB3-5AF4-4CCC-9CB6-FE9271378614}">
          <x14:formula1>
            <xm:f>' Unterkörper Progressionen '!$Z$2:$Z$17</xm:f>
          </x14:formula1>
          <xm:sqref>N29 S38 S34 N34 N38 S29</xm:sqref>
        </x14:dataValidation>
        <x14:dataValidation type="list" allowBlank="1" showInputMessage="1" showErrorMessage="1" xr:uid="{43165B30-7CE0-4AF9-ABBE-ECF9AFF2887F}">
          <x14:formula1>
            <xm:f>'Oberkörper Progressionen '!$C:$C</xm:f>
          </x14:formula1>
          <xm:sqref>C20:E20</xm:sqref>
        </x14:dataValidation>
        <x14:dataValidation type="list" allowBlank="1" showInputMessage="1" showErrorMessage="1" xr:uid="{50ECCE4C-520A-4EDB-A37E-B0D0DB596F59}">
          <x14:formula1>
            <xm:f>'Oberkörper Progressionen '!$D:$D</xm:f>
          </x14:formula1>
          <xm:sqref>C21:E21</xm:sqref>
        </x14:dataValidation>
        <x14:dataValidation type="list" allowBlank="1" showInputMessage="1" showErrorMessage="1" xr:uid="{62AE5183-4F87-49E7-9E7B-793590F2FDBE}">
          <x14:formula1>
            <xm:f>'Oberkörper Progressionen '!$Q:$Q</xm:f>
          </x14:formula1>
          <xm:sqref>C43:E43</xm:sqref>
        </x14:dataValidation>
        <x14:dataValidation type="list" allowBlank="1" showInputMessage="1" showErrorMessage="1" xr:uid="{9D2D1C7B-679F-4CB4-83EC-D75F82E0379E}">
          <x14:formula1>
            <xm:f>'Oberkörper Progressionen '!$B:$B</xm:f>
          </x14:formula1>
          <xm:sqref>C19:E19</xm:sqref>
        </x14:dataValidation>
        <x14:dataValidation type="list" allowBlank="1" showInputMessage="1" showErrorMessage="1" xr:uid="{1E7CD194-8392-4869-97D0-181DB0B5CF5C}">
          <x14:formula1>
            <xm:f>'Oberkörper Progressionen '!$E:$E</xm:f>
          </x14:formula1>
          <xm:sqref>C24:E24</xm:sqref>
        </x14:dataValidation>
        <x14:dataValidation type="list" allowBlank="1" showInputMessage="1" showErrorMessage="1" xr:uid="{4D3428E1-625E-4180-B82C-464F4E09AB4F}">
          <x14:formula1>
            <xm:f>'Oberkörper Progressionen '!$F:$F</xm:f>
          </x14:formula1>
          <xm:sqref>C25:E25</xm:sqref>
        </x14:dataValidation>
        <x14:dataValidation type="list" allowBlank="1" showInputMessage="1" showErrorMessage="1" xr:uid="{9BF25ED2-B105-4128-A39D-FD5D63D07B1B}">
          <x14:formula1>
            <xm:f>'Oberkörper Progressionen '!$N:$N</xm:f>
          </x14:formula1>
          <xm:sqref>C26:E26</xm:sqref>
        </x14:dataValidation>
        <x14:dataValidation type="list" allowBlank="1" showInputMessage="1" showErrorMessage="1" xr:uid="{F3327A00-2A64-4FE0-89D5-28BDFC15A6EE}">
          <x14:formula1>
            <xm:f>'Oberkörper Progressionen '!$H:$H</xm:f>
          </x14:formula1>
          <xm:sqref>C28:E28</xm:sqref>
        </x14:dataValidation>
        <x14:dataValidation type="list" allowBlank="1" showInputMessage="1" showErrorMessage="1" xr:uid="{18748B77-D716-411D-9924-3049114EF401}">
          <x14:formula1>
            <xm:f>'Oberkörper Progressionen '!$I:$I</xm:f>
          </x14:formula1>
          <xm:sqref>C29:E29</xm:sqref>
        </x14:dataValidation>
        <x14:dataValidation type="list" allowBlank="1" showInputMessage="1" showErrorMessage="1" xr:uid="{E02EE730-57EB-4965-80EF-C13AE6AE01AC}">
          <x14:formula1>
            <xm:f>'Oberkörper Progressionen '!$G:$G</xm:f>
          </x14:formula1>
          <xm:sqref>C30:E31</xm:sqref>
        </x14:dataValidation>
        <x14:dataValidation type="list" allowBlank="1" showInputMessage="1" showErrorMessage="1" xr:uid="{DC79AC9A-003F-4D72-BD9A-D4F2F0FB2FCB}">
          <x14:formula1>
            <xm:f>'Oberkörper Progressionen '!$L:$L</xm:f>
          </x14:formula1>
          <xm:sqref>C33:E33</xm:sqref>
        </x14:dataValidation>
        <x14:dataValidation type="list" allowBlank="1" showInputMessage="1" showErrorMessage="1" xr:uid="{7D047BDB-B697-43D5-9AF5-86A4A4A0D007}">
          <x14:formula1>
            <xm:f>'Oberkörper Progressionen '!$M:$M</xm:f>
          </x14:formula1>
          <xm:sqref>C34:E34</xm:sqref>
        </x14:dataValidation>
        <x14:dataValidation type="list" allowBlank="1" showInputMessage="1" showErrorMessage="1" xr:uid="{70EDB14C-D5B7-42D0-931B-F603766BA0D7}">
          <x14:formula1>
            <xm:f>'Oberkörper Progressionen '!$J:$J</xm:f>
          </x14:formula1>
          <xm:sqref>C35:E35</xm:sqref>
        </x14:dataValidation>
        <x14:dataValidation type="list" allowBlank="1" showInputMessage="1" showErrorMessage="1" xr:uid="{D2248277-F34F-4100-A467-DDBF4F59DB50}">
          <x14:formula1>
            <xm:f>'Oberkörper Progressionen '!$O:$O</xm:f>
          </x14:formula1>
          <xm:sqref>C37:E37</xm:sqref>
        </x14:dataValidation>
        <x14:dataValidation type="list" allowBlank="1" showInputMessage="1" showErrorMessage="1" xr:uid="{97FE67DB-6517-420F-942D-6C1AAB097338}">
          <x14:formula1>
            <xm:f>'Oberkörper Progressionen '!$P:$P</xm:f>
          </x14:formula1>
          <xm:sqref>C38:E38</xm:sqref>
        </x14:dataValidation>
        <x14:dataValidation type="list" allowBlank="1" showInputMessage="1" showErrorMessage="1" xr:uid="{D3823DD1-3458-4DE8-B8CD-D4D482431DF6}">
          <x14:formula1>
            <xm:f>'Oberkörper Progressionen '!$K:$K</xm:f>
          </x14:formula1>
          <xm:sqref>C39:E40</xm:sqref>
        </x14:dataValidation>
        <x14:dataValidation type="list" allowBlank="1" showInputMessage="1" showErrorMessage="1" xr:uid="{FDC24450-A562-4770-9C4B-9C8D39BF964E}">
          <x14:formula1>
            <xm:f>'Oberkörper Progressionen '!$R:$R</xm:f>
          </x14:formula1>
          <xm:sqref>C42:E42</xm:sqref>
        </x14:dataValidation>
        <x14:dataValidation type="list" allowBlank="1" showInputMessage="1" showErrorMessage="1" xr:uid="{A87540A2-FE46-4836-A0B9-C23F19CC3367}">
          <x14:formula1>
            <xm:f>'Oberkörper Progressionen '!$S:$S</xm:f>
          </x14:formula1>
          <xm:sqref>C44:E44</xm:sqref>
        </x14:dataValidation>
        <x14:dataValidation type="list" allowBlank="1" showInputMessage="1" showErrorMessage="1" xr:uid="{6F045E36-DF78-4A4F-ACDC-C6649890A38E}">
          <x14:formula1>
            <xm:f>' Unterkörper Progressionen '!$Z:$Z</xm:f>
          </x14:formula1>
          <xm:sqref>I42:I44 I24:I25 I28:I31 I33:I35 I37:I40</xm:sqref>
        </x14:dataValidation>
        <x14:dataValidation type="list" allowBlank="1" showInputMessage="1" showErrorMessage="1" xr:uid="{E51C5733-96AF-47F5-B743-74CD68DB3F13}">
          <x14:formula1>
            <xm:f>' Unterkörper Progressionen '!$AA:$AA</xm:f>
          </x14:formula1>
          <xm:sqref>J20:J21</xm:sqref>
        </x14:dataValidation>
        <x14:dataValidation type="list" allowBlank="1" showInputMessage="1" showErrorMessage="1" xr:uid="{4F6C8AE4-A68C-4BC6-BC55-9FF37696A487}">
          <x14:formula1>
            <xm:f>' Unterkörper Progressionen '!$AC:$AC</xm:f>
          </x14:formula1>
          <xm:sqref>S32 S23 I23 N23 S41 N41 I41 I32 N32</xm:sqref>
        </x14:dataValidation>
        <x14:dataValidation type="list" allowBlank="1" showInputMessage="1" showErrorMessage="1" xr:uid="{E6171298-9DD1-4721-B181-48D3D436D33B}">
          <x14:formula1>
            <xm:f>' Unterkörper Progressionen '!$AB:$AB</xm:f>
          </x14:formula1>
          <xm:sqref>H19:H21 H42:H44 H37:H39 H33:H35 H28:H30 H24:H26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841A-8436-4929-89CE-33777BCD0F7F}">
  <sheetPr>
    <pageSetUpPr fitToPage="1"/>
  </sheetPr>
  <dimension ref="B1:X54"/>
  <sheetViews>
    <sheetView zoomScaleNormal="100" workbookViewId="0">
      <selection activeCell="C27" sqref="C27:E27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  <c r="V2" s="2"/>
      <c r="W2" s="2"/>
    </row>
    <row r="3" spans="2:23" x14ac:dyDescent="0.25">
      <c r="B3" s="7"/>
      <c r="C3" s="60" t="s">
        <v>861</v>
      </c>
      <c r="O3" s="567"/>
      <c r="P3" s="567"/>
      <c r="Q3" s="567"/>
      <c r="R3" s="567"/>
      <c r="S3" s="567"/>
      <c r="T3" s="568"/>
      <c r="U3" s="2"/>
      <c r="V3" s="2"/>
      <c r="W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  <c r="V4" s="2"/>
      <c r="W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  <c r="V5" s="2"/>
      <c r="W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  <c r="V6" s="2"/>
      <c r="W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  <c r="V7" s="2"/>
      <c r="W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  <c r="V8" s="2"/>
      <c r="W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  <c r="V9" s="2"/>
      <c r="W9" s="2"/>
    </row>
    <row r="10" spans="2:23" ht="16.5" hidden="1" thickBot="1" x14ac:dyDescent="0.3">
      <c r="B10" s="7"/>
      <c r="C10" t="s">
        <v>2</v>
      </c>
      <c r="E10" s="602" t="s">
        <v>3</v>
      </c>
      <c r="F10" s="602"/>
      <c r="G10" s="602"/>
      <c r="I10" s="602" t="s">
        <v>4</v>
      </c>
      <c r="J10" s="602"/>
      <c r="K10" s="602"/>
      <c r="L10" s="602"/>
      <c r="N10" t="s">
        <v>5</v>
      </c>
      <c r="Q10" t="s">
        <v>6</v>
      </c>
      <c r="S10" t="s">
        <v>710</v>
      </c>
      <c r="T10" s="63"/>
    </row>
    <row r="11" spans="2:23" ht="16.5" hidden="1" thickBot="1" x14ac:dyDescent="0.3"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2:23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">
        <v>192</v>
      </c>
      <c r="C13" s="631"/>
      <c r="D13" s="631"/>
      <c r="E13" s="633" t="s">
        <v>331</v>
      </c>
      <c r="F13" s="634"/>
      <c r="G13" s="631" t="s">
        <v>149</v>
      </c>
      <c r="H13" s="631"/>
      <c r="I13" s="631"/>
      <c r="J13" s="631" t="s">
        <v>695</v>
      </c>
      <c r="K13" s="631"/>
      <c r="L13" s="631"/>
      <c r="M13" s="631"/>
      <c r="N13" s="631" t="s">
        <v>692</v>
      </c>
      <c r="O13" s="631"/>
      <c r="P13" s="631"/>
      <c r="Q13" s="631"/>
      <c r="R13" s="631" t="s">
        <v>349</v>
      </c>
      <c r="S13" s="631"/>
      <c r="T13" s="632"/>
    </row>
    <row r="14" spans="2:23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3" s="34" customFormat="1" ht="20.100000000000001" customHeight="1" thickBot="1" x14ac:dyDescent="0.3">
      <c r="B15" s="585" t="s">
        <v>683</v>
      </c>
      <c r="C15" s="553"/>
      <c r="D15" s="553"/>
      <c r="E15" s="653" t="s">
        <v>746</v>
      </c>
      <c r="F15" s="654"/>
      <c r="G15" s="553" t="s">
        <v>664</v>
      </c>
      <c r="H15" s="553"/>
      <c r="I15" s="553"/>
      <c r="J15" s="553" t="s">
        <v>672</v>
      </c>
      <c r="K15" s="553"/>
      <c r="L15" s="553"/>
      <c r="M15" s="553"/>
      <c r="N15" s="553" t="s">
        <v>64</v>
      </c>
      <c r="O15" s="553"/>
      <c r="P15" s="553"/>
      <c r="Q15" s="553"/>
      <c r="R15" s="553" t="s">
        <v>156</v>
      </c>
      <c r="S15" s="553"/>
      <c r="T15" s="556"/>
    </row>
    <row r="16" spans="2:23" ht="4.9000000000000004" hidden="1" customHeight="1" thickBot="1" x14ac:dyDescent="0.3"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2:24" ht="18" customHeight="1" thickBot="1" x14ac:dyDescent="0.3">
      <c r="B17" s="619" t="s">
        <v>374</v>
      </c>
      <c r="C17" s="620"/>
      <c r="D17" s="620"/>
      <c r="E17" s="621"/>
      <c r="F17" s="310"/>
      <c r="G17" s="589" t="s">
        <v>116</v>
      </c>
      <c r="H17" s="590"/>
      <c r="I17" s="590"/>
      <c r="J17" s="590"/>
      <c r="K17" s="590"/>
      <c r="L17" s="590"/>
      <c r="M17" s="590"/>
      <c r="N17" s="590"/>
      <c r="O17" s="590"/>
      <c r="P17" s="590"/>
      <c r="Q17" s="590"/>
      <c r="R17" s="590"/>
      <c r="S17" s="590"/>
      <c r="T17" s="591"/>
    </row>
    <row r="18" spans="2:24" ht="21.6" customHeight="1" thickBot="1" x14ac:dyDescent="0.3">
      <c r="B18" s="622"/>
      <c r="C18" s="623"/>
      <c r="D18" s="623"/>
      <c r="E18" s="624"/>
      <c r="F18" s="1"/>
      <c r="G18" s="70" t="s">
        <v>865</v>
      </c>
      <c r="H18" s="582" t="s">
        <v>877</v>
      </c>
      <c r="I18" s="583"/>
      <c r="J18" s="71" t="s">
        <v>866</v>
      </c>
      <c r="K18" s="64"/>
      <c r="L18" s="70" t="s">
        <v>867</v>
      </c>
      <c r="M18" s="582" t="s">
        <v>878</v>
      </c>
      <c r="N18" s="583"/>
      <c r="O18" s="71" t="s">
        <v>868</v>
      </c>
      <c r="P18" s="64"/>
      <c r="Q18" s="70" t="s">
        <v>869</v>
      </c>
      <c r="R18" s="595" t="s">
        <v>879</v>
      </c>
      <c r="S18" s="596"/>
      <c r="T18" s="71" t="s">
        <v>870</v>
      </c>
      <c r="W18" s="36"/>
      <c r="X18" s="1"/>
    </row>
    <row r="19" spans="2:24" ht="18" customHeight="1" thickBot="1" x14ac:dyDescent="0.3">
      <c r="B19" s="650" t="s">
        <v>881</v>
      </c>
      <c r="C19" s="651"/>
      <c r="D19" s="651"/>
      <c r="E19" s="652"/>
      <c r="F19" s="72"/>
      <c r="G19" s="529" t="s">
        <v>880</v>
      </c>
      <c r="H19" s="530" t="s">
        <v>9</v>
      </c>
      <c r="I19" s="530" t="s">
        <v>11</v>
      </c>
      <c r="J19" s="531" t="s">
        <v>880</v>
      </c>
      <c r="K19" s="1"/>
      <c r="L19" s="529" t="s">
        <v>9</v>
      </c>
      <c r="M19" s="530" t="s">
        <v>10</v>
      </c>
      <c r="N19" s="530" t="s">
        <v>11</v>
      </c>
      <c r="O19" s="531" t="s">
        <v>880</v>
      </c>
      <c r="P19" s="1"/>
      <c r="Q19" s="532" t="s">
        <v>9</v>
      </c>
      <c r="R19" s="533" t="s">
        <v>10</v>
      </c>
      <c r="S19" s="533" t="s">
        <v>11</v>
      </c>
      <c r="T19" s="534" t="s">
        <v>880</v>
      </c>
      <c r="W19" s="37"/>
      <c r="X19" s="1"/>
    </row>
    <row r="20" spans="2:24" s="1" customFormat="1" ht="19.899999999999999" customHeight="1" x14ac:dyDescent="0.25">
      <c r="B20" s="9">
        <v>1</v>
      </c>
      <c r="C20" s="560" t="s">
        <v>819</v>
      </c>
      <c r="D20" s="560"/>
      <c r="E20" s="561"/>
      <c r="G20" s="18"/>
      <c r="H20" s="22" t="s">
        <v>12</v>
      </c>
      <c r="I20" s="19" t="s">
        <v>14</v>
      </c>
      <c r="J20" s="20" t="s">
        <v>16</v>
      </c>
      <c r="L20" s="18" t="s">
        <v>12</v>
      </c>
      <c r="M20" s="19"/>
      <c r="N20" s="19" t="s">
        <v>14</v>
      </c>
      <c r="O20" s="20" t="s">
        <v>16</v>
      </c>
      <c r="Q20" s="43" t="s">
        <v>12</v>
      </c>
      <c r="R20" s="44"/>
      <c r="S20" s="44" t="s">
        <v>14</v>
      </c>
      <c r="T20" s="45" t="s">
        <v>16</v>
      </c>
      <c r="W20" s="36"/>
    </row>
    <row r="21" spans="2:24" s="1" customFormat="1" ht="19.899999999999999" customHeight="1" x14ac:dyDescent="0.25">
      <c r="B21" s="3">
        <v>2</v>
      </c>
      <c r="C21" s="567" t="s">
        <v>857</v>
      </c>
      <c r="D21" s="567"/>
      <c r="E21" s="568"/>
      <c r="G21" s="67"/>
      <c r="H21" s="28" t="s">
        <v>12</v>
      </c>
      <c r="I21" s="68" t="s">
        <v>14</v>
      </c>
      <c r="J21" s="69"/>
      <c r="L21" s="67" t="s">
        <v>12</v>
      </c>
      <c r="M21" s="68"/>
      <c r="N21" s="68" t="s">
        <v>14</v>
      </c>
      <c r="O21" s="69"/>
      <c r="Q21" s="75" t="s">
        <v>12</v>
      </c>
      <c r="R21" s="76"/>
      <c r="S21" s="76" t="s">
        <v>14</v>
      </c>
      <c r="T21" s="77"/>
      <c r="W21" s="36"/>
    </row>
    <row r="22" spans="2:24" s="1" customFormat="1" ht="19.899999999999999" customHeight="1" thickBot="1" x14ac:dyDescent="0.3">
      <c r="B22" s="4">
        <v>3</v>
      </c>
      <c r="C22" s="565"/>
      <c r="D22" s="565"/>
      <c r="E22" s="566"/>
      <c r="G22" s="24"/>
      <c r="H22" s="25" t="s">
        <v>12</v>
      </c>
      <c r="I22" s="25" t="s">
        <v>14</v>
      </c>
      <c r="J22" s="26"/>
      <c r="L22" s="24" t="s">
        <v>12</v>
      </c>
      <c r="M22" s="25"/>
      <c r="N22" s="25" t="s">
        <v>14</v>
      </c>
      <c r="O22" s="26"/>
      <c r="Q22" s="46" t="s">
        <v>12</v>
      </c>
      <c r="R22" s="47"/>
      <c r="S22" s="47" t="s">
        <v>14</v>
      </c>
      <c r="T22" s="48"/>
    </row>
    <row r="23" spans="2:24" s="2" customFormat="1" ht="4.9000000000000004" customHeight="1" thickBot="1" x14ac:dyDescent="0.3">
      <c r="B23" s="73"/>
      <c r="G23" s="1"/>
      <c r="H23" s="1"/>
      <c r="Q23" s="49"/>
      <c r="R23" s="49"/>
      <c r="S23" s="49"/>
      <c r="T23" s="74"/>
      <c r="X23" s="1"/>
    </row>
    <row r="24" spans="2:24" s="1" customFormat="1" ht="18" customHeight="1" thickBot="1" x14ac:dyDescent="0.3">
      <c r="B24" s="616" t="s">
        <v>882</v>
      </c>
      <c r="C24" s="617"/>
      <c r="D24" s="617"/>
      <c r="E24" s="618"/>
      <c r="G24" s="511" t="s">
        <v>880</v>
      </c>
      <c r="H24" s="512" t="s">
        <v>9</v>
      </c>
      <c r="I24" s="512" t="s">
        <v>897</v>
      </c>
      <c r="J24" s="513" t="s">
        <v>880</v>
      </c>
      <c r="L24" s="511" t="str">
        <f>G24</f>
        <v>GEWICHT</v>
      </c>
      <c r="M24" s="512" t="s">
        <v>9</v>
      </c>
      <c r="N24" s="512" t="str">
        <f>I24</f>
        <v>SxR/RPE 8-9</v>
      </c>
      <c r="O24" s="513" t="s">
        <v>880</v>
      </c>
      <c r="Q24" s="514" t="str">
        <f>L24</f>
        <v>GEWICHT</v>
      </c>
      <c r="R24" s="515" t="s">
        <v>9</v>
      </c>
      <c r="S24" s="512" t="str">
        <f>I24</f>
        <v>SxR/RPE 8-9</v>
      </c>
      <c r="T24" s="516" t="s">
        <v>880</v>
      </c>
    </row>
    <row r="25" spans="2:24" s="1" customFormat="1" ht="19.899999999999999" customHeight="1" x14ac:dyDescent="0.25">
      <c r="B25" s="9">
        <v>1</v>
      </c>
      <c r="C25" s="560" t="s">
        <v>904</v>
      </c>
      <c r="D25" s="560"/>
      <c r="E25" s="561"/>
      <c r="G25" s="21"/>
      <c r="H25" s="22" t="s">
        <v>893</v>
      </c>
      <c r="I25" s="28" t="s">
        <v>841</v>
      </c>
      <c r="J25" s="23"/>
      <c r="L25" s="21"/>
      <c r="M25" s="22" t="str">
        <f t="shared" ref="M25:M26" si="0">H25</f>
        <v>3-0-X-0</v>
      </c>
      <c r="N25" s="22" t="str">
        <f>I25</f>
        <v>3-4x5</v>
      </c>
      <c r="O25" s="23"/>
      <c r="Q25" s="50"/>
      <c r="R25" s="52" t="str">
        <f t="shared" ref="R25:R26" si="1">M25</f>
        <v>3-0-X-0</v>
      </c>
      <c r="S25" s="52" t="str">
        <f>N25</f>
        <v>3-4x5</v>
      </c>
      <c r="T25" s="53"/>
    </row>
    <row r="26" spans="2:24" s="1" customFormat="1" ht="19.899999999999999" customHeight="1" x14ac:dyDescent="0.25">
      <c r="B26" s="3">
        <v>2</v>
      </c>
      <c r="C26" s="567" t="s">
        <v>701</v>
      </c>
      <c r="D26" s="567"/>
      <c r="E26" s="568"/>
      <c r="G26" s="27"/>
      <c r="H26" s="28" t="s">
        <v>913</v>
      </c>
      <c r="I26" s="28" t="s">
        <v>841</v>
      </c>
      <c r="J26" s="29"/>
      <c r="L26" s="27"/>
      <c r="M26" s="28" t="str">
        <f t="shared" si="0"/>
        <v>3-0-X-1</v>
      </c>
      <c r="N26" s="28" t="str">
        <f>I26</f>
        <v>3-4x5</v>
      </c>
      <c r="O26" s="29"/>
      <c r="Q26" s="54"/>
      <c r="R26" s="56" t="str">
        <f t="shared" si="1"/>
        <v>3-0-X-1</v>
      </c>
      <c r="S26" s="56" t="str">
        <f>N26</f>
        <v>3-4x5</v>
      </c>
      <c r="T26" s="57"/>
    </row>
    <row r="27" spans="2:24" s="1" customFormat="1" ht="19.899999999999999" customHeight="1" thickBot="1" x14ac:dyDescent="0.3">
      <c r="B27" s="4">
        <v>3</v>
      </c>
      <c r="C27" s="565" t="s">
        <v>655</v>
      </c>
      <c r="D27" s="565"/>
      <c r="E27" s="566"/>
      <c r="G27" s="24"/>
      <c r="H27" s="25" t="s">
        <v>900</v>
      </c>
      <c r="I27" s="25" t="s">
        <v>14</v>
      </c>
      <c r="J27" s="26"/>
      <c r="L27" s="24"/>
      <c r="M27" s="25" t="str">
        <f>H27</f>
        <v>ISO</v>
      </c>
      <c r="N27" s="25" t="str">
        <f>I27</f>
        <v>3x5</v>
      </c>
      <c r="O27" s="26"/>
      <c r="Q27" s="46"/>
      <c r="R27" s="47" t="str">
        <f>H27</f>
        <v>ISO</v>
      </c>
      <c r="S27" s="47" t="str">
        <f>N27</f>
        <v>3x5</v>
      </c>
      <c r="T27" s="48"/>
    </row>
    <row r="28" spans="2:24" s="2" customFormat="1" ht="4.9000000000000004" customHeight="1" thickBot="1" x14ac:dyDescent="0.3">
      <c r="B28" s="73"/>
      <c r="G28" s="1"/>
      <c r="H28" s="1"/>
      <c r="L28" s="1"/>
      <c r="M28" s="1"/>
      <c r="Q28" s="547"/>
      <c r="R28" s="547"/>
      <c r="S28" s="49"/>
      <c r="T28" s="74"/>
    </row>
    <row r="29" spans="2:24" s="1" customFormat="1" ht="19.899999999999999" customHeight="1" x14ac:dyDescent="0.25">
      <c r="B29" s="9">
        <v>4</v>
      </c>
      <c r="C29" s="560" t="s">
        <v>74</v>
      </c>
      <c r="D29" s="560"/>
      <c r="E29" s="561"/>
      <c r="G29" s="21"/>
      <c r="H29" s="22" t="s">
        <v>893</v>
      </c>
      <c r="I29" s="22" t="s">
        <v>841</v>
      </c>
      <c r="J29" s="23"/>
      <c r="L29" s="21"/>
      <c r="M29" s="22" t="str">
        <f t="shared" ref="M29:M30" si="2">H29</f>
        <v>3-0-X-0</v>
      </c>
      <c r="N29" s="22" t="str">
        <f>I29</f>
        <v>3-4x5</v>
      </c>
      <c r="O29" s="23"/>
      <c r="Q29" s="50"/>
      <c r="R29" s="52" t="str">
        <f>H29</f>
        <v>3-0-X-0</v>
      </c>
      <c r="S29" s="52" t="str">
        <f>N29</f>
        <v>3-4x5</v>
      </c>
      <c r="T29" s="53"/>
    </row>
    <row r="30" spans="2:24" s="1" customFormat="1" ht="19.899999999999999" customHeight="1" x14ac:dyDescent="0.25">
      <c r="B30" s="3">
        <v>5</v>
      </c>
      <c r="C30" s="567" t="s">
        <v>855</v>
      </c>
      <c r="D30" s="567"/>
      <c r="E30" s="568"/>
      <c r="G30" s="27"/>
      <c r="H30" s="28" t="s">
        <v>913</v>
      </c>
      <c r="I30" s="28" t="s">
        <v>841</v>
      </c>
      <c r="J30" s="29"/>
      <c r="L30" s="27"/>
      <c r="M30" s="28" t="str">
        <f t="shared" si="2"/>
        <v>3-0-X-1</v>
      </c>
      <c r="N30" s="28" t="str">
        <f>I30</f>
        <v>3-4x5</v>
      </c>
      <c r="O30" s="29"/>
      <c r="Q30" s="54"/>
      <c r="R30" s="56" t="str">
        <f>H29</f>
        <v>3-0-X-0</v>
      </c>
      <c r="S30" s="28" t="str">
        <f>N30</f>
        <v>3-4x5</v>
      </c>
      <c r="T30" s="57"/>
    </row>
    <row r="31" spans="2:24" s="1" customFormat="1" ht="19.899999999999999" customHeight="1" thickBot="1" x14ac:dyDescent="0.3">
      <c r="B31" s="4">
        <v>6</v>
      </c>
      <c r="C31" s="565" t="s">
        <v>83</v>
      </c>
      <c r="D31" s="565"/>
      <c r="E31" s="566"/>
      <c r="G31" s="24"/>
      <c r="H31" s="25" t="s">
        <v>900</v>
      </c>
      <c r="I31" s="25" t="s">
        <v>715</v>
      </c>
      <c r="J31" s="26"/>
      <c r="L31" s="24"/>
      <c r="M31" s="25" t="str">
        <f>H31</f>
        <v>ISO</v>
      </c>
      <c r="N31" s="25" t="str">
        <f>I31</f>
        <v>3x10s ea</v>
      </c>
      <c r="O31" s="26"/>
      <c r="Q31" s="46"/>
      <c r="R31" s="47" t="str">
        <f>H31</f>
        <v>ISO</v>
      </c>
      <c r="S31" s="47" t="str">
        <f>N31</f>
        <v>3x10s ea</v>
      </c>
      <c r="T31" s="48"/>
    </row>
    <row r="32" spans="2:24" s="1" customFormat="1" ht="5.0999999999999996" customHeight="1" thickBot="1" x14ac:dyDescent="0.3">
      <c r="B32" s="4"/>
      <c r="C32" s="66"/>
      <c r="D32" s="66"/>
      <c r="E32" s="113"/>
      <c r="G32" s="4"/>
      <c r="H32" s="66"/>
      <c r="I32" s="66"/>
      <c r="J32" s="66"/>
      <c r="L32" s="66"/>
      <c r="M32" s="66"/>
      <c r="N32" s="66"/>
      <c r="O32" s="66"/>
      <c r="Q32" s="115"/>
      <c r="R32" s="115"/>
      <c r="S32" s="115"/>
      <c r="T32" s="116"/>
    </row>
    <row r="33" spans="2:22" s="2" customFormat="1" ht="18" customHeight="1" thickBot="1" x14ac:dyDescent="0.3">
      <c r="B33" s="610" t="s">
        <v>883</v>
      </c>
      <c r="C33" s="611"/>
      <c r="D33" s="611"/>
      <c r="E33" s="612"/>
      <c r="F33" s="64"/>
      <c r="G33" s="541" t="s">
        <v>880</v>
      </c>
      <c r="H33" s="542" t="s">
        <v>9</v>
      </c>
      <c r="I33" s="542" t="s">
        <v>897</v>
      </c>
      <c r="J33" s="543" t="s">
        <v>880</v>
      </c>
      <c r="K33" s="1"/>
      <c r="L33" s="541" t="s">
        <v>880</v>
      </c>
      <c r="M33" s="542" t="s">
        <v>9</v>
      </c>
      <c r="N33" s="542" t="str">
        <f>I33</f>
        <v>SxR/RPE 8-9</v>
      </c>
      <c r="O33" s="543" t="s">
        <v>880</v>
      </c>
      <c r="P33" s="1"/>
      <c r="Q33" s="541" t="s">
        <v>880</v>
      </c>
      <c r="R33" s="542" t="s">
        <v>9</v>
      </c>
      <c r="S33" s="542" t="str">
        <f>I33</f>
        <v>SxR/RPE 8-9</v>
      </c>
      <c r="T33" s="543" t="s">
        <v>880</v>
      </c>
    </row>
    <row r="34" spans="2:22" s="1" customFormat="1" ht="19.899999999999999" customHeight="1" x14ac:dyDescent="0.25">
      <c r="B34" s="9">
        <v>7</v>
      </c>
      <c r="C34" s="560" t="s">
        <v>705</v>
      </c>
      <c r="D34" s="560"/>
      <c r="E34" s="561"/>
      <c r="G34" s="21"/>
      <c r="H34" s="22" t="s">
        <v>889</v>
      </c>
      <c r="I34" s="22" t="s">
        <v>14</v>
      </c>
      <c r="J34" s="23"/>
      <c r="L34" s="21"/>
      <c r="M34" s="22" t="str">
        <f t="shared" ref="M34:M36" si="3">H34</f>
        <v>3-1-1-1</v>
      </c>
      <c r="N34" s="22" t="str">
        <f>I34</f>
        <v>3x5</v>
      </c>
      <c r="O34" s="23"/>
      <c r="Q34" s="50"/>
      <c r="R34" s="52" t="str">
        <f>H34</f>
        <v>3-1-1-1</v>
      </c>
      <c r="S34" s="52" t="str">
        <f>I34</f>
        <v>3x5</v>
      </c>
      <c r="T34" s="53"/>
    </row>
    <row r="35" spans="2:22" s="1" customFormat="1" ht="19.899999999999999" customHeight="1" x14ac:dyDescent="0.25">
      <c r="B35" s="3">
        <v>8</v>
      </c>
      <c r="C35" s="567" t="s">
        <v>431</v>
      </c>
      <c r="D35" s="567"/>
      <c r="E35" s="568"/>
      <c r="G35" s="27"/>
      <c r="H35" s="28" t="s">
        <v>910</v>
      </c>
      <c r="I35" s="28" t="s">
        <v>754</v>
      </c>
      <c r="J35" s="29"/>
      <c r="L35" s="27"/>
      <c r="M35" s="28" t="str">
        <f t="shared" si="3"/>
        <v>2-2-2-2</v>
      </c>
      <c r="N35" s="28" t="str">
        <f>I35</f>
        <v>3x5 ea</v>
      </c>
      <c r="O35" s="29"/>
      <c r="Q35" s="54"/>
      <c r="R35" s="56" t="str">
        <f>H35</f>
        <v>2-2-2-2</v>
      </c>
      <c r="S35" s="28" t="str">
        <f>N35</f>
        <v>3x5 ea</v>
      </c>
      <c r="T35" s="57"/>
    </row>
    <row r="36" spans="2:22" s="1" customFormat="1" ht="19.899999999999999" customHeight="1" thickBot="1" x14ac:dyDescent="0.3">
      <c r="B36" s="4">
        <v>9</v>
      </c>
      <c r="C36" s="565" t="s">
        <v>768</v>
      </c>
      <c r="D36" s="565"/>
      <c r="E36" s="566"/>
      <c r="G36" s="24"/>
      <c r="H36" s="25" t="s">
        <v>900</v>
      </c>
      <c r="I36" s="25" t="s">
        <v>708</v>
      </c>
      <c r="J36" s="26"/>
      <c r="L36" s="24"/>
      <c r="M36" s="25" t="str">
        <f t="shared" si="3"/>
        <v>ISO</v>
      </c>
      <c r="N36" s="25" t="str">
        <f>I36</f>
        <v>3x8</v>
      </c>
      <c r="O36" s="26"/>
      <c r="Q36" s="46"/>
      <c r="R36" s="47" t="str">
        <f>H36</f>
        <v>ISO</v>
      </c>
      <c r="S36" s="47" t="str">
        <f>N36</f>
        <v>3x8</v>
      </c>
      <c r="T36" s="48"/>
    </row>
    <row r="37" spans="2:22" s="2" customFormat="1" ht="4.9000000000000004" customHeight="1" thickBot="1" x14ac:dyDescent="0.3">
      <c r="B37" s="73"/>
      <c r="G37" s="1"/>
      <c r="H37" s="1"/>
      <c r="L37" s="1"/>
      <c r="M37" s="1"/>
      <c r="Q37" s="547"/>
      <c r="R37" s="547"/>
      <c r="S37" s="49"/>
      <c r="T37" s="74"/>
    </row>
    <row r="38" spans="2:22" s="1" customFormat="1" ht="19.899999999999999" customHeight="1" x14ac:dyDescent="0.25">
      <c r="B38" s="9">
        <v>10</v>
      </c>
      <c r="C38" s="560" t="s">
        <v>825</v>
      </c>
      <c r="D38" s="560"/>
      <c r="E38" s="561"/>
      <c r="G38" s="21"/>
      <c r="H38" s="22" t="s">
        <v>889</v>
      </c>
      <c r="I38" s="22" t="s">
        <v>710</v>
      </c>
      <c r="J38" s="23"/>
      <c r="L38" s="21"/>
      <c r="M38" s="22" t="str">
        <f t="shared" ref="M38:M40" si="4">H38</f>
        <v>3-1-1-1</v>
      </c>
      <c r="N38" s="22" t="str">
        <f>I38</f>
        <v>2x12</v>
      </c>
      <c r="O38" s="23"/>
      <c r="Q38" s="21"/>
      <c r="R38" s="22" t="str">
        <f>H38</f>
        <v>3-1-1-1</v>
      </c>
      <c r="S38" s="52" t="str">
        <f>N38</f>
        <v>2x12</v>
      </c>
      <c r="T38" s="23"/>
    </row>
    <row r="39" spans="2:22" s="1" customFormat="1" ht="19.899999999999999" customHeight="1" x14ac:dyDescent="0.25">
      <c r="B39" s="3">
        <v>11</v>
      </c>
      <c r="C39" s="567" t="s">
        <v>425</v>
      </c>
      <c r="D39" s="567"/>
      <c r="E39" s="568"/>
      <c r="G39" s="27"/>
      <c r="H39" s="28" t="s">
        <v>900</v>
      </c>
      <c r="I39" s="28" t="s">
        <v>715</v>
      </c>
      <c r="J39" s="29"/>
      <c r="L39" s="27"/>
      <c r="M39" s="28" t="str">
        <f t="shared" si="4"/>
        <v>ISO</v>
      </c>
      <c r="N39" s="28" t="str">
        <f>I39</f>
        <v>3x10s ea</v>
      </c>
      <c r="O39" s="29"/>
      <c r="Q39" s="27"/>
      <c r="R39" s="28" t="str">
        <f>H39</f>
        <v>ISO</v>
      </c>
      <c r="S39" s="28" t="str">
        <f>N39</f>
        <v>3x10s ea</v>
      </c>
      <c r="T39" s="29"/>
    </row>
    <row r="40" spans="2:22" s="1" customFormat="1" ht="19.899999999999999" customHeight="1" thickBot="1" x14ac:dyDescent="0.3">
      <c r="B40" s="4">
        <v>12</v>
      </c>
      <c r="C40" s="565" t="s">
        <v>773</v>
      </c>
      <c r="D40" s="565"/>
      <c r="E40" s="566"/>
      <c r="G40" s="24"/>
      <c r="H40" s="25" t="s">
        <v>889</v>
      </c>
      <c r="I40" s="25" t="s">
        <v>710</v>
      </c>
      <c r="J40" s="26"/>
      <c r="L40" s="24"/>
      <c r="M40" s="25" t="str">
        <f t="shared" si="4"/>
        <v>3-1-1-1</v>
      </c>
      <c r="N40" s="25" t="str">
        <f>I40</f>
        <v>2x12</v>
      </c>
      <c r="O40" s="26"/>
      <c r="Q40" s="46"/>
      <c r="R40" s="47" t="str">
        <f>H40</f>
        <v>3-1-1-1</v>
      </c>
      <c r="S40" s="47" t="str">
        <f>N40</f>
        <v>2x12</v>
      </c>
      <c r="T40" s="48"/>
    </row>
    <row r="41" spans="2:22" s="1" customFormat="1" ht="5.0999999999999996" customHeight="1" thickBot="1" x14ac:dyDescent="0.3">
      <c r="B41" s="4"/>
      <c r="C41" s="66"/>
      <c r="D41" s="66"/>
      <c r="E41" s="113"/>
      <c r="G41" s="4"/>
      <c r="H41" s="66"/>
      <c r="I41" s="66"/>
      <c r="J41" s="66"/>
      <c r="L41" s="66"/>
      <c r="M41" s="66"/>
      <c r="N41" s="66"/>
      <c r="O41" s="66"/>
      <c r="Q41" s="115"/>
      <c r="R41" s="115"/>
      <c r="S41" s="115"/>
      <c r="T41" s="116"/>
    </row>
    <row r="42" spans="2:22" s="2" customFormat="1" ht="18" customHeight="1" thickBot="1" x14ac:dyDescent="0.3">
      <c r="B42" s="607" t="s">
        <v>875</v>
      </c>
      <c r="C42" s="608"/>
      <c r="D42" s="608"/>
      <c r="E42" s="609"/>
      <c r="F42" s="1"/>
      <c r="G42" s="549" t="s">
        <v>880</v>
      </c>
      <c r="H42" s="550" t="s">
        <v>9</v>
      </c>
      <c r="I42" s="550" t="s">
        <v>901</v>
      </c>
      <c r="J42" s="551" t="s">
        <v>880</v>
      </c>
      <c r="K42" s="523"/>
      <c r="L42" s="549" t="str">
        <f>G42</f>
        <v>GEWICHT</v>
      </c>
      <c r="M42" s="550" t="s">
        <v>9</v>
      </c>
      <c r="N42" s="550" t="str">
        <f>I42</f>
        <v>SxR/RPE 9</v>
      </c>
      <c r="O42" s="551" t="s">
        <v>880</v>
      </c>
      <c r="P42" s="547"/>
      <c r="Q42" s="549" t="str">
        <f>L42</f>
        <v>GEWICHT</v>
      </c>
      <c r="R42" s="550" t="s">
        <v>9</v>
      </c>
      <c r="S42" s="550" t="str">
        <f>I42</f>
        <v>SxR/RPE 9</v>
      </c>
      <c r="T42" s="551" t="s">
        <v>880</v>
      </c>
    </row>
    <row r="43" spans="2:22" s="1" customFormat="1" ht="19.899999999999999" customHeight="1" x14ac:dyDescent="0.25">
      <c r="B43" s="9">
        <v>13</v>
      </c>
      <c r="C43" s="560" t="s">
        <v>182</v>
      </c>
      <c r="D43" s="560"/>
      <c r="E43" s="561"/>
      <c r="G43" s="21"/>
      <c r="H43" s="22" t="s">
        <v>900</v>
      </c>
      <c r="I43" s="22" t="s">
        <v>717</v>
      </c>
      <c r="J43" s="23"/>
      <c r="L43" s="21"/>
      <c r="M43" s="22" t="str">
        <f>H43</f>
        <v>ISO</v>
      </c>
      <c r="N43" s="22" t="str">
        <f>I43</f>
        <v>6x5s ea</v>
      </c>
      <c r="O43" s="23"/>
      <c r="Q43" s="21"/>
      <c r="R43" s="22" t="str">
        <f>H43</f>
        <v>ISO</v>
      </c>
      <c r="S43" s="22" t="str">
        <f>N43</f>
        <v>6x5s ea</v>
      </c>
      <c r="T43" s="23"/>
    </row>
    <row r="44" spans="2:22" s="1" customFormat="1" ht="19.899999999999999" customHeight="1" x14ac:dyDescent="0.25">
      <c r="B44" s="3">
        <v>14</v>
      </c>
      <c r="C44" s="567" t="s">
        <v>36</v>
      </c>
      <c r="D44" s="567"/>
      <c r="E44" s="568"/>
      <c r="G44" s="27"/>
      <c r="H44" s="28" t="s">
        <v>900</v>
      </c>
      <c r="I44" s="28" t="s">
        <v>717</v>
      </c>
      <c r="J44" s="29"/>
      <c r="L44" s="27"/>
      <c r="M44" s="28" t="str">
        <f>H43</f>
        <v>ISO</v>
      </c>
      <c r="N44" s="28" t="str">
        <f>I44</f>
        <v>6x5s ea</v>
      </c>
      <c r="O44" s="29"/>
      <c r="Q44" s="27"/>
      <c r="R44" s="28" t="str">
        <f>H43</f>
        <v>ISO</v>
      </c>
      <c r="S44" s="28" t="str">
        <f>N44</f>
        <v>6x5s ea</v>
      </c>
      <c r="T44" s="29"/>
    </row>
    <row r="45" spans="2:22" s="1" customFormat="1" ht="19.899999999999999" customHeight="1" thickBot="1" x14ac:dyDescent="0.3">
      <c r="B45" s="4">
        <v>15</v>
      </c>
      <c r="C45" s="571" t="s">
        <v>339</v>
      </c>
      <c r="D45" s="571"/>
      <c r="E45" s="572"/>
      <c r="F45" s="66"/>
      <c r="G45" s="24"/>
      <c r="H45" s="25" t="s">
        <v>900</v>
      </c>
      <c r="I45" s="25" t="s">
        <v>717</v>
      </c>
      <c r="J45" s="26"/>
      <c r="K45" s="66"/>
      <c r="L45" s="24"/>
      <c r="M45" s="25" t="str">
        <f>H43</f>
        <v>ISO</v>
      </c>
      <c r="N45" s="25" t="str">
        <f>I45</f>
        <v>6x5s ea</v>
      </c>
      <c r="O45" s="26"/>
      <c r="P45" s="66"/>
      <c r="Q45" s="24"/>
      <c r="R45" s="25" t="str">
        <f>H43</f>
        <v>ISO</v>
      </c>
      <c r="S45" s="25" t="str">
        <f>N45</f>
        <v>6x5s ea</v>
      </c>
      <c r="T45" s="26"/>
    </row>
    <row r="46" spans="2:22" s="2" customFormat="1" ht="4.9000000000000004" customHeight="1" x14ac:dyDescent="0.25">
      <c r="Q46" s="49"/>
      <c r="R46" s="49"/>
      <c r="S46" s="49"/>
      <c r="T46" s="49"/>
    </row>
    <row r="47" spans="2:22" x14ac:dyDescent="0.25">
      <c r="V47" s="1"/>
    </row>
    <row r="48" spans="2:22" x14ac:dyDescent="0.25">
      <c r="V48" s="1"/>
    </row>
    <row r="49" spans="22:22" x14ac:dyDescent="0.25">
      <c r="V49" s="1"/>
    </row>
    <row r="50" spans="22:22" x14ac:dyDescent="0.25">
      <c r="V50" s="1"/>
    </row>
    <row r="51" spans="22:22" x14ac:dyDescent="0.25">
      <c r="V51" s="1"/>
    </row>
    <row r="52" spans="22:22" x14ac:dyDescent="0.25">
      <c r="V52" s="1"/>
    </row>
    <row r="53" spans="22:22" x14ac:dyDescent="0.25">
      <c r="V53" s="1"/>
    </row>
    <row r="54" spans="22:22" x14ac:dyDescent="0.25">
      <c r="V54" s="1"/>
    </row>
  </sheetData>
  <mergeCells count="44">
    <mergeCell ref="R15:T15"/>
    <mergeCell ref="O2:T7"/>
    <mergeCell ref="E10:G10"/>
    <mergeCell ref="I10:L10"/>
    <mergeCell ref="B12:T12"/>
    <mergeCell ref="B13:D13"/>
    <mergeCell ref="E13:F13"/>
    <mergeCell ref="G13:I13"/>
    <mergeCell ref="J13:M13"/>
    <mergeCell ref="N13:Q13"/>
    <mergeCell ref="R13:T13"/>
    <mergeCell ref="B15:D15"/>
    <mergeCell ref="E15:F15"/>
    <mergeCell ref="G15:I15"/>
    <mergeCell ref="J15:M15"/>
    <mergeCell ref="N15:Q15"/>
    <mergeCell ref="G17:T17"/>
    <mergeCell ref="H18:I18"/>
    <mergeCell ref="M18:N18"/>
    <mergeCell ref="C39:E39"/>
    <mergeCell ref="C40:E40"/>
    <mergeCell ref="C27:E27"/>
    <mergeCell ref="C29:E29"/>
    <mergeCell ref="C30:E30"/>
    <mergeCell ref="C31:E31"/>
    <mergeCell ref="B33:E33"/>
    <mergeCell ref="R18:S18"/>
    <mergeCell ref="B19:E19"/>
    <mergeCell ref="B42:E42"/>
    <mergeCell ref="C43:E43"/>
    <mergeCell ref="C44:E44"/>
    <mergeCell ref="C45:E45"/>
    <mergeCell ref="B14:T14"/>
    <mergeCell ref="C34:E34"/>
    <mergeCell ref="C35:E35"/>
    <mergeCell ref="C36:E36"/>
    <mergeCell ref="C38:E38"/>
    <mergeCell ref="C20:E20"/>
    <mergeCell ref="C21:E21"/>
    <mergeCell ref="C22:E22"/>
    <mergeCell ref="B24:E24"/>
    <mergeCell ref="C25:E25"/>
    <mergeCell ref="C26:E26"/>
    <mergeCell ref="B17:E18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showInputMessage="1" showErrorMessage="1" xr:uid="{B8491A6A-7D85-4E88-AA28-D42D23EDB335}">
          <x14:formula1>
            <xm:f>'BH1-2 Progressionen'!$L:$L</xm:f>
          </x14:formula1>
          <xm:sqref>N15</xm:sqref>
        </x14:dataValidation>
        <x14:dataValidation type="list" allowBlank="1" showInputMessage="1" showErrorMessage="1" xr:uid="{50ADC39E-0FD1-4A82-8C8B-68D23C03EA71}">
          <x14:formula1>
            <xm:f>'BH1-2 Progressionen'!$F:$F</xm:f>
          </x14:formula1>
          <xm:sqref>N13</xm:sqref>
        </x14:dataValidation>
        <x14:dataValidation type="list" allowBlank="1" showInputMessage="1" showErrorMessage="1" xr:uid="{090341E4-AA3A-46DD-9F87-D118622C411B}">
          <x14:formula1>
            <xm:f>'BH1-2 Progressionen'!$K:$K</xm:f>
          </x14:formula1>
          <xm:sqref>J15</xm:sqref>
        </x14:dataValidation>
        <x14:dataValidation type="list" allowBlank="1" showInputMessage="1" showErrorMessage="1" xr:uid="{EDB1E4CA-4F3A-4D57-BEAD-3F4AB4B8C674}">
          <x14:formula1>
            <xm:f>'BH1-2 Progressionen'!$E:$E</xm:f>
          </x14:formula1>
          <xm:sqref>J13</xm:sqref>
        </x14:dataValidation>
        <x14:dataValidation type="list" allowBlank="1" showInputMessage="1" showErrorMessage="1" xr:uid="{55A278FD-9D2D-4F38-904B-C75F9C7B26A0}">
          <x14:formula1>
            <xm:f>'BH1-2 Progressionen'!$J:$J</xm:f>
          </x14:formula1>
          <xm:sqref>G15</xm:sqref>
        </x14:dataValidation>
        <x14:dataValidation type="list" allowBlank="1" showInputMessage="1" showErrorMessage="1" xr:uid="{6CF96B4B-EA54-4957-9819-FB6A1C0CE736}">
          <x14:formula1>
            <xm:f>'BH1-2 Progressionen'!$D:$D</xm:f>
          </x14:formula1>
          <xm:sqref>G13</xm:sqref>
        </x14:dataValidation>
        <x14:dataValidation type="list" allowBlank="1" showInputMessage="1" showErrorMessage="1" xr:uid="{940B6D24-316C-4D27-97CD-B2CA56AD953E}">
          <x14:formula1>
            <xm:f>'BH1-2 Progressionen'!$M:$M</xm:f>
          </x14:formula1>
          <xm:sqref>R15:T15</xm:sqref>
        </x14:dataValidation>
        <x14:dataValidation type="list" allowBlank="1" showInputMessage="1" showErrorMessage="1" xr:uid="{F5D7D6E8-1107-4BEC-9D1B-1CF6E66EAD81}">
          <x14:formula1>
            <xm:f>'BH1-2 Progressionen'!$I:$I</xm:f>
          </x14:formula1>
          <xm:sqref>E15</xm:sqref>
        </x14:dataValidation>
        <x14:dataValidation type="list" allowBlank="1" showInputMessage="1" showErrorMessage="1" xr:uid="{36451DD2-2F82-49BB-A1E3-4B9088CA9AF9}">
          <x14:formula1>
            <xm:f>'BH1-2 Progressionen'!$H:$H</xm:f>
          </x14:formula1>
          <xm:sqref>B15:D15</xm:sqref>
        </x14:dataValidation>
        <x14:dataValidation type="list" allowBlank="1" showInputMessage="1" showErrorMessage="1" xr:uid="{2AB89233-D395-4CA5-A08F-C100550426AD}">
          <x14:formula1>
            <xm:f>'BH1-2 Progressionen'!$G:$G</xm:f>
          </x14:formula1>
          <xm:sqref>R13:T13</xm:sqref>
        </x14:dataValidation>
        <x14:dataValidation type="list" allowBlank="1" showInputMessage="1" showErrorMessage="1" xr:uid="{C366535D-C2C9-45B2-82DB-B1D7A3CDC314}">
          <x14:formula1>
            <xm:f>'BH1-2 Progressionen'!$C:$C</xm:f>
          </x14:formula1>
          <xm:sqref>E13</xm:sqref>
        </x14:dataValidation>
        <x14:dataValidation type="list" allowBlank="1" showInputMessage="1" showErrorMessage="1" xr:uid="{6421A543-8A4D-4184-AA5F-02A2AB9F7F8A}">
          <x14:formula1>
            <xm:f>'BH1-2 Progressionen'!$B:$B</xm:f>
          </x14:formula1>
          <xm:sqref>B13:D13</xm:sqref>
        </x14:dataValidation>
        <x14:dataValidation type="list" allowBlank="1" showInputMessage="1" showErrorMessage="1" xr:uid="{EC822891-7A0B-416C-89BD-B722A6A4739E}">
          <x14:formula1>
            <xm:f>'BH1-2 Progressionen'!$A:$A</xm:f>
          </x14:formula1>
          <xm:sqref>B17:E18</xm:sqref>
        </x14:dataValidation>
        <x14:dataValidation type="list" allowBlank="1" showInputMessage="1" showErrorMessage="1" xr:uid="{0522E4E9-CC3C-43C9-A0DB-BEBFAB7C5CB0}">
          <x14:formula1>
            <xm:f>' Unterkörper Progressionen '!$W:$W</xm:f>
          </x14:formula1>
          <xm:sqref>C45:E45</xm:sqref>
        </x14:dataValidation>
        <x14:dataValidation type="list" allowBlank="1" showInputMessage="1" showErrorMessage="1" xr:uid="{AF2B224E-DAC5-4F2A-92EA-6FC90AF16BE2}">
          <x14:formula1>
            <xm:f>' Unterkörper Progressionen '!$V:$V</xm:f>
          </x14:formula1>
          <xm:sqref>C44:E44</xm:sqref>
        </x14:dataValidation>
        <x14:dataValidation type="list" allowBlank="1" showInputMessage="1" showErrorMessage="1" xr:uid="{F11CD05C-E6AF-4B43-99D5-22880E04C884}">
          <x14:formula1>
            <xm:f>' Unterkörper Progressionen '!$U:$U</xm:f>
          </x14:formula1>
          <xm:sqref>C43:E43</xm:sqref>
        </x14:dataValidation>
        <x14:dataValidation type="list" allowBlank="1" showInputMessage="1" showErrorMessage="1" xr:uid="{D885F931-6BF1-412E-AE2B-BC2398E2035A}">
          <x14:formula1>
            <xm:f>' Unterkörper Progressionen '!$S:$S</xm:f>
          </x14:formula1>
          <xm:sqref>C40:E40</xm:sqref>
        </x14:dataValidation>
        <x14:dataValidation type="list" allowBlank="1" showInputMessage="1" showErrorMessage="1" xr:uid="{28162E89-4A49-466B-9EA8-DDB248CAF9F8}">
          <x14:formula1>
            <xm:f>' Unterkörper Progressionen '!$R:$R</xm:f>
          </x14:formula1>
          <xm:sqref>C39:E39</xm:sqref>
        </x14:dataValidation>
        <x14:dataValidation type="list" allowBlank="1" showInputMessage="1" showErrorMessage="1" xr:uid="{FE1BAE85-1B15-4519-B457-4F482903BC36}">
          <x14:formula1>
            <xm:f>' Unterkörper Progressionen '!$Q:$Q</xm:f>
          </x14:formula1>
          <xm:sqref>C38:E38</xm:sqref>
        </x14:dataValidation>
        <x14:dataValidation type="list" allowBlank="1" showInputMessage="1" showErrorMessage="1" xr:uid="{3803F2DC-93D4-4045-94C0-303D7EF4C163}">
          <x14:formula1>
            <xm:f>' Unterkörper Progressionen '!$P:$P</xm:f>
          </x14:formula1>
          <xm:sqref>C36:E36</xm:sqref>
        </x14:dataValidation>
        <x14:dataValidation type="list" allowBlank="1" showInputMessage="1" showErrorMessage="1" xr:uid="{FAA28798-7854-4DE9-ADFD-41932B0FB2DC}">
          <x14:formula1>
            <xm:f>' Unterkörper Progressionen '!$M:$M</xm:f>
          </x14:formula1>
          <xm:sqref>C35:E35</xm:sqref>
        </x14:dataValidation>
        <x14:dataValidation type="list" allowBlank="1" showInputMessage="1" showErrorMessage="1" xr:uid="{4673DF80-BD87-4E0B-8AF9-07E6E6EF72D5}">
          <x14:formula1>
            <xm:f>' Unterkörper Progressionen '!$L:$L</xm:f>
          </x14:formula1>
          <xm:sqref>C34:E34</xm:sqref>
        </x14:dataValidation>
        <x14:dataValidation type="list" allowBlank="1" showInputMessage="1" showErrorMessage="1" xr:uid="{0DFA6EE2-407B-4799-9F5C-679FA270E34F}">
          <x14:formula1>
            <xm:f>' Unterkörper Progressionen '!$J:$J</xm:f>
          </x14:formula1>
          <xm:sqref>C31:E31</xm:sqref>
        </x14:dataValidation>
        <x14:dataValidation type="list" allowBlank="1" showInputMessage="1" showErrorMessage="1" xr:uid="{42B4E858-41F4-4326-8569-C76A8043664A}">
          <x14:formula1>
            <xm:f>' Unterkörper Progressionen '!$I:$I</xm:f>
          </x14:formula1>
          <xm:sqref>C30:E30</xm:sqref>
        </x14:dataValidation>
        <x14:dataValidation type="list" allowBlank="1" showInputMessage="1" showErrorMessage="1" xr:uid="{6909CC3A-E482-42CE-8D23-F49C61BEC64D}">
          <x14:formula1>
            <xm:f>' Unterkörper Progressionen '!$H:$H</xm:f>
          </x14:formula1>
          <xm:sqref>C29:E29</xm:sqref>
        </x14:dataValidation>
        <x14:dataValidation type="list" allowBlank="1" showInputMessage="1" showErrorMessage="1" xr:uid="{2D1CF14C-424E-4BB5-8BF4-60CFD5EF830D}">
          <x14:formula1>
            <xm:f>' Unterkörper Progressionen '!$G:$G</xm:f>
          </x14:formula1>
          <xm:sqref>C27:E27</xm:sqref>
        </x14:dataValidation>
        <x14:dataValidation type="list" allowBlank="1" showInputMessage="1" showErrorMessage="1" xr:uid="{1D73F80E-3C76-4111-ADFA-679DEFAC2DF8}">
          <x14:formula1>
            <xm:f>' Unterkörper Progressionen '!$F:$F</xm:f>
          </x14:formula1>
          <xm:sqref>C26:E26</xm:sqref>
        </x14:dataValidation>
        <x14:dataValidation type="list" allowBlank="1" showInputMessage="1" showErrorMessage="1" xr:uid="{26AB3E9D-B4BC-494C-9E7C-4DC6D587249F}">
          <x14:formula1>
            <xm:f>' Unterkörper Progressionen '!$E:$E</xm:f>
          </x14:formula1>
          <xm:sqref>C25:E25</xm:sqref>
        </x14:dataValidation>
        <x14:dataValidation type="list" allowBlank="1" showInputMessage="1" showErrorMessage="1" xr:uid="{2F90517A-5D1E-4D0B-B35E-B6360214E585}">
          <x14:formula1>
            <xm:f>' Unterkörper Progressionen '!$D:$D</xm:f>
          </x14:formula1>
          <xm:sqref>C22:E22</xm:sqref>
        </x14:dataValidation>
        <x14:dataValidation type="list" allowBlank="1" showInputMessage="1" showErrorMessage="1" xr:uid="{53466BED-23B1-4A5B-865D-98D0EFA206C1}">
          <x14:formula1>
            <xm:f>' Unterkörper Progressionen '!$C:$C</xm:f>
          </x14:formula1>
          <xm:sqref>C21:E21</xm:sqref>
        </x14:dataValidation>
        <x14:dataValidation type="list" allowBlank="1" showInputMessage="1" showErrorMessage="1" xr:uid="{8CD35082-7175-4E28-B53D-DADA472D07D4}">
          <x14:formula1>
            <xm:f>' Unterkörper Progressionen '!$B:$B</xm:f>
          </x14:formula1>
          <xm:sqref>C20:E20</xm:sqref>
        </x14:dataValidation>
        <x14:dataValidation type="list" allowBlank="1" showInputMessage="1" showErrorMessage="1" xr:uid="{FDCCADDA-D38C-4EBC-B6F3-3FCCEF59DB74}">
          <x14:formula1>
            <xm:f>' Unterkörper Progressionen '!$AA:$AA</xm:f>
          </x14:formula1>
          <xm:sqref>J21:J23</xm:sqref>
        </x14:dataValidation>
        <x14:dataValidation type="list" allowBlank="1" showInputMessage="1" showErrorMessage="1" xr:uid="{57CA59C0-73FE-4E8D-8881-09C93A2F9C6B}">
          <x14:formula1>
            <xm:f>' Unterkörper Progressionen '!$Z:$Z</xm:f>
          </x14:formula1>
          <xm:sqref>I43:I45 I25:I27 I29:I32 I38:I41 I34:I36</xm:sqref>
        </x14:dataValidation>
        <x14:dataValidation type="list" allowBlank="1" showInputMessage="1" showErrorMessage="1" xr:uid="{538A51D8-22F8-4136-864F-2902C84E8859}">
          <x14:formula1>
            <xm:f>' Unterkörper Progressionen '!$AC:$AC</xm:f>
          </x14:formula1>
          <xm:sqref>S33 I24 S42 N42 I42 I33 N33</xm:sqref>
        </x14:dataValidation>
        <x14:dataValidation type="list" allowBlank="1" showInputMessage="1" showErrorMessage="1" xr:uid="{D0B08DC3-2759-4C2F-9FA8-D2F23D4844B9}">
          <x14:formula1>
            <xm:f>' Unterkörper Progressionen '!$AB:$AB</xm:f>
          </x14:formula1>
          <xm:sqref>H25:H27 H20:H22 H43:H45 H38:H40 H34:H36 H29:H31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CE81-AA8C-4EDA-B82B-98F7143C9286}">
  <sheetPr>
    <pageSetUpPr fitToPage="1"/>
  </sheetPr>
  <dimension ref="B1:W44"/>
  <sheetViews>
    <sheetView topLeftCell="A6" zoomScaleNormal="100" workbookViewId="0">
      <selection activeCell="C26" sqref="C26:E26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</row>
    <row r="10" spans="2:23" ht="16.5" hidden="1" thickBot="1" x14ac:dyDescent="0.3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s">
        <v>710</v>
      </c>
      <c r="T10" s="63"/>
    </row>
    <row r="11" spans="2:23" ht="16.5" hidden="1" thickBot="1" x14ac:dyDescent="0.3">
      <c r="B11" s="7"/>
      <c r="T11" s="63"/>
    </row>
    <row r="12" spans="2:23" s="1" customFormat="1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tr">
        <f>Unterkörper9!B13</f>
        <v>LOADED - TGU - 1/2-KN. TO STAND</v>
      </c>
      <c r="C13" s="631"/>
      <c r="D13" s="631"/>
      <c r="E13" s="633" t="str">
        <f>Unterkörper9!E13</f>
        <v>SIDEWAY CRAB CRAWL</v>
      </c>
      <c r="F13" s="634"/>
      <c r="G13" s="631" t="str">
        <f>Unterkörper9!G13</f>
        <v>SUITCASE/ RACK CROSS CARRY</v>
      </c>
      <c r="H13" s="631"/>
      <c r="I13" s="631"/>
      <c r="J13" s="631" t="str">
        <f>Unterkörper9!J13</f>
        <v>1-ARM 1KB OH SQUAT</v>
      </c>
      <c r="K13" s="631"/>
      <c r="L13" s="631"/>
      <c r="M13" s="631"/>
      <c r="N13" s="631" t="str">
        <f>Unterkörper9!N13</f>
        <v>1-ARM 1KB SUITCASE DEADLIFT</v>
      </c>
      <c r="O13" s="631"/>
      <c r="P13" s="631"/>
      <c r="Q13" s="631"/>
      <c r="R13" s="631" t="str">
        <f>Unterkörper9!R13</f>
        <v>1KB 1-LEG DEADLIFT</v>
      </c>
      <c r="S13" s="631"/>
      <c r="T13" s="632"/>
    </row>
    <row r="14" spans="2:23" s="34" customFormat="1" ht="20.100000000000001" customHeight="1" x14ac:dyDescent="0.25">
      <c r="B14" s="657" t="s">
        <v>860</v>
      </c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8"/>
      <c r="N14" s="658"/>
      <c r="O14" s="658"/>
      <c r="P14" s="658"/>
      <c r="Q14" s="658"/>
      <c r="R14" s="658"/>
      <c r="S14" s="658"/>
      <c r="T14" s="659"/>
    </row>
    <row r="15" spans="2:23" s="34" customFormat="1" ht="20.100000000000001" customHeight="1" thickBot="1" x14ac:dyDescent="0.3">
      <c r="B15" s="585" t="str">
        <f>Unterkörper9!B15</f>
        <v>LOADED ANKLE ROCKERS WIPERS</v>
      </c>
      <c r="C15" s="553"/>
      <c r="D15" s="553"/>
      <c r="E15" s="653" t="str">
        <f>Unterkörper9!E15</f>
        <v>SEATED CALF RAISE 90° MAX FORCE 20 SEC</v>
      </c>
      <c r="F15" s="654"/>
      <c r="G15" s="553" t="str">
        <f>Unterkörper9!G15</f>
        <v>LOADED 1-ARM WAITER ANKLE BOUNDS</v>
      </c>
      <c r="H15" s="553"/>
      <c r="I15" s="553"/>
      <c r="J15" s="553" t="str">
        <f>Unterkörper9!J15</f>
        <v>LOADED 1-ARM OH 1-LEG A-SKIP</v>
      </c>
      <c r="K15" s="553"/>
      <c r="L15" s="553"/>
      <c r="M15" s="553"/>
      <c r="N15" s="553" t="str">
        <f>Unterkörper9!N15</f>
        <v>REACTIVE 1-LEG LATERAL HOP - TO BOX (CM)</v>
      </c>
      <c r="O15" s="553"/>
      <c r="P15" s="553"/>
      <c r="Q15" s="553"/>
      <c r="R15" s="553" t="str">
        <f>Unterkörper9!R15</f>
        <v>SQUAT JUMPS</v>
      </c>
      <c r="S15" s="553"/>
      <c r="T15" s="556"/>
    </row>
    <row r="16" spans="2:23" ht="16.5" thickBot="1" x14ac:dyDescent="0.3">
      <c r="B16" s="647" t="str">
        <f>Unterkörper9!B17</f>
        <v>LEVEL 9</v>
      </c>
      <c r="C16" s="648"/>
      <c r="D16" s="648"/>
      <c r="E16" s="649"/>
      <c r="F16" s="1"/>
      <c r="G16" s="592" t="s">
        <v>352</v>
      </c>
      <c r="H16" s="593"/>
      <c r="I16" s="593"/>
      <c r="J16" s="593"/>
      <c r="K16" s="593"/>
      <c r="L16" s="593"/>
      <c r="M16" s="593"/>
      <c r="N16" s="593"/>
      <c r="O16" s="593"/>
      <c r="P16" s="593"/>
      <c r="Q16" s="593"/>
      <c r="R16" s="593"/>
      <c r="S16" s="593"/>
      <c r="T16" s="594"/>
      <c r="W16" s="794" t="s">
        <v>802</v>
      </c>
    </row>
    <row r="17" spans="2:23" ht="21.6" customHeight="1" thickBot="1" x14ac:dyDescent="0.3">
      <c r="B17" s="622"/>
      <c r="C17" s="623"/>
      <c r="D17" s="623"/>
      <c r="E17" s="624"/>
      <c r="F17" s="1"/>
      <c r="G17" s="70" t="s">
        <v>865</v>
      </c>
      <c r="H17" s="582" t="s">
        <v>877</v>
      </c>
      <c r="I17" s="583"/>
      <c r="J17" s="71" t="s">
        <v>866</v>
      </c>
      <c r="K17" s="64"/>
      <c r="L17" s="70" t="s">
        <v>867</v>
      </c>
      <c r="M17" s="582" t="s">
        <v>878</v>
      </c>
      <c r="N17" s="583"/>
      <c r="O17" s="71" t="s">
        <v>868</v>
      </c>
      <c r="P17" s="64"/>
      <c r="Q17" s="70" t="s">
        <v>869</v>
      </c>
      <c r="R17" s="595" t="s">
        <v>879</v>
      </c>
      <c r="S17" s="596"/>
      <c r="T17" s="71" t="s">
        <v>870</v>
      </c>
      <c r="W17" s="175" t="s">
        <v>805</v>
      </c>
    </row>
    <row r="18" spans="2:23" ht="18" customHeight="1" thickBot="1" x14ac:dyDescent="0.3">
      <c r="B18" s="641" t="s">
        <v>858</v>
      </c>
      <c r="C18" s="642"/>
      <c r="D18" s="642"/>
      <c r="E18" s="643"/>
      <c r="F18" s="72"/>
      <c r="G18" s="501" t="s">
        <v>880</v>
      </c>
      <c r="H18" s="502" t="s">
        <v>9</v>
      </c>
      <c r="I18" s="502" t="s">
        <v>11</v>
      </c>
      <c r="J18" s="503" t="s">
        <v>880</v>
      </c>
      <c r="K18" s="1"/>
      <c r="L18" s="501" t="s">
        <v>880</v>
      </c>
      <c r="M18" s="502" t="s">
        <v>9</v>
      </c>
      <c r="N18" s="502" t="s">
        <v>11</v>
      </c>
      <c r="O18" s="503" t="s">
        <v>880</v>
      </c>
      <c r="P18" s="1"/>
      <c r="Q18" s="504" t="s">
        <v>880</v>
      </c>
      <c r="R18" s="505" t="s">
        <v>9</v>
      </c>
      <c r="S18" s="505" t="s">
        <v>11</v>
      </c>
      <c r="T18" s="506" t="s">
        <v>880</v>
      </c>
      <c r="W18" s="163" t="s">
        <v>804</v>
      </c>
    </row>
    <row r="19" spans="2:23" s="1" customFormat="1" ht="19.899999999999999" customHeight="1" x14ac:dyDescent="0.25">
      <c r="B19" s="9">
        <v>1</v>
      </c>
      <c r="C19" s="560" t="s">
        <v>223</v>
      </c>
      <c r="D19" s="560"/>
      <c r="E19" s="561"/>
      <c r="G19" s="18"/>
      <c r="H19" s="22" t="s">
        <v>12</v>
      </c>
      <c r="I19" s="19" t="s">
        <v>14</v>
      </c>
      <c r="J19" s="20" t="s">
        <v>16</v>
      </c>
      <c r="L19" s="18"/>
      <c r="M19" s="19" t="str">
        <f t="shared" ref="M19:M21" si="0">H19</f>
        <v>EXPL</v>
      </c>
      <c r="N19" s="19" t="s">
        <v>14</v>
      </c>
      <c r="O19" s="20" t="s">
        <v>16</v>
      </c>
      <c r="Q19" s="43"/>
      <c r="R19" s="44" t="str">
        <f t="shared" ref="R19:R21" si="1">H19</f>
        <v>EXPL</v>
      </c>
      <c r="S19" s="44" t="s">
        <v>14</v>
      </c>
      <c r="T19" s="45" t="s">
        <v>16</v>
      </c>
      <c r="W19" s="194" t="s">
        <v>810</v>
      </c>
    </row>
    <row r="20" spans="2:23" s="1" customFormat="1" ht="19.899999999999999" customHeight="1" x14ac:dyDescent="0.25">
      <c r="B20" s="3">
        <v>2</v>
      </c>
      <c r="C20" s="567" t="s">
        <v>833</v>
      </c>
      <c r="D20" s="567"/>
      <c r="E20" s="568"/>
      <c r="G20" s="67"/>
      <c r="H20" s="28" t="s">
        <v>12</v>
      </c>
      <c r="I20" s="68" t="s">
        <v>14</v>
      </c>
      <c r="J20" s="69"/>
      <c r="L20" s="67"/>
      <c r="M20" s="68" t="str">
        <f t="shared" si="0"/>
        <v>EXPL</v>
      </c>
      <c r="N20" s="68" t="s">
        <v>14</v>
      </c>
      <c r="O20" s="69"/>
      <c r="Q20" s="75"/>
      <c r="R20" s="76" t="str">
        <f t="shared" si="1"/>
        <v>EXPL</v>
      </c>
      <c r="S20" s="76" t="s">
        <v>14</v>
      </c>
      <c r="T20" s="77"/>
      <c r="W20" s="205" t="s">
        <v>797</v>
      </c>
    </row>
    <row r="21" spans="2:23" s="1" customFormat="1" ht="19.899999999999999" customHeight="1" thickBot="1" x14ac:dyDescent="0.3">
      <c r="B21" s="4">
        <v>3</v>
      </c>
      <c r="C21" s="565" t="s">
        <v>834</v>
      </c>
      <c r="D21" s="565"/>
      <c r="E21" s="566"/>
      <c r="G21" s="24"/>
      <c r="H21" s="25" t="s">
        <v>12</v>
      </c>
      <c r="I21" s="25" t="s">
        <v>14</v>
      </c>
      <c r="J21" s="26"/>
      <c r="L21" s="24"/>
      <c r="M21" s="25" t="str">
        <f t="shared" si="0"/>
        <v>EXPL</v>
      </c>
      <c r="N21" s="25" t="s">
        <v>14</v>
      </c>
      <c r="O21" s="26"/>
      <c r="Q21" s="46"/>
      <c r="R21" s="47" t="str">
        <f t="shared" si="1"/>
        <v>EXPL</v>
      </c>
      <c r="S21" s="47" t="s">
        <v>14</v>
      </c>
      <c r="T21" s="48"/>
      <c r="W21" s="166" t="s">
        <v>812</v>
      </c>
    </row>
    <row r="22" spans="2:23" s="2" customFormat="1" ht="4.9000000000000004" customHeight="1" thickBot="1" x14ac:dyDescent="0.3">
      <c r="B22" s="73"/>
      <c r="Q22" s="49"/>
      <c r="R22" s="49"/>
      <c r="S22" s="49"/>
      <c r="T22" s="74"/>
      <c r="W22" s="183" t="s">
        <v>807</v>
      </c>
    </row>
    <row r="23" spans="2:23" s="523" customFormat="1" ht="18" customHeight="1" thickBot="1" x14ac:dyDescent="0.3">
      <c r="B23" s="644" t="s">
        <v>871</v>
      </c>
      <c r="C23" s="645"/>
      <c r="D23" s="645"/>
      <c r="E23" s="646"/>
      <c r="G23" s="524" t="s">
        <v>880</v>
      </c>
      <c r="H23" s="525" t="s">
        <v>9</v>
      </c>
      <c r="I23" s="525" t="s">
        <v>897</v>
      </c>
      <c r="J23" s="526" t="s">
        <v>880</v>
      </c>
      <c r="L23" s="524" t="str">
        <f>G23</f>
        <v>GEWICHT</v>
      </c>
      <c r="M23" s="525" t="s">
        <v>9</v>
      </c>
      <c r="N23" s="525" t="str">
        <f>I23</f>
        <v>SxR/RPE 8-9</v>
      </c>
      <c r="O23" s="526" t="s">
        <v>880</v>
      </c>
      <c r="Q23" s="524" t="str">
        <f>L23</f>
        <v>GEWICHT</v>
      </c>
      <c r="R23" s="525" t="s">
        <v>9</v>
      </c>
      <c r="S23" s="525" t="str">
        <f>I23</f>
        <v>SxR/RPE 8-9</v>
      </c>
      <c r="T23" s="526" t="s">
        <v>880</v>
      </c>
      <c r="W23" s="178" t="s">
        <v>806</v>
      </c>
    </row>
    <row r="24" spans="2:23" s="1" customFormat="1" ht="19.899999999999999" customHeight="1" x14ac:dyDescent="0.25">
      <c r="B24" s="9">
        <v>1</v>
      </c>
      <c r="C24" s="560" t="s">
        <v>255</v>
      </c>
      <c r="D24" s="560"/>
      <c r="E24" s="561"/>
      <c r="G24" s="21"/>
      <c r="H24" s="22" t="s">
        <v>893</v>
      </c>
      <c r="I24" s="28" t="s">
        <v>841</v>
      </c>
      <c r="J24" s="23"/>
      <c r="L24" s="21"/>
      <c r="M24" s="22" t="str">
        <f>H24</f>
        <v>3-0-X-0</v>
      </c>
      <c r="N24" s="22" t="str">
        <f>I24</f>
        <v>3-4x5</v>
      </c>
      <c r="O24" s="23"/>
      <c r="Q24" s="50"/>
      <c r="R24" s="52" t="str">
        <f>H24</f>
        <v>3-0-X-0</v>
      </c>
      <c r="S24" s="52" t="str">
        <f>I24</f>
        <v>3-4x5</v>
      </c>
      <c r="T24" s="53"/>
      <c r="W24" s="186" t="s">
        <v>808</v>
      </c>
    </row>
    <row r="25" spans="2:23" s="1" customFormat="1" ht="19.899999999999999" customHeight="1" x14ac:dyDescent="0.25">
      <c r="B25" s="3">
        <v>2</v>
      </c>
      <c r="C25" s="567" t="s">
        <v>278</v>
      </c>
      <c r="D25" s="567"/>
      <c r="E25" s="568"/>
      <c r="G25" s="27"/>
      <c r="H25" s="28" t="s">
        <v>893</v>
      </c>
      <c r="I25" s="28" t="s">
        <v>841</v>
      </c>
      <c r="J25" s="29"/>
      <c r="L25" s="27"/>
      <c r="M25" s="28" t="str">
        <f>H25</f>
        <v>3-0-X-0</v>
      </c>
      <c r="N25" s="28" t="str">
        <f>I25</f>
        <v>3-4x5</v>
      </c>
      <c r="O25" s="29"/>
      <c r="Q25" s="54"/>
      <c r="R25" s="56" t="str">
        <f>H25</f>
        <v>3-0-X-0</v>
      </c>
      <c r="S25" s="56" t="str">
        <f>I25</f>
        <v>3-4x5</v>
      </c>
      <c r="T25" s="57"/>
      <c r="W25" s="160" t="s">
        <v>803</v>
      </c>
    </row>
    <row r="26" spans="2:23" s="1" customFormat="1" ht="19.899999999999999" customHeight="1" thickBot="1" x14ac:dyDescent="0.3">
      <c r="B26" s="4">
        <v>3</v>
      </c>
      <c r="C26" s="565" t="s">
        <v>336</v>
      </c>
      <c r="D26" s="565"/>
      <c r="E26" s="566"/>
      <c r="G26" s="24"/>
      <c r="H26" s="25" t="s">
        <v>915</v>
      </c>
      <c r="I26" s="25" t="s">
        <v>712</v>
      </c>
      <c r="J26" s="26"/>
      <c r="L26" s="24"/>
      <c r="M26" s="25" t="str">
        <f>H26</f>
        <v>1-1-1-1</v>
      </c>
      <c r="N26" s="25" t="str">
        <f>I26</f>
        <v>2x15m</v>
      </c>
      <c r="O26" s="26"/>
      <c r="Q26" s="46"/>
      <c r="R26" s="47" t="str">
        <f>H26</f>
        <v>1-1-1-1</v>
      </c>
      <c r="S26" s="47" t="str">
        <f>I26</f>
        <v>2x15m</v>
      </c>
      <c r="T26" s="48"/>
      <c r="W26" s="528" t="s">
        <v>815</v>
      </c>
    </row>
    <row r="27" spans="2:23" s="2" customFormat="1" ht="4.9000000000000004" customHeight="1" thickBot="1" x14ac:dyDescent="0.3">
      <c r="B27" s="73"/>
      <c r="Q27" s="49"/>
      <c r="R27" s="49"/>
      <c r="S27" s="49"/>
      <c r="T27" s="74"/>
      <c r="W27" s="169" t="s">
        <v>799</v>
      </c>
    </row>
    <row r="28" spans="2:23" s="1" customFormat="1" ht="19.899999999999999" customHeight="1" x14ac:dyDescent="0.25">
      <c r="B28" s="9">
        <v>4</v>
      </c>
      <c r="C28" s="560" t="s">
        <v>281</v>
      </c>
      <c r="D28" s="560"/>
      <c r="E28" s="561"/>
      <c r="G28" s="21"/>
      <c r="H28" s="22" t="s">
        <v>893</v>
      </c>
      <c r="I28" s="22" t="s">
        <v>841</v>
      </c>
      <c r="J28" s="23"/>
      <c r="L28" s="21"/>
      <c r="M28" s="22" t="str">
        <f t="shared" ref="M28:M30" si="2">H28</f>
        <v>3-0-X-0</v>
      </c>
      <c r="N28" s="22" t="str">
        <f>I28</f>
        <v>3-4x5</v>
      </c>
      <c r="O28" s="23"/>
      <c r="Q28" s="50"/>
      <c r="R28" s="52" t="str">
        <f t="shared" ref="R28:R30" si="3">H28</f>
        <v>3-0-X-0</v>
      </c>
      <c r="S28" s="52" t="str">
        <f>I28</f>
        <v>3-4x5</v>
      </c>
      <c r="T28" s="53"/>
      <c r="W28" s="232" t="s">
        <v>798</v>
      </c>
    </row>
    <row r="29" spans="2:23" s="1" customFormat="1" ht="19.899999999999999" customHeight="1" thickBot="1" x14ac:dyDescent="0.3">
      <c r="B29" s="3">
        <v>5</v>
      </c>
      <c r="C29" s="567" t="s">
        <v>775</v>
      </c>
      <c r="D29" s="567"/>
      <c r="E29" s="568"/>
      <c r="G29" s="27"/>
      <c r="H29" s="28" t="s">
        <v>893</v>
      </c>
      <c r="I29" s="28" t="s">
        <v>841</v>
      </c>
      <c r="J29" s="29"/>
      <c r="L29" s="27"/>
      <c r="M29" s="28" t="str">
        <f t="shared" si="2"/>
        <v>3-0-X-0</v>
      </c>
      <c r="N29" s="28" t="str">
        <f>I29</f>
        <v>3-4x5</v>
      </c>
      <c r="O29" s="29"/>
      <c r="Q29" s="54"/>
      <c r="R29" s="56" t="str">
        <f t="shared" si="3"/>
        <v>3-0-X-0</v>
      </c>
      <c r="S29" s="28" t="str">
        <f>I29</f>
        <v>3-4x5</v>
      </c>
      <c r="T29" s="57"/>
      <c r="W29" s="235" t="s">
        <v>801</v>
      </c>
    </row>
    <row r="30" spans="2:23" s="1" customFormat="1" ht="19.899999999999999" customHeight="1" thickBot="1" x14ac:dyDescent="0.3">
      <c r="B30" s="4">
        <v>6</v>
      </c>
      <c r="C30" s="565" t="s">
        <v>56</v>
      </c>
      <c r="D30" s="565"/>
      <c r="E30" s="566"/>
      <c r="G30" s="24"/>
      <c r="H30" s="25" t="s">
        <v>889</v>
      </c>
      <c r="I30" s="25" t="s">
        <v>14</v>
      </c>
      <c r="J30" s="26"/>
      <c r="L30" s="24"/>
      <c r="M30" s="25" t="str">
        <f t="shared" si="2"/>
        <v>3-1-1-1</v>
      </c>
      <c r="N30" s="25" t="str">
        <f>I30</f>
        <v>3x5</v>
      </c>
      <c r="O30" s="26"/>
      <c r="Q30" s="46"/>
      <c r="R30" s="47" t="str">
        <f t="shared" si="3"/>
        <v>3-1-1-1</v>
      </c>
      <c r="S30" s="47" t="str">
        <f>I30</f>
        <v>3x5</v>
      </c>
      <c r="T30" s="48"/>
    </row>
    <row r="31" spans="2:23" s="1" customFormat="1" ht="5.0999999999999996" customHeight="1" thickBot="1" x14ac:dyDescent="0.3">
      <c r="B31" s="4"/>
      <c r="C31" s="66"/>
      <c r="D31" s="66"/>
      <c r="E31" s="113"/>
      <c r="G31" s="4"/>
      <c r="H31" s="66"/>
      <c r="I31" s="66"/>
      <c r="J31" s="66"/>
      <c r="L31" s="66"/>
      <c r="M31" s="66"/>
      <c r="N31" s="66"/>
      <c r="O31" s="66"/>
      <c r="Q31" s="115"/>
      <c r="R31" s="115"/>
      <c r="S31" s="115"/>
      <c r="T31" s="116"/>
    </row>
    <row r="32" spans="2:23" s="2" customFormat="1" ht="18" customHeight="1" thickBot="1" x14ac:dyDescent="0.3">
      <c r="B32" s="635" t="s">
        <v>872</v>
      </c>
      <c r="C32" s="636"/>
      <c r="D32" s="636"/>
      <c r="E32" s="637"/>
      <c r="F32" s="114"/>
      <c r="G32" s="517" t="s">
        <v>880</v>
      </c>
      <c r="H32" s="518" t="s">
        <v>9</v>
      </c>
      <c r="I32" s="518" t="s">
        <v>896</v>
      </c>
      <c r="J32" s="519" t="s">
        <v>880</v>
      </c>
      <c r="K32" s="1"/>
      <c r="L32" s="517" t="s">
        <v>880</v>
      </c>
      <c r="M32" s="518" t="s">
        <v>9</v>
      </c>
      <c r="N32" s="518" t="str">
        <f>I32</f>
        <v>SxR/RPE 7-8</v>
      </c>
      <c r="O32" s="519" t="s">
        <v>880</v>
      </c>
      <c r="P32" s="1"/>
      <c r="Q32" s="517" t="s">
        <v>880</v>
      </c>
      <c r="R32" s="518" t="s">
        <v>9</v>
      </c>
      <c r="S32" s="518" t="str">
        <f>I32</f>
        <v>SxR/RPE 7-8</v>
      </c>
      <c r="T32" s="519" t="s">
        <v>880</v>
      </c>
    </row>
    <row r="33" spans="2:20" s="1" customFormat="1" ht="19.899999999999999" customHeight="1" x14ac:dyDescent="0.25">
      <c r="B33" s="9">
        <v>7</v>
      </c>
      <c r="C33" s="560" t="s">
        <v>262</v>
      </c>
      <c r="D33" s="560"/>
      <c r="E33" s="561"/>
      <c r="G33" s="21"/>
      <c r="H33" s="22" t="s">
        <v>889</v>
      </c>
      <c r="I33" s="22" t="s">
        <v>914</v>
      </c>
      <c r="J33" s="23"/>
      <c r="L33" s="21"/>
      <c r="M33" s="22" t="str">
        <f>H33</f>
        <v>3-1-1-1</v>
      </c>
      <c r="N33" s="22" t="str">
        <f>I33</f>
        <v xml:space="preserve">2x8 </v>
      </c>
      <c r="O33" s="23"/>
      <c r="Q33" s="50"/>
      <c r="R33" s="52" t="str">
        <f>H33</f>
        <v>3-1-1-1</v>
      </c>
      <c r="S33" s="52" t="str">
        <f>I33</f>
        <v xml:space="preserve">2x8 </v>
      </c>
      <c r="T33" s="53"/>
    </row>
    <row r="34" spans="2:20" s="1" customFormat="1" ht="19.899999999999999" customHeight="1" x14ac:dyDescent="0.25">
      <c r="B34" s="3">
        <v>8</v>
      </c>
      <c r="C34" s="567" t="s">
        <v>203</v>
      </c>
      <c r="D34" s="567"/>
      <c r="E34" s="568"/>
      <c r="G34" s="27"/>
      <c r="H34" s="28" t="s">
        <v>889</v>
      </c>
      <c r="I34" s="28" t="s">
        <v>914</v>
      </c>
      <c r="J34" s="29"/>
      <c r="L34" s="27"/>
      <c r="M34" s="28" t="str">
        <f>H34</f>
        <v>3-1-1-1</v>
      </c>
      <c r="N34" s="28" t="str">
        <f>I34</f>
        <v xml:space="preserve">2x8 </v>
      </c>
      <c r="O34" s="29"/>
      <c r="Q34" s="54"/>
      <c r="R34" s="56" t="str">
        <f>H34</f>
        <v>3-1-1-1</v>
      </c>
      <c r="S34" s="28" t="str">
        <f>I34</f>
        <v xml:space="preserve">2x8 </v>
      </c>
      <c r="T34" s="57"/>
    </row>
    <row r="35" spans="2:20" s="1" customFormat="1" ht="19.899999999999999" customHeight="1" thickBot="1" x14ac:dyDescent="0.3">
      <c r="B35" s="4">
        <v>9</v>
      </c>
      <c r="C35" s="565" t="s">
        <v>778</v>
      </c>
      <c r="D35" s="565"/>
      <c r="E35" s="566"/>
      <c r="G35" s="24"/>
      <c r="H35" s="25" t="s">
        <v>890</v>
      </c>
      <c r="I35" s="25" t="s">
        <v>914</v>
      </c>
      <c r="J35" s="26"/>
      <c r="L35" s="24"/>
      <c r="M35" s="25" t="str">
        <f>H35</f>
        <v>2-1-1-0</v>
      </c>
      <c r="N35" s="25" t="str">
        <f>I35</f>
        <v xml:space="preserve">2x8 </v>
      </c>
      <c r="O35" s="26"/>
      <c r="Q35" s="46"/>
      <c r="R35" s="47" t="str">
        <f>H35</f>
        <v>2-1-1-0</v>
      </c>
      <c r="S35" s="47" t="str">
        <f>I35</f>
        <v xml:space="preserve">2x8 </v>
      </c>
      <c r="T35" s="48"/>
    </row>
    <row r="36" spans="2:20" s="2" customFormat="1" ht="4.9000000000000004" customHeight="1" thickBot="1" x14ac:dyDescent="0.3">
      <c r="B36" s="73"/>
      <c r="H36" s="1"/>
      <c r="Q36" s="49"/>
      <c r="R36" s="49"/>
      <c r="S36" s="49"/>
      <c r="T36" s="74"/>
    </row>
    <row r="37" spans="2:20" s="1" customFormat="1" ht="19.899999999999999" customHeight="1" x14ac:dyDescent="0.25">
      <c r="B37" s="9">
        <v>10</v>
      </c>
      <c r="C37" s="560" t="s">
        <v>263</v>
      </c>
      <c r="D37" s="560"/>
      <c r="E37" s="561"/>
      <c r="G37" s="21"/>
      <c r="H37" s="22" t="s">
        <v>889</v>
      </c>
      <c r="I37" s="22" t="s">
        <v>914</v>
      </c>
      <c r="J37" s="23"/>
      <c r="L37" s="21"/>
      <c r="M37" s="22" t="str">
        <f t="shared" ref="M37:M39" si="4">H37</f>
        <v>3-1-1-1</v>
      </c>
      <c r="N37" s="22" t="str">
        <f>I37</f>
        <v xml:space="preserve">2x8 </v>
      </c>
      <c r="O37" s="23"/>
      <c r="Q37" s="21"/>
      <c r="R37" s="22" t="str">
        <f t="shared" ref="R37:R39" si="5">H37</f>
        <v>3-1-1-1</v>
      </c>
      <c r="S37" s="52" t="str">
        <f>I37</f>
        <v xml:space="preserve">2x8 </v>
      </c>
      <c r="T37" s="23"/>
    </row>
    <row r="38" spans="2:20" s="1" customFormat="1" ht="19.899999999999999" customHeight="1" x14ac:dyDescent="0.25">
      <c r="B38" s="3">
        <v>11</v>
      </c>
      <c r="C38" s="567" t="s">
        <v>513</v>
      </c>
      <c r="D38" s="567"/>
      <c r="E38" s="568"/>
      <c r="G38" s="27"/>
      <c r="H38" s="28" t="s">
        <v>911</v>
      </c>
      <c r="I38" s="28" t="s">
        <v>914</v>
      </c>
      <c r="J38" s="29"/>
      <c r="L38" s="27"/>
      <c r="M38" s="28" t="str">
        <f t="shared" si="4"/>
        <v>5-0-3-0</v>
      </c>
      <c r="N38" s="28" t="str">
        <f>I38</f>
        <v xml:space="preserve">2x8 </v>
      </c>
      <c r="O38" s="29"/>
      <c r="Q38" s="27"/>
      <c r="R38" s="28" t="str">
        <f t="shared" si="5"/>
        <v>5-0-3-0</v>
      </c>
      <c r="S38" s="28" t="str">
        <f>I38</f>
        <v xml:space="preserve">2x8 </v>
      </c>
      <c r="T38" s="29"/>
    </row>
    <row r="39" spans="2:20" s="1" customFormat="1" ht="19.899999999999999" customHeight="1" thickBot="1" x14ac:dyDescent="0.3">
      <c r="B39" s="4">
        <v>12</v>
      </c>
      <c r="C39" s="565" t="s">
        <v>736</v>
      </c>
      <c r="D39" s="565"/>
      <c r="E39" s="566"/>
      <c r="G39" s="24"/>
      <c r="H39" s="25" t="s">
        <v>889</v>
      </c>
      <c r="I39" s="25" t="s">
        <v>914</v>
      </c>
      <c r="J39" s="26"/>
      <c r="L39" s="24"/>
      <c r="M39" s="25" t="str">
        <f t="shared" si="4"/>
        <v>3-1-1-1</v>
      </c>
      <c r="N39" s="25" t="str">
        <f>I39</f>
        <v xml:space="preserve">2x8 </v>
      </c>
      <c r="O39" s="26"/>
      <c r="Q39" s="46"/>
      <c r="R39" s="47" t="str">
        <f t="shared" si="5"/>
        <v>3-1-1-1</v>
      </c>
      <c r="S39" s="47" t="str">
        <f>I39</f>
        <v xml:space="preserve">2x8 </v>
      </c>
      <c r="T39" s="48"/>
    </row>
    <row r="40" spans="2:20" s="1" customFormat="1" ht="5.0999999999999996" customHeight="1" thickBot="1" x14ac:dyDescent="0.3">
      <c r="B40" s="4"/>
      <c r="C40" s="66"/>
      <c r="D40" s="66"/>
      <c r="E40" s="113"/>
      <c r="G40" s="4"/>
      <c r="H40" s="66"/>
      <c r="I40" s="66"/>
      <c r="J40" s="66"/>
      <c r="L40" s="66"/>
      <c r="M40" s="66"/>
      <c r="N40" s="66"/>
      <c r="O40" s="66"/>
      <c r="Q40" s="115"/>
      <c r="R40" s="115"/>
      <c r="S40" s="115"/>
      <c r="T40" s="116"/>
    </row>
    <row r="41" spans="2:20" s="2" customFormat="1" ht="18" customHeight="1" thickBot="1" x14ac:dyDescent="0.3">
      <c r="B41" s="638" t="s">
        <v>876</v>
      </c>
      <c r="C41" s="639"/>
      <c r="D41" s="639"/>
      <c r="E41" s="640"/>
      <c r="G41" s="520" t="s">
        <v>880</v>
      </c>
      <c r="H41" s="521" t="s">
        <v>9</v>
      </c>
      <c r="I41" s="521" t="s">
        <v>901</v>
      </c>
      <c r="J41" s="522" t="s">
        <v>880</v>
      </c>
      <c r="K41" s="523"/>
      <c r="L41" s="520" t="str">
        <f>G41</f>
        <v>GEWICHT</v>
      </c>
      <c r="M41" s="521" t="s">
        <v>9</v>
      </c>
      <c r="N41" s="521" t="str">
        <f>I41</f>
        <v>SxR/RPE 9</v>
      </c>
      <c r="O41" s="522" t="s">
        <v>880</v>
      </c>
      <c r="P41" s="523"/>
      <c r="Q41" s="520" t="str">
        <f>L41</f>
        <v>GEWICHT</v>
      </c>
      <c r="R41" s="521" t="s">
        <v>9</v>
      </c>
      <c r="S41" s="521" t="str">
        <f>I41</f>
        <v>SxR/RPE 9</v>
      </c>
      <c r="T41" s="522" t="s">
        <v>880</v>
      </c>
    </row>
    <row r="42" spans="2:20" s="1" customFormat="1" ht="19.899999999999999" customHeight="1" x14ac:dyDescent="0.25">
      <c r="B42" s="9">
        <v>13</v>
      </c>
      <c r="C42" s="560" t="s">
        <v>208</v>
      </c>
      <c r="D42" s="560"/>
      <c r="E42" s="561"/>
      <c r="G42" s="21"/>
      <c r="H42" s="22" t="s">
        <v>900</v>
      </c>
      <c r="I42" s="22" t="s">
        <v>717</v>
      </c>
      <c r="J42" s="23"/>
      <c r="L42" s="21"/>
      <c r="M42" s="22" t="str">
        <f>H42</f>
        <v>ISO</v>
      </c>
      <c r="N42" s="22" t="str">
        <f>I42</f>
        <v>6x5s ea</v>
      </c>
      <c r="O42" s="23"/>
      <c r="Q42" s="21"/>
      <c r="R42" s="22" t="str">
        <f>H42</f>
        <v>ISO</v>
      </c>
      <c r="S42" s="22" t="str">
        <f>N42</f>
        <v>6x5s ea</v>
      </c>
      <c r="T42" s="23"/>
    </row>
    <row r="43" spans="2:20" s="1" customFormat="1" ht="19.899999999999999" customHeight="1" x14ac:dyDescent="0.25">
      <c r="B43" s="3">
        <v>14</v>
      </c>
      <c r="C43" s="567" t="s">
        <v>515</v>
      </c>
      <c r="D43" s="567"/>
      <c r="E43" s="568"/>
      <c r="G43" s="27"/>
      <c r="H43" s="28" t="s">
        <v>900</v>
      </c>
      <c r="I43" s="28" t="s">
        <v>717</v>
      </c>
      <c r="J43" s="29"/>
      <c r="L43" s="27"/>
      <c r="M43" s="28" t="str">
        <f>H43</f>
        <v>ISO</v>
      </c>
      <c r="N43" s="28" t="str">
        <f>I43</f>
        <v>6x5s ea</v>
      </c>
      <c r="O43" s="29"/>
      <c r="Q43" s="27"/>
      <c r="R43" s="28" t="str">
        <f>H43</f>
        <v>ISO</v>
      </c>
      <c r="S43" s="28" t="str">
        <f>N43</f>
        <v>6x5s ea</v>
      </c>
      <c r="T43" s="29"/>
    </row>
    <row r="44" spans="2:20" s="1" customFormat="1" ht="19.899999999999999" customHeight="1" thickBot="1" x14ac:dyDescent="0.3">
      <c r="B44" s="4">
        <v>15</v>
      </c>
      <c r="C44" s="571" t="s">
        <v>353</v>
      </c>
      <c r="D44" s="571"/>
      <c r="E44" s="572"/>
      <c r="F44" s="66"/>
      <c r="G44" s="24"/>
      <c r="H44" s="25" t="s">
        <v>900</v>
      </c>
      <c r="I44" s="25" t="s">
        <v>717</v>
      </c>
      <c r="J44" s="26"/>
      <c r="K44" s="66"/>
      <c r="L44" s="24"/>
      <c r="M44" s="25" t="str">
        <f>H44</f>
        <v>ISO</v>
      </c>
      <c r="N44" s="25" t="str">
        <f>I44</f>
        <v>6x5s ea</v>
      </c>
      <c r="O44" s="26"/>
      <c r="P44" s="66"/>
      <c r="Q44" s="24"/>
      <c r="R44" s="25" t="str">
        <f>H44</f>
        <v>ISO</v>
      </c>
      <c r="S44" s="25" t="str">
        <f>N44</f>
        <v>6x5s ea</v>
      </c>
      <c r="T44" s="26"/>
    </row>
  </sheetData>
  <mergeCells count="43">
    <mergeCell ref="R15:T15"/>
    <mergeCell ref="O2:T7"/>
    <mergeCell ref="M10:N10"/>
    <mergeCell ref="B12:T12"/>
    <mergeCell ref="B13:D13"/>
    <mergeCell ref="E13:F13"/>
    <mergeCell ref="G13:I13"/>
    <mergeCell ref="J13:M13"/>
    <mergeCell ref="N13:Q13"/>
    <mergeCell ref="R13:T13"/>
    <mergeCell ref="B15:D15"/>
    <mergeCell ref="E15:F15"/>
    <mergeCell ref="G15:I15"/>
    <mergeCell ref="J15:M15"/>
    <mergeCell ref="N15:Q15"/>
    <mergeCell ref="G16:T16"/>
    <mergeCell ref="H17:I17"/>
    <mergeCell ref="M17:N17"/>
    <mergeCell ref="C38:E38"/>
    <mergeCell ref="C39:E39"/>
    <mergeCell ref="C26:E26"/>
    <mergeCell ref="C28:E28"/>
    <mergeCell ref="C29:E29"/>
    <mergeCell ref="C30:E30"/>
    <mergeCell ref="B32:E32"/>
    <mergeCell ref="R17:S17"/>
    <mergeCell ref="B18:E18"/>
    <mergeCell ref="B41:E41"/>
    <mergeCell ref="C42:E42"/>
    <mergeCell ref="C43:E43"/>
    <mergeCell ref="C44:E44"/>
    <mergeCell ref="B14:T14"/>
    <mergeCell ref="C33:E33"/>
    <mergeCell ref="C34:E34"/>
    <mergeCell ref="C35:E35"/>
    <mergeCell ref="C37:E37"/>
    <mergeCell ref="C19:E19"/>
    <mergeCell ref="C20:E20"/>
    <mergeCell ref="C21:E21"/>
    <mergeCell ref="B23:E23"/>
    <mergeCell ref="C24:E24"/>
    <mergeCell ref="C25:E25"/>
    <mergeCell ref="B16:E17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C318A140-6F78-43BF-8B13-70E62B97088A}">
          <x14:formula1>
            <xm:f>'Oberkörper Progressionen '!$S:$S</xm:f>
          </x14:formula1>
          <xm:sqref>C44:E44</xm:sqref>
        </x14:dataValidation>
        <x14:dataValidation type="list" allowBlank="1" showInputMessage="1" showErrorMessage="1" xr:uid="{DEC1C682-1B48-4E23-B5D6-8D1259405ACC}">
          <x14:formula1>
            <xm:f>'Oberkörper Progressionen '!$R:$R</xm:f>
          </x14:formula1>
          <xm:sqref>C42:E42</xm:sqref>
        </x14:dataValidation>
        <x14:dataValidation type="list" allowBlank="1" showInputMessage="1" showErrorMessage="1" xr:uid="{6F6EFF7E-0C9D-4613-8740-FC26F5669333}">
          <x14:formula1>
            <xm:f>'Oberkörper Progressionen '!$K:$K</xm:f>
          </x14:formula1>
          <xm:sqref>C39:E40</xm:sqref>
        </x14:dataValidation>
        <x14:dataValidation type="list" allowBlank="1" showInputMessage="1" showErrorMessage="1" xr:uid="{EF7351E5-2070-48C6-94D9-2CC35F3DEA97}">
          <x14:formula1>
            <xm:f>'Oberkörper Progressionen '!$P:$P</xm:f>
          </x14:formula1>
          <xm:sqref>C38:E38</xm:sqref>
        </x14:dataValidation>
        <x14:dataValidation type="list" allowBlank="1" showInputMessage="1" showErrorMessage="1" xr:uid="{788AFED4-F940-4F4E-95B9-AC2EB8AF0999}">
          <x14:formula1>
            <xm:f>'Oberkörper Progressionen '!$O:$O</xm:f>
          </x14:formula1>
          <xm:sqref>C37:E37</xm:sqref>
        </x14:dataValidation>
        <x14:dataValidation type="list" allowBlank="1" showInputMessage="1" showErrorMessage="1" xr:uid="{A6AB5C01-4F98-4C96-A49B-1F8FCE0DFE77}">
          <x14:formula1>
            <xm:f>'Oberkörper Progressionen '!$J:$J</xm:f>
          </x14:formula1>
          <xm:sqref>C35:E35</xm:sqref>
        </x14:dataValidation>
        <x14:dataValidation type="list" allowBlank="1" showInputMessage="1" showErrorMessage="1" xr:uid="{EFF16644-54CE-40B6-AB1E-776A8C055C97}">
          <x14:formula1>
            <xm:f>'Oberkörper Progressionen '!$M:$M</xm:f>
          </x14:formula1>
          <xm:sqref>C34:E34</xm:sqref>
        </x14:dataValidation>
        <x14:dataValidation type="list" allowBlank="1" showInputMessage="1" showErrorMessage="1" xr:uid="{1B5E47B9-DF6B-490E-8B75-6406F9EF2408}">
          <x14:formula1>
            <xm:f>'Oberkörper Progressionen '!$L:$L</xm:f>
          </x14:formula1>
          <xm:sqref>C33:E33</xm:sqref>
        </x14:dataValidation>
        <x14:dataValidation type="list" allowBlank="1" showInputMessage="1" showErrorMessage="1" xr:uid="{0EC9ED63-4D57-401A-8D1C-EA56B97100CF}">
          <x14:formula1>
            <xm:f>'Oberkörper Progressionen '!$G:$G</xm:f>
          </x14:formula1>
          <xm:sqref>C30:E31</xm:sqref>
        </x14:dataValidation>
        <x14:dataValidation type="list" allowBlank="1" showInputMessage="1" showErrorMessage="1" xr:uid="{925116D0-ED27-4D64-B8E7-F7CBACF45BB3}">
          <x14:formula1>
            <xm:f>'Oberkörper Progressionen '!$I:$I</xm:f>
          </x14:formula1>
          <xm:sqref>C29:E29</xm:sqref>
        </x14:dataValidation>
        <x14:dataValidation type="list" allowBlank="1" showInputMessage="1" showErrorMessage="1" xr:uid="{D527DB00-A828-409B-AE4B-A3F38F8EE92C}">
          <x14:formula1>
            <xm:f>'Oberkörper Progressionen '!$H:$H</xm:f>
          </x14:formula1>
          <xm:sqref>C28:E28</xm:sqref>
        </x14:dataValidation>
        <x14:dataValidation type="list" allowBlank="1" showInputMessage="1" showErrorMessage="1" xr:uid="{7808357D-35BC-4268-A058-B9A9BFB2A13E}">
          <x14:formula1>
            <xm:f>'Oberkörper Progressionen '!$N:$N</xm:f>
          </x14:formula1>
          <xm:sqref>C26:E26</xm:sqref>
        </x14:dataValidation>
        <x14:dataValidation type="list" allowBlank="1" showInputMessage="1" showErrorMessage="1" xr:uid="{DB36FCEE-FF39-4212-85E2-FB2FDBE251C0}">
          <x14:formula1>
            <xm:f>'Oberkörper Progressionen '!$F:$F</xm:f>
          </x14:formula1>
          <xm:sqref>C25:E25</xm:sqref>
        </x14:dataValidation>
        <x14:dataValidation type="list" allowBlank="1" showInputMessage="1" showErrorMessage="1" xr:uid="{9678E159-F548-4FB7-9F5E-58EF02EFCE4E}">
          <x14:formula1>
            <xm:f>'Oberkörper Progressionen '!$E:$E</xm:f>
          </x14:formula1>
          <xm:sqref>C24:E24</xm:sqref>
        </x14:dataValidation>
        <x14:dataValidation type="list" allowBlank="1" showInputMessage="1" showErrorMessage="1" xr:uid="{BEA2229E-DAF3-4C70-A55D-7D807AE23FB9}">
          <x14:formula1>
            <xm:f>'Oberkörper Progressionen '!$B:$B</xm:f>
          </x14:formula1>
          <xm:sqref>C19:E19</xm:sqref>
        </x14:dataValidation>
        <x14:dataValidation type="list" allowBlank="1" showInputMessage="1" showErrorMessage="1" xr:uid="{BC8282EA-58CF-49EF-A0DD-7436AD0C22D9}">
          <x14:formula1>
            <xm:f>'Oberkörper Progressionen '!$Q:$Q</xm:f>
          </x14:formula1>
          <xm:sqref>C43:E43</xm:sqref>
        </x14:dataValidation>
        <x14:dataValidation type="list" allowBlank="1" showInputMessage="1" showErrorMessage="1" xr:uid="{AE172C7A-50DF-44D9-B185-E7343A493A6F}">
          <x14:formula1>
            <xm:f>'Oberkörper Progressionen '!$D:$D</xm:f>
          </x14:formula1>
          <xm:sqref>C21:E21</xm:sqref>
        </x14:dataValidation>
        <x14:dataValidation type="list" allowBlank="1" showInputMessage="1" showErrorMessage="1" xr:uid="{EE253F5D-2180-4FBB-A6B6-A11816A17AF7}">
          <x14:formula1>
            <xm:f>'Oberkörper Progressionen '!$C:$C</xm:f>
          </x14:formula1>
          <xm:sqref>C20:E20</xm:sqref>
        </x14:dataValidation>
        <x14:dataValidation type="list" allowBlank="1" showInputMessage="1" showErrorMessage="1" xr:uid="{FCCCBB65-699E-4B34-9170-85AD92604808}">
          <x14:formula1>
            <xm:f>' Unterkörper Progressionen '!$Z$2:$Z$17</xm:f>
          </x14:formula1>
          <xm:sqref>N29 S38 S34 N34 N38 S29</xm:sqref>
        </x14:dataValidation>
        <x14:dataValidation type="list" allowBlank="1" showInputMessage="1" showErrorMessage="1" xr:uid="{01F5A9DB-00A7-41D0-AA69-1CF9B36FD477}">
          <x14:formula1>
            <xm:f>' Unterkörper Progressionen '!$AA:$AA</xm:f>
          </x14:formula1>
          <xm:sqref>J20:J21</xm:sqref>
        </x14:dataValidation>
        <x14:dataValidation type="list" allowBlank="1" showInputMessage="1" showErrorMessage="1" xr:uid="{E16721C2-259B-4B0E-836E-E9066CCF9007}">
          <x14:formula1>
            <xm:f>' Unterkörper Progressionen '!$Z:$Z</xm:f>
          </x14:formula1>
          <xm:sqref>I42:I44 I24:I25 I28:I31 I33:I35 I37:I40</xm:sqref>
        </x14:dataValidation>
        <x14:dataValidation type="list" allowBlank="1" showInputMessage="1" showErrorMessage="1" xr:uid="{8A9A3E2A-6D73-4E0A-83CF-87F0E3EDDCB1}">
          <x14:formula1>
            <xm:f>' Unterkörper Progressionen '!$AC:$AC</xm:f>
          </x14:formula1>
          <xm:sqref>S32 S23 I23 N23 S41 N41 I41 I32 N32</xm:sqref>
        </x14:dataValidation>
        <x14:dataValidation type="list" allowBlank="1" showInputMessage="1" showErrorMessage="1" xr:uid="{F0B240C9-476C-4DF9-B4A8-0BB0E1F952BD}">
          <x14:formula1>
            <xm:f>' Unterkörper Progressionen '!$AB:$AB</xm:f>
          </x14:formula1>
          <xm:sqref>H19:H21 H42:H44 H37:H39 H33:H35 H28:H30 H24:H26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1C17-5BA4-460C-A454-05D36A908F9A}">
  <sheetPr>
    <pageSetUpPr fitToPage="1"/>
  </sheetPr>
  <dimension ref="B1:W46"/>
  <sheetViews>
    <sheetView zoomScale="80" zoomScaleNormal="80" workbookViewId="0">
      <selection activeCell="C27" sqref="C27:E27"/>
    </sheetView>
  </sheetViews>
  <sheetFormatPr baseColWidth="10" defaultRowHeight="15.75" x14ac:dyDescent="0.25"/>
  <cols>
    <col min="1" max="1" width="11" style="1"/>
    <col min="2" max="2" width="4.75" style="1" customWidth="1"/>
    <col min="3" max="4" width="11" style="1"/>
    <col min="5" max="5" width="26.25" style="1" customWidth="1"/>
    <col min="6" max="6" width="1.75" style="1" customWidth="1"/>
    <col min="7" max="10" width="11" style="1"/>
    <col min="11" max="11" width="1.75" style="1" customWidth="1"/>
    <col min="12" max="15" width="11" style="1"/>
    <col min="16" max="16" width="1.75" style="1" customWidth="1"/>
    <col min="17" max="16384" width="11" style="1"/>
  </cols>
  <sheetData>
    <row r="1" spans="2:20" ht="16.5" thickBot="1" x14ac:dyDescent="0.3"/>
    <row r="2" spans="2:20" x14ac:dyDescent="0.25">
      <c r="B2" s="9"/>
      <c r="C2" s="310"/>
      <c r="D2" s="310"/>
      <c r="E2" s="544" t="s">
        <v>862</v>
      </c>
      <c r="F2" s="310"/>
      <c r="G2" s="310"/>
      <c r="H2" s="310"/>
      <c r="I2" s="310"/>
      <c r="J2" s="310"/>
      <c r="K2" s="310"/>
      <c r="L2" s="310"/>
      <c r="M2" s="310"/>
      <c r="N2" s="310"/>
      <c r="O2" s="560" t="s">
        <v>1</v>
      </c>
      <c r="P2" s="560"/>
      <c r="Q2" s="560"/>
      <c r="R2" s="560"/>
      <c r="S2" s="560"/>
      <c r="T2" s="561"/>
    </row>
    <row r="3" spans="2:20" x14ac:dyDescent="0.25">
      <c r="B3" s="3"/>
      <c r="C3" s="64" t="s">
        <v>861</v>
      </c>
      <c r="O3" s="567"/>
      <c r="P3" s="567"/>
      <c r="Q3" s="567"/>
      <c r="R3" s="567"/>
      <c r="S3" s="567"/>
      <c r="T3" s="568"/>
    </row>
    <row r="4" spans="2:20" x14ac:dyDescent="0.25">
      <c r="B4" s="3"/>
      <c r="E4" s="1" t="s">
        <v>863</v>
      </c>
      <c r="O4" s="567"/>
      <c r="P4" s="567"/>
      <c r="Q4" s="567"/>
      <c r="R4" s="567"/>
      <c r="S4" s="567"/>
      <c r="T4" s="568"/>
    </row>
    <row r="5" spans="2:20" x14ac:dyDescent="0.25">
      <c r="B5" s="3"/>
      <c r="C5" s="545" t="s">
        <v>193</v>
      </c>
      <c r="E5" s="1" t="s">
        <v>864</v>
      </c>
      <c r="I5" s="546"/>
      <c r="O5" s="567"/>
      <c r="P5" s="567"/>
      <c r="Q5" s="567"/>
      <c r="R5" s="567"/>
      <c r="S5" s="567"/>
      <c r="T5" s="568"/>
    </row>
    <row r="6" spans="2:20" x14ac:dyDescent="0.25">
      <c r="B6" s="3"/>
      <c r="C6" s="545"/>
      <c r="O6" s="567"/>
      <c r="P6" s="567"/>
      <c r="Q6" s="567"/>
      <c r="R6" s="567"/>
      <c r="S6" s="567"/>
      <c r="T6" s="568"/>
    </row>
    <row r="7" spans="2:20" x14ac:dyDescent="0.25">
      <c r="B7" s="3"/>
      <c r="C7" s="545"/>
      <c r="O7" s="567"/>
      <c r="P7" s="567"/>
      <c r="Q7" s="567"/>
      <c r="R7" s="567"/>
      <c r="S7" s="567"/>
      <c r="T7" s="568"/>
    </row>
    <row r="8" spans="2:20" ht="16.5" thickBot="1" x14ac:dyDescent="0.3">
      <c r="B8" s="4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113"/>
    </row>
    <row r="9" spans="2:20" ht="16.5" hidden="1" thickBot="1" x14ac:dyDescent="0.3">
      <c r="B9" s="9"/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539"/>
    </row>
    <row r="10" spans="2:20" ht="16.5" hidden="1" thickBot="1" x14ac:dyDescent="0.3">
      <c r="B10" s="3"/>
      <c r="C10" s="1" t="s">
        <v>2</v>
      </c>
      <c r="E10" s="567" t="s">
        <v>3</v>
      </c>
      <c r="F10" s="567"/>
      <c r="G10" s="567"/>
      <c r="I10" s="567" t="s">
        <v>4</v>
      </c>
      <c r="J10" s="567"/>
      <c r="K10" s="567"/>
      <c r="L10" s="567"/>
      <c r="N10" s="1" t="s">
        <v>5</v>
      </c>
      <c r="Q10" s="1" t="s">
        <v>6</v>
      </c>
      <c r="S10" s="1" t="s">
        <v>710</v>
      </c>
      <c r="T10" s="540"/>
    </row>
    <row r="11" spans="2:20" ht="16.5" hidden="1" thickBot="1" x14ac:dyDescent="0.3">
      <c r="B11" s="4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113"/>
    </row>
    <row r="12" spans="2:20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0" s="34" customFormat="1" ht="20.100000000000001" customHeight="1" x14ac:dyDescent="0.25">
      <c r="B13" s="630" t="s">
        <v>192</v>
      </c>
      <c r="C13" s="631"/>
      <c r="D13" s="631"/>
      <c r="E13" s="633" t="s">
        <v>331</v>
      </c>
      <c r="F13" s="634"/>
      <c r="G13" s="631" t="s">
        <v>149</v>
      </c>
      <c r="H13" s="631"/>
      <c r="I13" s="631"/>
      <c r="J13" s="631" t="s">
        <v>695</v>
      </c>
      <c r="K13" s="631"/>
      <c r="L13" s="631"/>
      <c r="M13" s="631"/>
      <c r="N13" s="631" t="s">
        <v>692</v>
      </c>
      <c r="O13" s="631"/>
      <c r="P13" s="631"/>
      <c r="Q13" s="631"/>
      <c r="R13" s="631" t="s">
        <v>349</v>
      </c>
      <c r="S13" s="631"/>
      <c r="T13" s="632"/>
    </row>
    <row r="14" spans="2:20" s="34" customFormat="1" ht="20.100000000000001" customHeight="1" x14ac:dyDescent="0.25">
      <c r="B14" s="604" t="s">
        <v>860</v>
      </c>
      <c r="C14" s="605"/>
      <c r="D14" s="605"/>
      <c r="E14" s="605"/>
      <c r="F14" s="605"/>
      <c r="G14" s="605"/>
      <c r="H14" s="605"/>
      <c r="I14" s="605"/>
      <c r="J14" s="605"/>
      <c r="K14" s="605"/>
      <c r="L14" s="605"/>
      <c r="M14" s="605"/>
      <c r="N14" s="605"/>
      <c r="O14" s="605"/>
      <c r="P14" s="605"/>
      <c r="Q14" s="605"/>
      <c r="R14" s="605"/>
      <c r="S14" s="605"/>
      <c r="T14" s="606"/>
    </row>
    <row r="15" spans="2:20" s="34" customFormat="1" ht="20.100000000000001" customHeight="1" thickBot="1" x14ac:dyDescent="0.3">
      <c r="B15" s="585" t="s">
        <v>683</v>
      </c>
      <c r="C15" s="553"/>
      <c r="D15" s="553"/>
      <c r="E15" s="625" t="s">
        <v>746</v>
      </c>
      <c r="F15" s="626"/>
      <c r="G15" s="553" t="s">
        <v>664</v>
      </c>
      <c r="H15" s="553"/>
      <c r="I15" s="553"/>
      <c r="J15" s="553" t="s">
        <v>672</v>
      </c>
      <c r="K15" s="553"/>
      <c r="L15" s="553"/>
      <c r="M15" s="553"/>
      <c r="N15" s="553" t="s">
        <v>64</v>
      </c>
      <c r="O15" s="553"/>
      <c r="P15" s="553"/>
      <c r="Q15" s="553"/>
      <c r="R15" s="553" t="s">
        <v>156</v>
      </c>
      <c r="S15" s="553"/>
      <c r="T15" s="556"/>
    </row>
    <row r="16" spans="2:20" ht="4.9000000000000004" hidden="1" customHeight="1" thickBot="1" x14ac:dyDescent="0.3">
      <c r="B16" s="4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113"/>
    </row>
    <row r="17" spans="2:23" ht="18" customHeight="1" thickBot="1" x14ac:dyDescent="0.3">
      <c r="B17" s="619" t="s">
        <v>375</v>
      </c>
      <c r="C17" s="620"/>
      <c r="D17" s="620"/>
      <c r="E17" s="621"/>
      <c r="F17" s="310"/>
      <c r="G17" s="562" t="s">
        <v>116</v>
      </c>
      <c r="H17" s="563"/>
      <c r="I17" s="563"/>
      <c r="J17" s="563"/>
      <c r="K17" s="563"/>
      <c r="L17" s="563"/>
      <c r="M17" s="563"/>
      <c r="N17" s="563"/>
      <c r="O17" s="563"/>
      <c r="P17" s="563"/>
      <c r="Q17" s="563"/>
      <c r="R17" s="563"/>
      <c r="S17" s="563"/>
      <c r="T17" s="564"/>
    </row>
    <row r="18" spans="2:23" ht="21.6" customHeight="1" thickBot="1" x14ac:dyDescent="0.3">
      <c r="B18" s="622"/>
      <c r="C18" s="623"/>
      <c r="D18" s="623"/>
      <c r="E18" s="624"/>
      <c r="G18" s="70" t="s">
        <v>865</v>
      </c>
      <c r="H18" s="582" t="s">
        <v>877</v>
      </c>
      <c r="I18" s="583"/>
      <c r="J18" s="71" t="s">
        <v>866</v>
      </c>
      <c r="K18" s="64"/>
      <c r="L18" s="70" t="s">
        <v>867</v>
      </c>
      <c r="M18" s="582" t="s">
        <v>878</v>
      </c>
      <c r="N18" s="583"/>
      <c r="O18" s="71" t="s">
        <v>868</v>
      </c>
      <c r="P18" s="64"/>
      <c r="Q18" s="70" t="s">
        <v>869</v>
      </c>
      <c r="R18" s="595" t="s">
        <v>879</v>
      </c>
      <c r="S18" s="596"/>
      <c r="T18" s="71" t="s">
        <v>870</v>
      </c>
      <c r="W18" s="36"/>
    </row>
    <row r="19" spans="2:23" ht="18" customHeight="1" thickBot="1" x14ac:dyDescent="0.3">
      <c r="B19" s="650" t="s">
        <v>881</v>
      </c>
      <c r="C19" s="651"/>
      <c r="D19" s="651"/>
      <c r="E19" s="652"/>
      <c r="G19" s="529" t="s">
        <v>880</v>
      </c>
      <c r="H19" s="530" t="s">
        <v>9</v>
      </c>
      <c r="I19" s="530" t="s">
        <v>11</v>
      </c>
      <c r="J19" s="531" t="s">
        <v>880</v>
      </c>
      <c r="L19" s="529" t="s">
        <v>9</v>
      </c>
      <c r="M19" s="530"/>
      <c r="N19" s="530" t="s">
        <v>11</v>
      </c>
      <c r="O19" s="531" t="s">
        <v>880</v>
      </c>
      <c r="Q19" s="532" t="s">
        <v>9</v>
      </c>
      <c r="R19" s="533"/>
      <c r="S19" s="533" t="s">
        <v>11</v>
      </c>
      <c r="T19" s="534" t="s">
        <v>880</v>
      </c>
      <c r="W19" s="37"/>
    </row>
    <row r="20" spans="2:23" ht="19.899999999999999" customHeight="1" x14ac:dyDescent="0.25">
      <c r="B20" s="9">
        <v>1</v>
      </c>
      <c r="C20" s="560" t="s">
        <v>819</v>
      </c>
      <c r="D20" s="560"/>
      <c r="E20" s="561"/>
      <c r="G20" s="18"/>
      <c r="H20" s="22" t="s">
        <v>12</v>
      </c>
      <c r="I20" s="19" t="s">
        <v>14</v>
      </c>
      <c r="J20" s="20"/>
      <c r="L20" s="18"/>
      <c r="M20" s="19" t="str">
        <f>H20</f>
        <v>EXPL</v>
      </c>
      <c r="N20" s="19" t="s">
        <v>14</v>
      </c>
      <c r="O20" s="20"/>
      <c r="Q20" s="43"/>
      <c r="R20" s="44" t="str">
        <f>H20</f>
        <v>EXPL</v>
      </c>
      <c r="S20" s="44" t="s">
        <v>14</v>
      </c>
      <c r="T20" s="45"/>
      <c r="W20" s="36"/>
    </row>
    <row r="21" spans="2:23" ht="19.899999999999999" customHeight="1" x14ac:dyDescent="0.25">
      <c r="B21" s="3">
        <v>2</v>
      </c>
      <c r="C21" s="567" t="s">
        <v>857</v>
      </c>
      <c r="D21" s="567"/>
      <c r="E21" s="568"/>
      <c r="G21" s="67"/>
      <c r="H21" s="28" t="s">
        <v>12</v>
      </c>
      <c r="I21" s="68" t="s">
        <v>14</v>
      </c>
      <c r="J21" s="69"/>
      <c r="L21" s="67"/>
      <c r="M21" s="68" t="str">
        <f>H21</f>
        <v>EXPL</v>
      </c>
      <c r="N21" s="68" t="s">
        <v>14</v>
      </c>
      <c r="O21" s="69"/>
      <c r="Q21" s="75"/>
      <c r="R21" s="76" t="str">
        <f>H21</f>
        <v>EXPL</v>
      </c>
      <c r="S21" s="76" t="s">
        <v>14</v>
      </c>
      <c r="T21" s="77"/>
      <c r="W21" s="36"/>
    </row>
    <row r="22" spans="2:23" ht="19.899999999999999" customHeight="1" thickBot="1" x14ac:dyDescent="0.3">
      <c r="B22" s="4">
        <v>3</v>
      </c>
      <c r="C22" s="565"/>
      <c r="D22" s="565"/>
      <c r="E22" s="566"/>
      <c r="G22" s="24"/>
      <c r="H22" s="25" t="s">
        <v>12</v>
      </c>
      <c r="I22" s="25" t="s">
        <v>14</v>
      </c>
      <c r="J22" s="26"/>
      <c r="L22" s="24"/>
      <c r="M22" s="25" t="str">
        <f>H22</f>
        <v>EXPL</v>
      </c>
      <c r="N22" s="25" t="s">
        <v>14</v>
      </c>
      <c r="O22" s="26"/>
      <c r="Q22" s="46"/>
      <c r="R22" s="47" t="str">
        <f>H22</f>
        <v>EXPL</v>
      </c>
      <c r="S22" s="47" t="s">
        <v>14</v>
      </c>
      <c r="T22" s="48"/>
    </row>
    <row r="23" spans="2:23" ht="4.9000000000000004" customHeight="1" thickBot="1" x14ac:dyDescent="0.3">
      <c r="B23" s="3"/>
      <c r="Q23" s="547"/>
      <c r="R23" s="547"/>
      <c r="S23" s="547"/>
      <c r="T23" s="548"/>
    </row>
    <row r="24" spans="2:23" ht="18" customHeight="1" thickBot="1" x14ac:dyDescent="0.3">
      <c r="B24" s="616" t="s">
        <v>882</v>
      </c>
      <c r="C24" s="617"/>
      <c r="D24" s="617"/>
      <c r="E24" s="618"/>
      <c r="G24" s="511" t="s">
        <v>880</v>
      </c>
      <c r="H24" s="512" t="s">
        <v>9</v>
      </c>
      <c r="I24" s="512" t="s">
        <v>897</v>
      </c>
      <c r="J24" s="513" t="s">
        <v>880</v>
      </c>
      <c r="L24" s="511" t="str">
        <f>G24</f>
        <v>GEWICHT</v>
      </c>
      <c r="M24" s="512" t="s">
        <v>9</v>
      </c>
      <c r="N24" s="512" t="str">
        <f>I24</f>
        <v>SxR/RPE 8-9</v>
      </c>
      <c r="O24" s="513" t="s">
        <v>880</v>
      </c>
      <c r="Q24" s="514" t="str">
        <f>L24</f>
        <v>GEWICHT</v>
      </c>
      <c r="R24" s="515" t="s">
        <v>9</v>
      </c>
      <c r="S24" s="512" t="str">
        <f>I24</f>
        <v>SxR/RPE 8-9</v>
      </c>
      <c r="T24" s="516" t="s">
        <v>880</v>
      </c>
    </row>
    <row r="25" spans="2:23" ht="19.899999999999999" customHeight="1" x14ac:dyDescent="0.25">
      <c r="B25" s="9">
        <v>1</v>
      </c>
      <c r="C25" s="560" t="s">
        <v>656</v>
      </c>
      <c r="D25" s="560"/>
      <c r="E25" s="561"/>
      <c r="G25" s="21"/>
      <c r="H25" s="22" t="s">
        <v>888</v>
      </c>
      <c r="I25" s="22" t="s">
        <v>708</v>
      </c>
      <c r="J25" s="23"/>
      <c r="L25" s="21"/>
      <c r="M25" s="22" t="str">
        <f t="shared" ref="M25:N27" si="0">H25</f>
        <v>3-1-1-0</v>
      </c>
      <c r="N25" s="22" t="str">
        <f t="shared" si="0"/>
        <v>3x8</v>
      </c>
      <c r="O25" s="23"/>
      <c r="Q25" s="50"/>
      <c r="R25" s="52" t="str">
        <f t="shared" ref="R25:S27" si="1">M25</f>
        <v>3-1-1-0</v>
      </c>
      <c r="S25" s="52" t="str">
        <f t="shared" si="1"/>
        <v>3x8</v>
      </c>
      <c r="T25" s="53"/>
    </row>
    <row r="26" spans="2:23" ht="19.899999999999999" customHeight="1" x14ac:dyDescent="0.25">
      <c r="B26" s="3">
        <v>2</v>
      </c>
      <c r="C26" s="567" t="s">
        <v>701</v>
      </c>
      <c r="D26" s="567"/>
      <c r="E26" s="568"/>
      <c r="G26" s="27"/>
      <c r="H26" s="28" t="s">
        <v>889</v>
      </c>
      <c r="I26" s="28" t="s">
        <v>708</v>
      </c>
      <c r="J26" s="29"/>
      <c r="L26" s="27"/>
      <c r="M26" s="28" t="str">
        <f t="shared" si="0"/>
        <v>3-1-1-1</v>
      </c>
      <c r="N26" s="28" t="str">
        <f t="shared" si="0"/>
        <v>3x8</v>
      </c>
      <c r="O26" s="29"/>
      <c r="Q26" s="54"/>
      <c r="R26" s="56" t="str">
        <f t="shared" si="1"/>
        <v>3-1-1-1</v>
      </c>
      <c r="S26" s="56" t="str">
        <f t="shared" si="1"/>
        <v>3x8</v>
      </c>
      <c r="T26" s="57"/>
    </row>
    <row r="27" spans="2:23" ht="19.899999999999999" customHeight="1" thickBot="1" x14ac:dyDescent="0.3">
      <c r="B27" s="4">
        <v>3</v>
      </c>
      <c r="C27" s="565" t="s">
        <v>54</v>
      </c>
      <c r="D27" s="565"/>
      <c r="E27" s="566"/>
      <c r="G27" s="24"/>
      <c r="H27" s="25" t="s">
        <v>900</v>
      </c>
      <c r="I27" s="25" t="s">
        <v>14</v>
      </c>
      <c r="J27" s="26"/>
      <c r="L27" s="24"/>
      <c r="M27" s="25" t="str">
        <f>H27</f>
        <v>ISO</v>
      </c>
      <c r="N27" s="25" t="str">
        <f t="shared" si="0"/>
        <v>3x5</v>
      </c>
      <c r="O27" s="26"/>
      <c r="Q27" s="46"/>
      <c r="R27" s="47" t="str">
        <f>H27</f>
        <v>ISO</v>
      </c>
      <c r="S27" s="47" t="str">
        <f t="shared" si="1"/>
        <v>3x5</v>
      </c>
      <c r="T27" s="48"/>
    </row>
    <row r="28" spans="2:23" ht="4.9000000000000004" customHeight="1" thickBot="1" x14ac:dyDescent="0.3">
      <c r="B28" s="3"/>
      <c r="Q28" s="547"/>
      <c r="R28" s="547"/>
      <c r="S28" s="547"/>
      <c r="T28" s="548"/>
    </row>
    <row r="29" spans="2:23" ht="19.899999999999999" customHeight="1" x14ac:dyDescent="0.25">
      <c r="B29" s="9">
        <v>4</v>
      </c>
      <c r="C29" s="560" t="s">
        <v>74</v>
      </c>
      <c r="D29" s="560"/>
      <c r="E29" s="561"/>
      <c r="G29" s="21"/>
      <c r="H29" s="22" t="s">
        <v>888</v>
      </c>
      <c r="I29" s="22" t="s">
        <v>708</v>
      </c>
      <c r="J29" s="23"/>
      <c r="L29" s="21"/>
      <c r="M29" s="22" t="str">
        <f t="shared" ref="M29:N31" si="2">H29</f>
        <v>3-1-1-0</v>
      </c>
      <c r="N29" s="22" t="str">
        <f t="shared" si="2"/>
        <v>3x8</v>
      </c>
      <c r="O29" s="23"/>
      <c r="Q29" s="50"/>
      <c r="R29" s="52" t="str">
        <f>H29</f>
        <v>3-1-1-0</v>
      </c>
      <c r="S29" s="52" t="str">
        <f>N29</f>
        <v>3x8</v>
      </c>
      <c r="T29" s="53"/>
    </row>
    <row r="30" spans="2:23" ht="19.899999999999999" customHeight="1" x14ac:dyDescent="0.25">
      <c r="B30" s="3">
        <v>5</v>
      </c>
      <c r="C30" s="567" t="s">
        <v>909</v>
      </c>
      <c r="D30" s="567"/>
      <c r="E30" s="568"/>
      <c r="G30" s="27"/>
      <c r="H30" s="28" t="s">
        <v>889</v>
      </c>
      <c r="I30" s="28" t="s">
        <v>708</v>
      </c>
      <c r="J30" s="29"/>
      <c r="L30" s="27"/>
      <c r="M30" s="28" t="str">
        <f t="shared" si="2"/>
        <v>3-1-1-1</v>
      </c>
      <c r="N30" s="28" t="str">
        <f t="shared" si="2"/>
        <v>3x8</v>
      </c>
      <c r="O30" s="29"/>
      <c r="Q30" s="54"/>
      <c r="R30" s="56" t="str">
        <f>H29</f>
        <v>3-1-1-0</v>
      </c>
      <c r="S30" s="28" t="str">
        <f>N30</f>
        <v>3x8</v>
      </c>
      <c r="T30" s="57"/>
    </row>
    <row r="31" spans="2:23" ht="19.899999999999999" customHeight="1" thickBot="1" x14ac:dyDescent="0.3">
      <c r="B31" s="4">
        <v>6</v>
      </c>
      <c r="C31" s="565" t="s">
        <v>83</v>
      </c>
      <c r="D31" s="565"/>
      <c r="E31" s="566"/>
      <c r="G31" s="24"/>
      <c r="H31" s="25" t="s">
        <v>890</v>
      </c>
      <c r="I31" s="25" t="s">
        <v>715</v>
      </c>
      <c r="J31" s="26"/>
      <c r="L31" s="24"/>
      <c r="M31" s="25" t="str">
        <f>H31</f>
        <v>2-1-1-0</v>
      </c>
      <c r="N31" s="25" t="str">
        <f t="shared" si="2"/>
        <v>3x10s ea</v>
      </c>
      <c r="O31" s="26"/>
      <c r="Q31" s="46"/>
      <c r="R31" s="47" t="str">
        <f>H31</f>
        <v>2-1-1-0</v>
      </c>
      <c r="S31" s="47" t="str">
        <f>N31</f>
        <v>3x10s ea</v>
      </c>
      <c r="T31" s="48"/>
    </row>
    <row r="32" spans="2:23" ht="5.0999999999999996" customHeight="1" thickBot="1" x14ac:dyDescent="0.3">
      <c r="B32" s="4"/>
      <c r="C32" s="66"/>
      <c r="D32" s="66"/>
      <c r="E32" s="113"/>
      <c r="G32" s="4"/>
      <c r="H32" s="66"/>
      <c r="I32" s="66"/>
      <c r="J32" s="66"/>
      <c r="L32" s="66"/>
      <c r="M32" s="66"/>
      <c r="N32" s="66"/>
      <c r="O32" s="66"/>
      <c r="Q32" s="115"/>
      <c r="R32" s="115"/>
      <c r="S32" s="115"/>
      <c r="T32" s="116"/>
    </row>
    <row r="33" spans="2:23" ht="18" customHeight="1" thickBot="1" x14ac:dyDescent="0.3">
      <c r="B33" s="610" t="s">
        <v>883</v>
      </c>
      <c r="C33" s="611"/>
      <c r="D33" s="611"/>
      <c r="E33" s="612"/>
      <c r="F33" s="64"/>
      <c r="G33" s="541" t="s">
        <v>880</v>
      </c>
      <c r="H33" s="542" t="s">
        <v>9</v>
      </c>
      <c r="I33" s="542" t="s">
        <v>897</v>
      </c>
      <c r="J33" s="543" t="s">
        <v>880</v>
      </c>
      <c r="L33" s="541" t="s">
        <v>880</v>
      </c>
      <c r="M33" s="542" t="s">
        <v>9</v>
      </c>
      <c r="N33" s="542" t="str">
        <f>I33</f>
        <v>SxR/RPE 8-9</v>
      </c>
      <c r="O33" s="543" t="s">
        <v>880</v>
      </c>
      <c r="Q33" s="541" t="s">
        <v>880</v>
      </c>
      <c r="R33" s="542" t="s">
        <v>9</v>
      </c>
      <c r="S33" s="542" t="str">
        <f>I33</f>
        <v>SxR/RPE 8-9</v>
      </c>
      <c r="T33" s="543" t="s">
        <v>880</v>
      </c>
      <c r="V33" s="158"/>
    </row>
    <row r="34" spans="2:23" ht="19.899999999999999" customHeight="1" x14ac:dyDescent="0.25">
      <c r="B34" s="9">
        <v>7</v>
      </c>
      <c r="C34" s="560" t="s">
        <v>705</v>
      </c>
      <c r="D34" s="560"/>
      <c r="E34" s="561"/>
      <c r="G34" s="21"/>
      <c r="H34" s="22" t="s">
        <v>889</v>
      </c>
      <c r="I34" s="22" t="s">
        <v>14</v>
      </c>
      <c r="J34" s="23"/>
      <c r="L34" s="21"/>
      <c r="M34" s="22" t="str">
        <f t="shared" ref="M34:N36" si="3">H34</f>
        <v>3-1-1-1</v>
      </c>
      <c r="N34" s="22" t="str">
        <f t="shared" si="3"/>
        <v>3x5</v>
      </c>
      <c r="O34" s="23"/>
      <c r="Q34" s="50"/>
      <c r="R34" s="52" t="str">
        <f>H34</f>
        <v>3-1-1-1</v>
      </c>
      <c r="S34" s="52" t="str">
        <f>I34</f>
        <v>3x5</v>
      </c>
      <c r="T34" s="53"/>
    </row>
    <row r="35" spans="2:23" ht="19.899999999999999" customHeight="1" x14ac:dyDescent="0.25">
      <c r="B35" s="3">
        <v>8</v>
      </c>
      <c r="C35" s="567" t="s">
        <v>431</v>
      </c>
      <c r="D35" s="567"/>
      <c r="E35" s="568"/>
      <c r="G35" s="27"/>
      <c r="H35" s="28" t="s">
        <v>890</v>
      </c>
      <c r="I35" s="28" t="s">
        <v>754</v>
      </c>
      <c r="J35" s="29"/>
      <c r="L35" s="27"/>
      <c r="M35" s="28" t="str">
        <f t="shared" si="3"/>
        <v>2-1-1-0</v>
      </c>
      <c r="N35" s="28" t="str">
        <f t="shared" si="3"/>
        <v>3x5 ea</v>
      </c>
      <c r="O35" s="29"/>
      <c r="Q35" s="54"/>
      <c r="R35" s="56" t="str">
        <f>H35</f>
        <v>2-1-1-0</v>
      </c>
      <c r="S35" s="28" t="str">
        <f>N35</f>
        <v>3x5 ea</v>
      </c>
      <c r="T35" s="57"/>
    </row>
    <row r="36" spans="2:23" ht="19.899999999999999" customHeight="1" thickBot="1" x14ac:dyDescent="0.3">
      <c r="B36" s="4">
        <v>9</v>
      </c>
      <c r="C36" s="565" t="s">
        <v>768</v>
      </c>
      <c r="D36" s="565"/>
      <c r="E36" s="566"/>
      <c r="G36" s="24"/>
      <c r="H36" s="25" t="s">
        <v>890</v>
      </c>
      <c r="I36" s="25" t="s">
        <v>708</v>
      </c>
      <c r="J36" s="26"/>
      <c r="L36" s="24"/>
      <c r="M36" s="25" t="str">
        <f t="shared" si="3"/>
        <v>2-1-1-0</v>
      </c>
      <c r="N36" s="25" t="str">
        <f t="shared" si="3"/>
        <v>3x8</v>
      </c>
      <c r="O36" s="26"/>
      <c r="Q36" s="46"/>
      <c r="R36" s="47" t="str">
        <f>H36</f>
        <v>2-1-1-0</v>
      </c>
      <c r="S36" s="47" t="str">
        <f>N36</f>
        <v>3x8</v>
      </c>
      <c r="T36" s="48"/>
    </row>
    <row r="37" spans="2:23" ht="4.9000000000000004" customHeight="1" thickBot="1" x14ac:dyDescent="0.3">
      <c r="B37" s="3"/>
      <c r="Q37" s="547"/>
      <c r="R37" s="547"/>
      <c r="S37" s="547"/>
      <c r="T37" s="548"/>
    </row>
    <row r="38" spans="2:23" ht="19.899999999999999" customHeight="1" x14ac:dyDescent="0.25">
      <c r="B38" s="9">
        <v>10</v>
      </c>
      <c r="C38" s="560" t="s">
        <v>825</v>
      </c>
      <c r="D38" s="560"/>
      <c r="E38" s="561"/>
      <c r="G38" s="21"/>
      <c r="H38" s="22" t="s">
        <v>890</v>
      </c>
      <c r="I38" s="22" t="s">
        <v>710</v>
      </c>
      <c r="J38" s="23"/>
      <c r="L38" s="21"/>
      <c r="M38" s="22" t="str">
        <f t="shared" ref="M38:N40" si="4">H38</f>
        <v>2-1-1-0</v>
      </c>
      <c r="N38" s="22" t="str">
        <f t="shared" si="4"/>
        <v>2x12</v>
      </c>
      <c r="O38" s="23"/>
      <c r="Q38" s="21"/>
      <c r="R38" s="22" t="str">
        <f>H38</f>
        <v>2-1-1-0</v>
      </c>
      <c r="S38" s="52" t="str">
        <f>N38</f>
        <v>2x12</v>
      </c>
      <c r="T38" s="23"/>
    </row>
    <row r="39" spans="2:23" ht="19.899999999999999" customHeight="1" x14ac:dyDescent="0.25">
      <c r="B39" s="3">
        <v>11</v>
      </c>
      <c r="C39" s="567" t="s">
        <v>425</v>
      </c>
      <c r="D39" s="567"/>
      <c r="E39" s="568"/>
      <c r="G39" s="27"/>
      <c r="H39" s="28" t="s">
        <v>900</v>
      </c>
      <c r="I39" s="28" t="s">
        <v>715</v>
      </c>
      <c r="J39" s="29"/>
      <c r="L39" s="27"/>
      <c r="M39" s="28" t="str">
        <f t="shared" si="4"/>
        <v>ISO</v>
      </c>
      <c r="N39" s="28" t="str">
        <f t="shared" si="4"/>
        <v>3x10s ea</v>
      </c>
      <c r="O39" s="29"/>
      <c r="Q39" s="27"/>
      <c r="R39" s="28" t="str">
        <f>H39</f>
        <v>ISO</v>
      </c>
      <c r="S39" s="28" t="str">
        <f>N39</f>
        <v>3x10s ea</v>
      </c>
      <c r="T39" s="29"/>
    </row>
    <row r="40" spans="2:23" ht="19.899999999999999" customHeight="1" thickBot="1" x14ac:dyDescent="0.3">
      <c r="B40" s="4">
        <v>12</v>
      </c>
      <c r="C40" s="565" t="s">
        <v>773</v>
      </c>
      <c r="D40" s="565"/>
      <c r="E40" s="566"/>
      <c r="G40" s="24"/>
      <c r="H40" s="25" t="s">
        <v>889</v>
      </c>
      <c r="I40" s="25" t="s">
        <v>710</v>
      </c>
      <c r="J40" s="26"/>
      <c r="L40" s="24"/>
      <c r="M40" s="25" t="str">
        <f t="shared" si="4"/>
        <v>3-1-1-1</v>
      </c>
      <c r="N40" s="25" t="str">
        <f t="shared" si="4"/>
        <v>2x12</v>
      </c>
      <c r="O40" s="26"/>
      <c r="Q40" s="46"/>
      <c r="R40" s="47" t="str">
        <f>H40</f>
        <v>3-1-1-1</v>
      </c>
      <c r="S40" s="47" t="str">
        <f>N40</f>
        <v>2x12</v>
      </c>
      <c r="T40" s="48"/>
    </row>
    <row r="41" spans="2:23" ht="5.0999999999999996" customHeight="1" thickBot="1" x14ac:dyDescent="0.3">
      <c r="B41" s="4"/>
      <c r="C41" s="66"/>
      <c r="D41" s="66"/>
      <c r="E41" s="113"/>
      <c r="G41" s="4"/>
      <c r="H41" s="66"/>
      <c r="I41" s="66"/>
      <c r="J41" s="66"/>
      <c r="L41" s="66"/>
      <c r="M41" s="66"/>
      <c r="N41" s="66"/>
      <c r="O41" s="66"/>
      <c r="Q41" s="115"/>
      <c r="R41" s="115"/>
      <c r="S41" s="115"/>
      <c r="T41" s="116"/>
    </row>
    <row r="42" spans="2:23" ht="18" customHeight="1" thickBot="1" x14ac:dyDescent="0.3">
      <c r="B42" s="607" t="s">
        <v>875</v>
      </c>
      <c r="C42" s="608"/>
      <c r="D42" s="608"/>
      <c r="E42" s="609"/>
      <c r="G42" s="549" t="s">
        <v>880</v>
      </c>
      <c r="H42" s="550" t="s">
        <v>9</v>
      </c>
      <c r="I42" s="550" t="s">
        <v>901</v>
      </c>
      <c r="J42" s="551" t="s">
        <v>880</v>
      </c>
      <c r="K42" s="523"/>
      <c r="L42" s="549" t="str">
        <f>G42</f>
        <v>GEWICHT</v>
      </c>
      <c r="M42" s="550" t="s">
        <v>9</v>
      </c>
      <c r="N42" s="550" t="str">
        <f>I42</f>
        <v>SxR/RPE 9</v>
      </c>
      <c r="O42" s="551" t="s">
        <v>880</v>
      </c>
      <c r="P42" s="547"/>
      <c r="Q42" s="549" t="str">
        <f>L42</f>
        <v>GEWICHT</v>
      </c>
      <c r="R42" s="550" t="s">
        <v>9</v>
      </c>
      <c r="S42" s="550" t="str">
        <f>I42</f>
        <v>SxR/RPE 9</v>
      </c>
      <c r="T42" s="551" t="s">
        <v>880</v>
      </c>
      <c r="W42" s="552" t="s">
        <v>815</v>
      </c>
    </row>
    <row r="43" spans="2:23" ht="19.899999999999999" customHeight="1" x14ac:dyDescent="0.25">
      <c r="B43" s="9">
        <v>13</v>
      </c>
      <c r="C43" s="560" t="s">
        <v>182</v>
      </c>
      <c r="D43" s="560"/>
      <c r="E43" s="561"/>
      <c r="G43" s="21"/>
      <c r="H43" s="22" t="s">
        <v>900</v>
      </c>
      <c r="I43" s="22" t="s">
        <v>717</v>
      </c>
      <c r="J43" s="23"/>
      <c r="L43" s="21"/>
      <c r="M43" s="22" t="str">
        <f>H43</f>
        <v>ISO</v>
      </c>
      <c r="N43" s="22" t="str">
        <f>I43</f>
        <v>6x5s ea</v>
      </c>
      <c r="O43" s="23"/>
      <c r="Q43" s="21"/>
      <c r="R43" s="22" t="str">
        <f>H43</f>
        <v>ISO</v>
      </c>
      <c r="S43" s="22" t="str">
        <f>N43</f>
        <v>6x5s ea</v>
      </c>
      <c r="T43" s="23"/>
    </row>
    <row r="44" spans="2:23" ht="19.899999999999999" customHeight="1" x14ac:dyDescent="0.25">
      <c r="B44" s="3">
        <v>14</v>
      </c>
      <c r="C44" s="567" t="s">
        <v>36</v>
      </c>
      <c r="D44" s="567"/>
      <c r="E44" s="568"/>
      <c r="G44" s="27"/>
      <c r="H44" s="28" t="s">
        <v>900</v>
      </c>
      <c r="I44" s="28" t="s">
        <v>717</v>
      </c>
      <c r="J44" s="29"/>
      <c r="L44" s="27"/>
      <c r="M44" s="28" t="str">
        <f>H43</f>
        <v>ISO</v>
      </c>
      <c r="N44" s="28" t="str">
        <f>I44</f>
        <v>6x5s ea</v>
      </c>
      <c r="O44" s="29"/>
      <c r="Q44" s="27"/>
      <c r="R44" s="28" t="str">
        <f>H43</f>
        <v>ISO</v>
      </c>
      <c r="S44" s="28" t="str">
        <f>N44</f>
        <v>6x5s ea</v>
      </c>
      <c r="T44" s="29"/>
    </row>
    <row r="45" spans="2:23" ht="19.899999999999999" customHeight="1" thickBot="1" x14ac:dyDescent="0.3">
      <c r="B45" s="4">
        <v>15</v>
      </c>
      <c r="C45" s="571" t="s">
        <v>339</v>
      </c>
      <c r="D45" s="571"/>
      <c r="E45" s="572"/>
      <c r="F45" s="66"/>
      <c r="G45" s="24"/>
      <c r="H45" s="25" t="s">
        <v>900</v>
      </c>
      <c r="I45" s="25" t="s">
        <v>717</v>
      </c>
      <c r="J45" s="26"/>
      <c r="K45" s="66"/>
      <c r="L45" s="24"/>
      <c r="M45" s="25" t="str">
        <f>H43</f>
        <v>ISO</v>
      </c>
      <c r="N45" s="25" t="str">
        <f>I45</f>
        <v>6x5s ea</v>
      </c>
      <c r="O45" s="26"/>
      <c r="P45" s="66"/>
      <c r="Q45" s="24"/>
      <c r="R45" s="25" t="str">
        <f>H43</f>
        <v>ISO</v>
      </c>
      <c r="S45" s="25" t="str">
        <f>N45</f>
        <v>6x5s ea</v>
      </c>
      <c r="T45" s="26"/>
    </row>
    <row r="46" spans="2:23" ht="4.9000000000000004" customHeight="1" x14ac:dyDescent="0.25">
      <c r="Q46" s="547"/>
      <c r="R46" s="547"/>
      <c r="S46" s="547"/>
      <c r="T46" s="547"/>
    </row>
  </sheetData>
  <mergeCells count="44">
    <mergeCell ref="O2:T7"/>
    <mergeCell ref="E10:G10"/>
    <mergeCell ref="I10:L10"/>
    <mergeCell ref="B12:T12"/>
    <mergeCell ref="B13:D13"/>
    <mergeCell ref="E13:F13"/>
    <mergeCell ref="G13:I13"/>
    <mergeCell ref="J13:M13"/>
    <mergeCell ref="N13:Q13"/>
    <mergeCell ref="R13:T13"/>
    <mergeCell ref="B14:T14"/>
    <mergeCell ref="B15:D15"/>
    <mergeCell ref="E15:F15"/>
    <mergeCell ref="G15:I15"/>
    <mergeCell ref="J15:M15"/>
    <mergeCell ref="N15:Q15"/>
    <mergeCell ref="R15:T15"/>
    <mergeCell ref="C26:E26"/>
    <mergeCell ref="B17:E18"/>
    <mergeCell ref="G17:T17"/>
    <mergeCell ref="H18:I18"/>
    <mergeCell ref="M18:N18"/>
    <mergeCell ref="R18:S18"/>
    <mergeCell ref="B19:E19"/>
    <mergeCell ref="C20:E20"/>
    <mergeCell ref="C21:E21"/>
    <mergeCell ref="C22:E22"/>
    <mergeCell ref="B24:E24"/>
    <mergeCell ref="C25:E25"/>
    <mergeCell ref="C27:E27"/>
    <mergeCell ref="C29:E29"/>
    <mergeCell ref="C30:E30"/>
    <mergeCell ref="C31:E31"/>
    <mergeCell ref="B33:E33"/>
    <mergeCell ref="B42:E42"/>
    <mergeCell ref="C43:E43"/>
    <mergeCell ref="C44:E44"/>
    <mergeCell ref="C45:E45"/>
    <mergeCell ref="C34:E34"/>
    <mergeCell ref="C35:E35"/>
    <mergeCell ref="C36:E36"/>
    <mergeCell ref="C38:E38"/>
    <mergeCell ref="C39:E39"/>
    <mergeCell ref="C40:E40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showInputMessage="1" showErrorMessage="1" xr:uid="{F24CEFDA-8802-4916-896A-37529A78E8DE}">
          <x14:formula1>
            <xm:f>'BH1-2 Progressionen'!$A:$A</xm:f>
          </x14:formula1>
          <xm:sqref>B17:E18</xm:sqref>
        </x14:dataValidation>
        <x14:dataValidation type="list" allowBlank="1" showInputMessage="1" showErrorMessage="1" xr:uid="{A21A8ED4-317D-487B-814D-AD636B360E21}">
          <x14:formula1>
            <xm:f>'BH1-2 Progressionen'!$B:$B</xm:f>
          </x14:formula1>
          <xm:sqref>B13:D13</xm:sqref>
        </x14:dataValidation>
        <x14:dataValidation type="list" allowBlank="1" showInputMessage="1" showErrorMessage="1" xr:uid="{2CFC6212-CAA1-4140-8E18-F9C2FDAB4997}">
          <x14:formula1>
            <xm:f>'BH1-2 Progressionen'!$C:$C</xm:f>
          </x14:formula1>
          <xm:sqref>E13</xm:sqref>
        </x14:dataValidation>
        <x14:dataValidation type="list" allowBlank="1" showInputMessage="1" showErrorMessage="1" xr:uid="{DBF8ECF2-0B9F-4A82-B403-663774025745}">
          <x14:formula1>
            <xm:f>'BH1-2 Progressionen'!$G:$G</xm:f>
          </x14:formula1>
          <xm:sqref>R13:T13</xm:sqref>
        </x14:dataValidation>
        <x14:dataValidation type="list" allowBlank="1" showInputMessage="1" showErrorMessage="1" xr:uid="{316CF287-DCAF-4ED7-A3DA-3F46A753A532}">
          <x14:formula1>
            <xm:f>'BH1-2 Progressionen'!$H:$H</xm:f>
          </x14:formula1>
          <xm:sqref>B15:D15</xm:sqref>
        </x14:dataValidation>
        <x14:dataValidation type="list" allowBlank="1" showInputMessage="1" showErrorMessage="1" xr:uid="{641EA574-D080-4F5C-930D-12EF31AB3492}">
          <x14:formula1>
            <xm:f>'BH1-2 Progressionen'!$I:$I</xm:f>
          </x14:formula1>
          <xm:sqref>E15</xm:sqref>
        </x14:dataValidation>
        <x14:dataValidation type="list" allowBlank="1" showInputMessage="1" showErrorMessage="1" xr:uid="{F94ADE71-4D0F-4301-BFF8-1DDA502A2111}">
          <x14:formula1>
            <xm:f>'BH1-2 Progressionen'!$M:$M</xm:f>
          </x14:formula1>
          <xm:sqref>R15:T15</xm:sqref>
        </x14:dataValidation>
        <x14:dataValidation type="list" allowBlank="1" showInputMessage="1" showErrorMessage="1" xr:uid="{5C5512B8-BF7E-465A-95B6-91739562A0B2}">
          <x14:formula1>
            <xm:f>'BH1-2 Progressionen'!$D:$D</xm:f>
          </x14:formula1>
          <xm:sqref>G13</xm:sqref>
        </x14:dataValidation>
        <x14:dataValidation type="list" allowBlank="1" showInputMessage="1" showErrorMessage="1" xr:uid="{84618FD0-F4DA-4710-AFB4-98A3B0FA7259}">
          <x14:formula1>
            <xm:f>'BH1-2 Progressionen'!$J:$J</xm:f>
          </x14:formula1>
          <xm:sqref>G15</xm:sqref>
        </x14:dataValidation>
        <x14:dataValidation type="list" allowBlank="1" showInputMessage="1" showErrorMessage="1" xr:uid="{C2863E2C-EF56-46BA-8110-9C71FB4CF1EC}">
          <x14:formula1>
            <xm:f>'BH1-2 Progressionen'!$E:$E</xm:f>
          </x14:formula1>
          <xm:sqref>J13</xm:sqref>
        </x14:dataValidation>
        <x14:dataValidation type="list" allowBlank="1" showInputMessage="1" showErrorMessage="1" xr:uid="{9B795DA9-340E-493F-8EA5-C10405E1D7CE}">
          <x14:formula1>
            <xm:f>'BH1-2 Progressionen'!$K:$K</xm:f>
          </x14:formula1>
          <xm:sqref>J15</xm:sqref>
        </x14:dataValidation>
        <x14:dataValidation type="list" allowBlank="1" showInputMessage="1" showErrorMessage="1" xr:uid="{48B9F0A5-BA6D-4AA1-ACFC-293410199E09}">
          <x14:formula1>
            <xm:f>'BH1-2 Progressionen'!$F:$F</xm:f>
          </x14:formula1>
          <xm:sqref>N13</xm:sqref>
        </x14:dataValidation>
        <x14:dataValidation type="list" allowBlank="1" showInputMessage="1" showErrorMessage="1" xr:uid="{A315E9E6-60A7-4E6D-90AB-9B9CF7D65B83}">
          <x14:formula1>
            <xm:f>'BH1-2 Progressionen'!$L:$L</xm:f>
          </x14:formula1>
          <xm:sqref>N15</xm:sqref>
        </x14:dataValidation>
        <x14:dataValidation type="list" allowBlank="1" showInputMessage="1" showErrorMessage="1" xr:uid="{773F42A9-8E44-4D8A-B80D-1DD8F0A61772}">
          <x14:formula1>
            <xm:f>' Unterkörper Progressionen '!$Z:$Z</xm:f>
          </x14:formula1>
          <xm:sqref>I43:I45 I29:I32 I25:I27 I38:I41 I34:I36</xm:sqref>
        </x14:dataValidation>
        <x14:dataValidation type="list" allowBlank="1" showInputMessage="1" showErrorMessage="1" xr:uid="{6E92C4B6-914C-4CE7-B804-B60E5B778759}">
          <x14:formula1>
            <xm:f>' Unterkörper Progressionen '!$AA:$AA</xm:f>
          </x14:formula1>
          <xm:sqref>J21:J23</xm:sqref>
        </x14:dataValidation>
        <x14:dataValidation type="list" allowBlank="1" showInputMessage="1" showErrorMessage="1" xr:uid="{3F0DB255-0238-4FC6-95C6-AF64EC5E0CFF}">
          <x14:formula1>
            <xm:f>' Unterkörper Progressionen '!$B:$B</xm:f>
          </x14:formula1>
          <xm:sqref>C20:E20</xm:sqref>
        </x14:dataValidation>
        <x14:dataValidation type="list" allowBlank="1" showInputMessage="1" showErrorMessage="1" xr:uid="{AA64D8CA-8C01-4E60-88C6-C8DC7DE545A3}">
          <x14:formula1>
            <xm:f>' Unterkörper Progressionen '!$C:$C</xm:f>
          </x14:formula1>
          <xm:sqref>C21:E21</xm:sqref>
        </x14:dataValidation>
        <x14:dataValidation type="list" allowBlank="1" showInputMessage="1" showErrorMessage="1" xr:uid="{4E7F30A7-EC29-4F18-A7B7-E1AF6A6D9B39}">
          <x14:formula1>
            <xm:f>' Unterkörper Progressionen '!$D:$D</xm:f>
          </x14:formula1>
          <xm:sqref>C22:E22</xm:sqref>
        </x14:dataValidation>
        <x14:dataValidation type="list" allowBlank="1" showInputMessage="1" showErrorMessage="1" xr:uid="{38B3E2B7-409A-4A16-B177-4F0776ECBD64}">
          <x14:formula1>
            <xm:f>' Unterkörper Progressionen '!$E:$E</xm:f>
          </x14:formula1>
          <xm:sqref>C25:E25</xm:sqref>
        </x14:dataValidation>
        <x14:dataValidation type="list" allowBlank="1" showInputMessage="1" showErrorMessage="1" xr:uid="{47DFAC67-0CC9-4C6E-B6AB-B2D3CF163BE2}">
          <x14:formula1>
            <xm:f>' Unterkörper Progressionen '!$F:$F</xm:f>
          </x14:formula1>
          <xm:sqref>C26:E26</xm:sqref>
        </x14:dataValidation>
        <x14:dataValidation type="list" allowBlank="1" showInputMessage="1" showErrorMessage="1" xr:uid="{DD6AA0F9-98B5-480A-98EF-77FB8A78241A}">
          <x14:formula1>
            <xm:f>' Unterkörper Progressionen '!$G:$G</xm:f>
          </x14:formula1>
          <xm:sqref>C27:E27</xm:sqref>
        </x14:dataValidation>
        <x14:dataValidation type="list" allowBlank="1" showInputMessage="1" showErrorMessage="1" xr:uid="{783299DC-F3B4-4AE8-95DB-0D5B7F465153}">
          <x14:formula1>
            <xm:f>' Unterkörper Progressionen '!$H:$H</xm:f>
          </x14:formula1>
          <xm:sqref>C29:E29</xm:sqref>
        </x14:dataValidation>
        <x14:dataValidation type="list" allowBlank="1" showInputMessage="1" showErrorMessage="1" xr:uid="{EF2DBB18-3E00-4F7C-8B73-1AD916ABCA29}">
          <x14:formula1>
            <xm:f>' Unterkörper Progressionen '!$I:$I</xm:f>
          </x14:formula1>
          <xm:sqref>C30:E30</xm:sqref>
        </x14:dataValidation>
        <x14:dataValidation type="list" allowBlank="1" showInputMessage="1" showErrorMessage="1" xr:uid="{CC2C9AE3-7B29-46D9-BB40-6FC2CAE116CA}">
          <x14:formula1>
            <xm:f>' Unterkörper Progressionen '!$J:$J</xm:f>
          </x14:formula1>
          <xm:sqref>C31:E31</xm:sqref>
        </x14:dataValidation>
        <x14:dataValidation type="list" allowBlank="1" showInputMessage="1" showErrorMessage="1" xr:uid="{4F6157B9-DE1A-4663-8F76-B47371ED6217}">
          <x14:formula1>
            <xm:f>' Unterkörper Progressionen '!$L:$L</xm:f>
          </x14:formula1>
          <xm:sqref>C34:E34</xm:sqref>
        </x14:dataValidation>
        <x14:dataValidation type="list" allowBlank="1" showInputMessage="1" showErrorMessage="1" xr:uid="{E928CE06-4BAE-4D37-A2C5-FFD3ADE03FA0}">
          <x14:formula1>
            <xm:f>' Unterkörper Progressionen '!$M:$M</xm:f>
          </x14:formula1>
          <xm:sqref>C35:E35</xm:sqref>
        </x14:dataValidation>
        <x14:dataValidation type="list" allowBlank="1" showInputMessage="1" showErrorMessage="1" xr:uid="{437C7CA2-D20B-47A1-8538-898A8A69C286}">
          <x14:formula1>
            <xm:f>' Unterkörper Progressionen '!$P:$P</xm:f>
          </x14:formula1>
          <xm:sqref>C36:E36</xm:sqref>
        </x14:dataValidation>
        <x14:dataValidation type="list" allowBlank="1" showInputMessage="1" showErrorMessage="1" xr:uid="{F528A2F3-03CA-4F43-BE73-C28389C1DF11}">
          <x14:formula1>
            <xm:f>' Unterkörper Progressionen '!$Q:$Q</xm:f>
          </x14:formula1>
          <xm:sqref>C38:E38</xm:sqref>
        </x14:dataValidation>
        <x14:dataValidation type="list" allowBlank="1" showInputMessage="1" showErrorMessage="1" xr:uid="{CCF301B4-3365-4B7B-B48D-07DAACC81E90}">
          <x14:formula1>
            <xm:f>' Unterkörper Progressionen '!$R:$R</xm:f>
          </x14:formula1>
          <xm:sqref>C39:E39</xm:sqref>
        </x14:dataValidation>
        <x14:dataValidation type="list" allowBlank="1" showInputMessage="1" showErrorMessage="1" xr:uid="{7BC6A60D-80A0-49B3-8460-093613C5E23E}">
          <x14:formula1>
            <xm:f>' Unterkörper Progressionen '!$S:$S</xm:f>
          </x14:formula1>
          <xm:sqref>C40:E40</xm:sqref>
        </x14:dataValidation>
        <x14:dataValidation type="list" allowBlank="1" showInputMessage="1" showErrorMessage="1" xr:uid="{86ECF6B1-EF99-4C88-B023-1D0189FD6827}">
          <x14:formula1>
            <xm:f>' Unterkörper Progressionen '!$U:$U</xm:f>
          </x14:formula1>
          <xm:sqref>C43:E43</xm:sqref>
        </x14:dataValidation>
        <x14:dataValidation type="list" allowBlank="1" showInputMessage="1" showErrorMessage="1" xr:uid="{ECE9B92E-70F4-4718-90FD-5709FE6E26FF}">
          <x14:formula1>
            <xm:f>' Unterkörper Progressionen '!$V:$V</xm:f>
          </x14:formula1>
          <xm:sqref>C44:E44</xm:sqref>
        </x14:dataValidation>
        <x14:dataValidation type="list" allowBlank="1" showInputMessage="1" showErrorMessage="1" xr:uid="{D8F490F3-951E-442F-A9E5-4309CA7DD6A3}">
          <x14:formula1>
            <xm:f>' Unterkörper Progressionen '!$W:$W</xm:f>
          </x14:formula1>
          <xm:sqref>C45:E45</xm:sqref>
        </x14:dataValidation>
        <x14:dataValidation type="list" allowBlank="1" showInputMessage="1" showErrorMessage="1" xr:uid="{F77204AE-CDF2-4994-B669-53E81F8C31B0}">
          <x14:formula1>
            <xm:f>' Unterkörper Progressionen '!$AB:$AB</xm:f>
          </x14:formula1>
          <xm:sqref>H25:H27 H20:H22 H43:H45 H38:H40 H34:H36 H29:H31</xm:sqref>
        </x14:dataValidation>
        <x14:dataValidation type="list" allowBlank="1" showInputMessage="1" showErrorMessage="1" xr:uid="{573331EF-C1AA-43FD-B5C6-083FCC114FCA}">
          <x14:formula1>
            <xm:f>' Unterkörper Progressionen '!$AC:$AC</xm:f>
          </x14:formula1>
          <xm:sqref>N24 S42 N42 I42 I33 N33 S33 S24 I24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E3A6-3E64-496B-80AC-0DF3D7917ED0}">
  <sheetPr>
    <pageSetUpPr fitToPage="1"/>
  </sheetPr>
  <dimension ref="B1:W44"/>
  <sheetViews>
    <sheetView zoomScaleNormal="100" workbookViewId="0">
      <selection activeCell="J34" sqref="J34"/>
    </sheetView>
  </sheetViews>
  <sheetFormatPr baseColWidth="10" defaultRowHeight="15.75" x14ac:dyDescent="0.25"/>
  <cols>
    <col min="2" max="2" width="4.75" customWidth="1"/>
    <col min="5" max="5" width="26.25" customWidth="1"/>
    <col min="6" max="6" width="1.75" customWidth="1"/>
    <col min="11" max="11" width="1.75" customWidth="1"/>
    <col min="16" max="16" width="1.75" customWidth="1"/>
  </cols>
  <sheetData>
    <row r="1" spans="2:23" ht="16.5" thickBot="1" x14ac:dyDescent="0.3"/>
    <row r="2" spans="2:23" x14ac:dyDescent="0.25">
      <c r="B2" s="10"/>
      <c r="C2" s="11"/>
      <c r="D2" s="11"/>
      <c r="E2" s="117" t="s">
        <v>862</v>
      </c>
      <c r="F2" s="11"/>
      <c r="G2" s="11"/>
      <c r="H2" s="11"/>
      <c r="I2" s="11"/>
      <c r="J2" s="11"/>
      <c r="K2" s="11"/>
      <c r="L2" s="11"/>
      <c r="M2" s="11"/>
      <c r="N2" s="11"/>
      <c r="O2" s="560" t="s">
        <v>1</v>
      </c>
      <c r="P2" s="560"/>
      <c r="Q2" s="560"/>
      <c r="R2" s="560"/>
      <c r="S2" s="560"/>
      <c r="T2" s="561"/>
      <c r="U2" s="2"/>
    </row>
    <row r="3" spans="2:23" x14ac:dyDescent="0.25">
      <c r="B3" s="7"/>
      <c r="C3" s="60" t="s">
        <v>886</v>
      </c>
      <c r="O3" s="567"/>
      <c r="P3" s="567"/>
      <c r="Q3" s="567"/>
      <c r="R3" s="567"/>
      <c r="S3" s="567"/>
      <c r="T3" s="568"/>
      <c r="U3" s="2"/>
    </row>
    <row r="4" spans="2:23" x14ac:dyDescent="0.25">
      <c r="B4" s="7"/>
      <c r="E4" t="s">
        <v>863</v>
      </c>
      <c r="O4" s="567"/>
      <c r="P4" s="567"/>
      <c r="Q4" s="567"/>
      <c r="R4" s="567"/>
      <c r="S4" s="567"/>
      <c r="T4" s="568"/>
      <c r="U4" s="2"/>
    </row>
    <row r="5" spans="2:23" x14ac:dyDescent="0.25">
      <c r="B5" s="7"/>
      <c r="C5" s="59" t="s">
        <v>193</v>
      </c>
      <c r="E5" t="s">
        <v>864</v>
      </c>
      <c r="I5" s="12"/>
      <c r="O5" s="567"/>
      <c r="P5" s="567"/>
      <c r="Q5" s="567"/>
      <c r="R5" s="567"/>
      <c r="S5" s="567"/>
      <c r="T5" s="568"/>
      <c r="U5" s="2"/>
    </row>
    <row r="6" spans="2:23" x14ac:dyDescent="0.25">
      <c r="B6" s="7"/>
      <c r="C6" s="59"/>
      <c r="O6" s="567"/>
      <c r="P6" s="567"/>
      <c r="Q6" s="567"/>
      <c r="R6" s="567"/>
      <c r="S6" s="567"/>
      <c r="T6" s="568"/>
      <c r="U6" s="2"/>
    </row>
    <row r="7" spans="2:23" x14ac:dyDescent="0.25">
      <c r="B7" s="7"/>
      <c r="C7" s="59"/>
      <c r="O7" s="567"/>
      <c r="P7" s="567"/>
      <c r="Q7" s="567"/>
      <c r="R7" s="567"/>
      <c r="S7" s="567"/>
      <c r="T7" s="568"/>
      <c r="U7" s="2"/>
    </row>
    <row r="8" spans="2:23" ht="16.5" thickBot="1" x14ac:dyDescent="0.3"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3"/>
      <c r="T8" s="14"/>
      <c r="U8" s="2"/>
    </row>
    <row r="9" spans="2:23" ht="16.5" hidden="1" thickBot="1" x14ac:dyDescent="0.3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61"/>
      <c r="T9" s="62"/>
      <c r="U9" s="2"/>
    </row>
    <row r="10" spans="2:23" ht="16.5" hidden="1" thickBot="1" x14ac:dyDescent="0.3">
      <c r="B10" s="7"/>
      <c r="C10" t="s">
        <v>2</v>
      </c>
      <c r="E10" s="78" t="s">
        <v>3</v>
      </c>
      <c r="I10" t="s">
        <v>4</v>
      </c>
      <c r="M10" s="567" t="s">
        <v>5</v>
      </c>
      <c r="N10" s="567"/>
      <c r="Q10" t="s">
        <v>6</v>
      </c>
      <c r="S10" s="78" t="s">
        <v>710</v>
      </c>
      <c r="T10" s="63"/>
    </row>
    <row r="11" spans="2:23" ht="16.5" hidden="1" thickBot="1" x14ac:dyDescent="0.3">
      <c r="B11" s="7"/>
      <c r="T11" s="63"/>
    </row>
    <row r="12" spans="2:23" s="1" customFormat="1" ht="18" customHeight="1" x14ac:dyDescent="0.25">
      <c r="B12" s="627" t="s">
        <v>859</v>
      </c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8"/>
      <c r="N12" s="628"/>
      <c r="O12" s="628"/>
      <c r="P12" s="628"/>
      <c r="Q12" s="628"/>
      <c r="R12" s="628"/>
      <c r="S12" s="628"/>
      <c r="T12" s="629"/>
    </row>
    <row r="13" spans="2:23" s="34" customFormat="1" ht="20.100000000000001" customHeight="1" x14ac:dyDescent="0.25">
      <c r="B13" s="630" t="str">
        <f>Unterkörper9!B13</f>
        <v>LOADED - TGU - 1/2-KN. TO STAND</v>
      </c>
      <c r="C13" s="631"/>
      <c r="D13" s="631"/>
      <c r="E13" s="633" t="str">
        <f>Unterkörper9!E13</f>
        <v>SIDEWAY CRAB CRAWL</v>
      </c>
      <c r="F13" s="634"/>
      <c r="G13" s="631" t="str">
        <f>Unterkörper9!G13</f>
        <v>SUITCASE/ RACK CROSS CARRY</v>
      </c>
      <c r="H13" s="631"/>
      <c r="I13" s="631"/>
      <c r="J13" s="631" t="str">
        <f>Unterkörper9!J13</f>
        <v>1-ARM 1KB OH SQUAT</v>
      </c>
      <c r="K13" s="631"/>
      <c r="L13" s="631"/>
      <c r="M13" s="631"/>
      <c r="N13" s="631" t="str">
        <f>Unterkörper9!N13</f>
        <v>1-ARM 1KB SUITCASE DEADLIFT</v>
      </c>
      <c r="O13" s="631"/>
      <c r="P13" s="631"/>
      <c r="Q13" s="631"/>
      <c r="R13" s="631" t="str">
        <f>Unterkörper9!R13</f>
        <v>1KB 1-LEG DEADLIFT</v>
      </c>
      <c r="S13" s="631"/>
      <c r="T13" s="632"/>
    </row>
    <row r="14" spans="2:23" s="34" customFormat="1" ht="20.100000000000001" customHeight="1" x14ac:dyDescent="0.25">
      <c r="B14" s="657" t="s">
        <v>860</v>
      </c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8"/>
      <c r="N14" s="658"/>
      <c r="O14" s="658"/>
      <c r="P14" s="658"/>
      <c r="Q14" s="658"/>
      <c r="R14" s="658"/>
      <c r="S14" s="658"/>
      <c r="T14" s="659"/>
    </row>
    <row r="15" spans="2:23" s="34" customFormat="1" ht="20.100000000000001" customHeight="1" thickBot="1" x14ac:dyDescent="0.3">
      <c r="B15" s="585" t="str">
        <f>Unterkörper9!B15</f>
        <v>LOADED ANKLE ROCKERS WIPERS</v>
      </c>
      <c r="C15" s="553"/>
      <c r="D15" s="553"/>
      <c r="E15" s="625" t="str">
        <f>Unterkörper9!E15</f>
        <v>SEATED CALF RAISE 90° MAX FORCE 20 SEC</v>
      </c>
      <c r="F15" s="626"/>
      <c r="G15" s="553" t="str">
        <f>Unterkörper9!G15</f>
        <v>LOADED 1-ARM WAITER ANKLE BOUNDS</v>
      </c>
      <c r="H15" s="553"/>
      <c r="I15" s="553"/>
      <c r="J15" s="553" t="str">
        <f>Unterkörper9!J15</f>
        <v>LOADED 1-ARM OH 1-LEG A-SKIP</v>
      </c>
      <c r="K15" s="553"/>
      <c r="L15" s="553"/>
      <c r="M15" s="553"/>
      <c r="N15" s="553" t="str">
        <f>Unterkörper9!N15</f>
        <v>REACTIVE 1-LEG LATERAL HOP - TO BOX (CM)</v>
      </c>
      <c r="O15" s="553"/>
      <c r="P15" s="553"/>
      <c r="Q15" s="553"/>
      <c r="R15" s="553" t="str">
        <f>Unterkörper9!R15</f>
        <v>SQUAT JUMPS</v>
      </c>
      <c r="S15" s="553"/>
      <c r="T15" s="556"/>
    </row>
    <row r="16" spans="2:23" ht="16.5" thickBot="1" x14ac:dyDescent="0.3">
      <c r="B16" s="647" t="str">
        <f>Unterkörper10!B17</f>
        <v>LEVEL 10</v>
      </c>
      <c r="C16" s="648"/>
      <c r="D16" s="648"/>
      <c r="E16" s="649"/>
      <c r="F16" s="1"/>
      <c r="G16" s="592" t="s">
        <v>352</v>
      </c>
      <c r="H16" s="593"/>
      <c r="I16" s="593"/>
      <c r="J16" s="593"/>
      <c r="K16" s="593"/>
      <c r="L16" s="593"/>
      <c r="M16" s="593"/>
      <c r="N16" s="593"/>
      <c r="O16" s="593"/>
      <c r="P16" s="593"/>
      <c r="Q16" s="593"/>
      <c r="R16" s="593"/>
      <c r="S16" s="593"/>
      <c r="T16" s="594"/>
      <c r="W16" s="794" t="s">
        <v>802</v>
      </c>
    </row>
    <row r="17" spans="2:23" ht="21.6" customHeight="1" thickBot="1" x14ac:dyDescent="0.3">
      <c r="B17" s="622"/>
      <c r="C17" s="623"/>
      <c r="D17" s="623"/>
      <c r="E17" s="624"/>
      <c r="F17" s="1"/>
      <c r="G17" s="70" t="s">
        <v>865</v>
      </c>
      <c r="H17" s="582" t="s">
        <v>877</v>
      </c>
      <c r="I17" s="583"/>
      <c r="J17" s="71" t="s">
        <v>866</v>
      </c>
      <c r="K17" s="64"/>
      <c r="L17" s="70" t="s">
        <v>867</v>
      </c>
      <c r="M17" s="582" t="s">
        <v>878</v>
      </c>
      <c r="N17" s="583"/>
      <c r="O17" s="71" t="s">
        <v>868</v>
      </c>
      <c r="P17" s="64"/>
      <c r="Q17" s="70" t="s">
        <v>869</v>
      </c>
      <c r="R17" s="595" t="s">
        <v>879</v>
      </c>
      <c r="S17" s="596"/>
      <c r="T17" s="71" t="s">
        <v>870</v>
      </c>
      <c r="W17" s="175" t="s">
        <v>805</v>
      </c>
    </row>
    <row r="18" spans="2:23" ht="18" customHeight="1" thickBot="1" x14ac:dyDescent="0.3">
      <c r="B18" s="641" t="s">
        <v>858</v>
      </c>
      <c r="C18" s="642"/>
      <c r="D18" s="642"/>
      <c r="E18" s="643"/>
      <c r="F18" s="72"/>
      <c r="G18" s="501" t="s">
        <v>880</v>
      </c>
      <c r="H18" s="502" t="s">
        <v>9</v>
      </c>
      <c r="I18" s="502" t="s">
        <v>11</v>
      </c>
      <c r="J18" s="503" t="s">
        <v>880</v>
      </c>
      <c r="K18" s="1"/>
      <c r="L18" s="501" t="s">
        <v>880</v>
      </c>
      <c r="M18" s="502" t="s">
        <v>9</v>
      </c>
      <c r="N18" s="502" t="s">
        <v>11</v>
      </c>
      <c r="O18" s="503" t="s">
        <v>880</v>
      </c>
      <c r="P18" s="1"/>
      <c r="Q18" s="504" t="s">
        <v>880</v>
      </c>
      <c r="R18" s="505" t="s">
        <v>9</v>
      </c>
      <c r="S18" s="505" t="s">
        <v>11</v>
      </c>
      <c r="T18" s="506" t="s">
        <v>880</v>
      </c>
      <c r="W18" s="163" t="s">
        <v>804</v>
      </c>
    </row>
    <row r="19" spans="2:23" s="1" customFormat="1" ht="19.899999999999999" customHeight="1" x14ac:dyDescent="0.25">
      <c r="B19" s="9">
        <v>1</v>
      </c>
      <c r="C19" s="560" t="s">
        <v>223</v>
      </c>
      <c r="D19" s="560"/>
      <c r="E19" s="561"/>
      <c r="G19" s="18"/>
      <c r="H19" s="22" t="s">
        <v>12</v>
      </c>
      <c r="I19" s="28" t="s">
        <v>14</v>
      </c>
      <c r="J19" s="20"/>
      <c r="L19" s="18"/>
      <c r="M19" s="19" t="str">
        <f t="shared" ref="M19:N21" si="0">H19</f>
        <v>EXPL</v>
      </c>
      <c r="N19" s="19" t="str">
        <f t="shared" si="0"/>
        <v>3x5</v>
      </c>
      <c r="O19" s="20"/>
      <c r="Q19" s="43"/>
      <c r="R19" s="44" t="str">
        <f t="shared" ref="R19:S21" si="1">H19</f>
        <v>EXPL</v>
      </c>
      <c r="S19" s="44" t="str">
        <f t="shared" si="1"/>
        <v>3x5</v>
      </c>
      <c r="T19" s="45"/>
      <c r="W19" s="194" t="s">
        <v>810</v>
      </c>
    </row>
    <row r="20" spans="2:23" s="1" customFormat="1" ht="19.899999999999999" customHeight="1" x14ac:dyDescent="0.25">
      <c r="B20" s="3">
        <v>2</v>
      </c>
      <c r="C20" s="567" t="s">
        <v>833</v>
      </c>
      <c r="D20" s="567"/>
      <c r="E20" s="568"/>
      <c r="G20" s="67"/>
      <c r="H20" s="28" t="s">
        <v>12</v>
      </c>
      <c r="I20" s="28" t="s">
        <v>14</v>
      </c>
      <c r="J20" s="69"/>
      <c r="L20" s="67"/>
      <c r="M20" s="68" t="str">
        <f t="shared" si="0"/>
        <v>EXPL</v>
      </c>
      <c r="N20" s="68" t="str">
        <f t="shared" si="0"/>
        <v>3x5</v>
      </c>
      <c r="O20" s="69"/>
      <c r="Q20" s="75"/>
      <c r="R20" s="76" t="str">
        <f t="shared" si="1"/>
        <v>EXPL</v>
      </c>
      <c r="S20" s="76" t="str">
        <f t="shared" si="1"/>
        <v>3x5</v>
      </c>
      <c r="T20" s="77"/>
      <c r="W20" s="205" t="s">
        <v>797</v>
      </c>
    </row>
    <row r="21" spans="2:23" s="1" customFormat="1" ht="19.899999999999999" customHeight="1" thickBot="1" x14ac:dyDescent="0.3">
      <c r="B21" s="4">
        <v>3</v>
      </c>
      <c r="C21" s="565" t="s">
        <v>834</v>
      </c>
      <c r="D21" s="565"/>
      <c r="E21" s="566"/>
      <c r="G21" s="24"/>
      <c r="H21" s="25" t="s">
        <v>12</v>
      </c>
      <c r="I21" s="25" t="s">
        <v>14</v>
      </c>
      <c r="J21" s="26"/>
      <c r="L21" s="24"/>
      <c r="M21" s="25" t="str">
        <f t="shared" si="0"/>
        <v>EXPL</v>
      </c>
      <c r="N21" s="25" t="str">
        <f t="shared" si="0"/>
        <v>3x5</v>
      </c>
      <c r="O21" s="26"/>
      <c r="Q21" s="46"/>
      <c r="R21" s="47" t="str">
        <f t="shared" si="1"/>
        <v>EXPL</v>
      </c>
      <c r="S21" s="47" t="str">
        <f t="shared" si="1"/>
        <v>3x5</v>
      </c>
      <c r="T21" s="48"/>
      <c r="W21" s="166" t="s">
        <v>812</v>
      </c>
    </row>
    <row r="22" spans="2:23" s="2" customFormat="1" ht="4.9000000000000004" customHeight="1" thickBot="1" x14ac:dyDescent="0.3">
      <c r="B22" s="73"/>
      <c r="Q22" s="49"/>
      <c r="R22" s="49"/>
      <c r="S22" s="49"/>
      <c r="T22" s="74"/>
      <c r="W22" s="183" t="s">
        <v>807</v>
      </c>
    </row>
    <row r="23" spans="2:23" s="523" customFormat="1" ht="18" customHeight="1" thickBot="1" x14ac:dyDescent="0.3">
      <c r="B23" s="644" t="s">
        <v>871</v>
      </c>
      <c r="C23" s="645"/>
      <c r="D23" s="645"/>
      <c r="E23" s="646"/>
      <c r="G23" s="524" t="s">
        <v>880</v>
      </c>
      <c r="H23" s="525" t="s">
        <v>9</v>
      </c>
      <c r="I23" s="525" t="s">
        <v>896</v>
      </c>
      <c r="J23" s="526" t="s">
        <v>880</v>
      </c>
      <c r="L23" s="524" t="str">
        <f>G23</f>
        <v>GEWICHT</v>
      </c>
      <c r="M23" s="525" t="s">
        <v>9</v>
      </c>
      <c r="N23" s="525" t="str">
        <f>I23</f>
        <v>SxR/RPE 7-8</v>
      </c>
      <c r="O23" s="526" t="s">
        <v>880</v>
      </c>
      <c r="Q23" s="524" t="str">
        <f>L23</f>
        <v>GEWICHT</v>
      </c>
      <c r="R23" s="525" t="s">
        <v>9</v>
      </c>
      <c r="S23" s="525" t="str">
        <f>I23</f>
        <v>SxR/RPE 7-8</v>
      </c>
      <c r="T23" s="526" t="s">
        <v>880</v>
      </c>
      <c r="W23" s="178" t="s">
        <v>806</v>
      </c>
    </row>
    <row r="24" spans="2:23" s="1" customFormat="1" ht="19.899999999999999" customHeight="1" x14ac:dyDescent="0.25">
      <c r="B24" s="9">
        <v>1</v>
      </c>
      <c r="C24" s="560" t="s">
        <v>255</v>
      </c>
      <c r="D24" s="560"/>
      <c r="E24" s="561"/>
      <c r="G24" s="21"/>
      <c r="H24" s="22" t="s">
        <v>890</v>
      </c>
      <c r="I24" s="28" t="s">
        <v>841</v>
      </c>
      <c r="J24" s="23"/>
      <c r="L24" s="21"/>
      <c r="M24" s="22" t="str">
        <f>H24</f>
        <v>2-1-1-0</v>
      </c>
      <c r="N24" s="22" t="str">
        <f>I24</f>
        <v>3-4x5</v>
      </c>
      <c r="O24" s="23"/>
      <c r="Q24" s="50"/>
      <c r="R24" s="52" t="str">
        <f>H24</f>
        <v>2-1-1-0</v>
      </c>
      <c r="S24" s="52" t="str">
        <f>I24</f>
        <v>3-4x5</v>
      </c>
      <c r="T24" s="53"/>
      <c r="W24" s="186" t="s">
        <v>808</v>
      </c>
    </row>
    <row r="25" spans="2:23" s="1" customFormat="1" ht="19.899999999999999" customHeight="1" x14ac:dyDescent="0.25">
      <c r="B25" s="3">
        <v>2</v>
      </c>
      <c r="C25" s="567" t="s">
        <v>278</v>
      </c>
      <c r="D25" s="567"/>
      <c r="E25" s="568"/>
      <c r="G25" s="27"/>
      <c r="H25" s="28" t="s">
        <v>890</v>
      </c>
      <c r="I25" s="28" t="s">
        <v>841</v>
      </c>
      <c r="J25" s="29"/>
      <c r="L25" s="27"/>
      <c r="M25" s="28" t="str">
        <f>H25</f>
        <v>2-1-1-0</v>
      </c>
      <c r="N25" s="28" t="str">
        <f>I25</f>
        <v>3-4x5</v>
      </c>
      <c r="O25" s="29"/>
      <c r="Q25" s="54"/>
      <c r="R25" s="56" t="str">
        <f>H25</f>
        <v>2-1-1-0</v>
      </c>
      <c r="S25" s="56" t="str">
        <f>I25</f>
        <v>3-4x5</v>
      </c>
      <c r="T25" s="57"/>
      <c r="W25" s="160" t="s">
        <v>803</v>
      </c>
    </row>
    <row r="26" spans="2:23" s="1" customFormat="1" ht="19.899999999999999" customHeight="1" thickBot="1" x14ac:dyDescent="0.3">
      <c r="B26" s="4">
        <v>3</v>
      </c>
      <c r="C26" s="565" t="s">
        <v>336</v>
      </c>
      <c r="D26" s="565"/>
      <c r="E26" s="566"/>
      <c r="G26" s="24"/>
      <c r="H26" s="25" t="s">
        <v>915</v>
      </c>
      <c r="I26" s="25" t="s">
        <v>712</v>
      </c>
      <c r="J26" s="26"/>
      <c r="L26" s="24"/>
      <c r="M26" s="25" t="str">
        <f>H26</f>
        <v>1-1-1-1</v>
      </c>
      <c r="N26" s="25" t="str">
        <f>I26</f>
        <v>2x15m</v>
      </c>
      <c r="O26" s="26"/>
      <c r="Q26" s="46"/>
      <c r="R26" s="47" t="str">
        <f>H26</f>
        <v>1-1-1-1</v>
      </c>
      <c r="S26" s="47" t="str">
        <f>I26</f>
        <v>2x15m</v>
      </c>
      <c r="T26" s="48"/>
      <c r="W26" s="528" t="s">
        <v>815</v>
      </c>
    </row>
    <row r="27" spans="2:23" s="2" customFormat="1" ht="4.9000000000000004" customHeight="1" thickBot="1" x14ac:dyDescent="0.3">
      <c r="B27" s="73"/>
      <c r="Q27" s="49"/>
      <c r="R27" s="49"/>
      <c r="S27" s="49"/>
      <c r="T27" s="74"/>
      <c r="W27" s="169" t="s">
        <v>799</v>
      </c>
    </row>
    <row r="28" spans="2:23" s="1" customFormat="1" ht="19.899999999999999" customHeight="1" x14ac:dyDescent="0.25">
      <c r="B28" s="9">
        <v>4</v>
      </c>
      <c r="C28" s="560" t="s">
        <v>281</v>
      </c>
      <c r="D28" s="560"/>
      <c r="E28" s="561"/>
      <c r="G28" s="21"/>
      <c r="H28" s="22" t="s">
        <v>890</v>
      </c>
      <c r="I28" s="22" t="s">
        <v>841</v>
      </c>
      <c r="J28" s="23"/>
      <c r="L28" s="21"/>
      <c r="M28" s="22" t="str">
        <f t="shared" ref="M28:N30" si="2">H28</f>
        <v>2-1-1-0</v>
      </c>
      <c r="N28" s="22" t="str">
        <f t="shared" si="2"/>
        <v>3-4x5</v>
      </c>
      <c r="O28" s="23"/>
      <c r="Q28" s="50"/>
      <c r="R28" s="52" t="str">
        <f t="shared" ref="R28:S30" si="3">H28</f>
        <v>2-1-1-0</v>
      </c>
      <c r="S28" s="52" t="str">
        <f t="shared" si="3"/>
        <v>3-4x5</v>
      </c>
      <c r="T28" s="53"/>
      <c r="W28" s="232" t="s">
        <v>798</v>
      </c>
    </row>
    <row r="29" spans="2:23" s="1" customFormat="1" ht="19.899999999999999" customHeight="1" thickBot="1" x14ac:dyDescent="0.3">
      <c r="B29" s="3">
        <v>5</v>
      </c>
      <c r="C29" s="567" t="s">
        <v>775</v>
      </c>
      <c r="D29" s="567"/>
      <c r="E29" s="568"/>
      <c r="G29" s="27"/>
      <c r="H29" s="28" t="s">
        <v>890</v>
      </c>
      <c r="I29" s="28" t="s">
        <v>841</v>
      </c>
      <c r="J29" s="29"/>
      <c r="L29" s="27"/>
      <c r="M29" s="28" t="str">
        <f t="shared" si="2"/>
        <v>2-1-1-0</v>
      </c>
      <c r="N29" s="28" t="str">
        <f t="shared" si="2"/>
        <v>3-4x5</v>
      </c>
      <c r="O29" s="29"/>
      <c r="Q29" s="54"/>
      <c r="R29" s="56" t="str">
        <f t="shared" si="3"/>
        <v>2-1-1-0</v>
      </c>
      <c r="S29" s="28" t="str">
        <f t="shared" si="3"/>
        <v>3-4x5</v>
      </c>
      <c r="T29" s="57"/>
      <c r="W29" s="235" t="s">
        <v>801</v>
      </c>
    </row>
    <row r="30" spans="2:23" s="1" customFormat="1" ht="19.899999999999999" customHeight="1" thickBot="1" x14ac:dyDescent="0.3">
      <c r="B30" s="4">
        <v>6</v>
      </c>
      <c r="C30" s="565" t="s">
        <v>56</v>
      </c>
      <c r="D30" s="565"/>
      <c r="E30" s="566"/>
      <c r="G30" s="24"/>
      <c r="H30" s="25" t="s">
        <v>888</v>
      </c>
      <c r="I30" s="25" t="s">
        <v>14</v>
      </c>
      <c r="J30" s="26"/>
      <c r="L30" s="24"/>
      <c r="M30" s="25" t="str">
        <f t="shared" si="2"/>
        <v>3-1-1-0</v>
      </c>
      <c r="N30" s="25" t="str">
        <f t="shared" si="2"/>
        <v>3x5</v>
      </c>
      <c r="O30" s="26"/>
      <c r="Q30" s="46"/>
      <c r="R30" s="47" t="str">
        <f t="shared" si="3"/>
        <v>3-1-1-0</v>
      </c>
      <c r="S30" s="47" t="str">
        <f t="shared" si="3"/>
        <v>3x5</v>
      </c>
      <c r="T30" s="48"/>
    </row>
    <row r="31" spans="2:23" s="1" customFormat="1" ht="5.0999999999999996" customHeight="1" thickBot="1" x14ac:dyDescent="0.3">
      <c r="B31" s="4"/>
      <c r="C31" s="66"/>
      <c r="D31" s="66"/>
      <c r="E31" s="113"/>
      <c r="G31" s="4"/>
      <c r="H31" s="66"/>
      <c r="I31" s="66"/>
      <c r="J31" s="66"/>
      <c r="L31" s="66"/>
      <c r="M31" s="66"/>
      <c r="N31" s="66"/>
      <c r="O31" s="66"/>
      <c r="Q31" s="115"/>
      <c r="R31" s="115"/>
      <c r="S31" s="115"/>
      <c r="T31" s="116"/>
    </row>
    <row r="32" spans="2:23" s="2" customFormat="1" ht="18" customHeight="1" thickBot="1" x14ac:dyDescent="0.3">
      <c r="B32" s="635" t="s">
        <v>872</v>
      </c>
      <c r="C32" s="636"/>
      <c r="D32" s="636"/>
      <c r="E32" s="637"/>
      <c r="F32" s="114"/>
      <c r="G32" s="517" t="s">
        <v>880</v>
      </c>
      <c r="H32" s="518" t="s">
        <v>9</v>
      </c>
      <c r="I32" s="518" t="s">
        <v>896</v>
      </c>
      <c r="J32" s="519" t="s">
        <v>880</v>
      </c>
      <c r="K32" s="1"/>
      <c r="L32" s="517" t="s">
        <v>880</v>
      </c>
      <c r="M32" s="518" t="s">
        <v>9</v>
      </c>
      <c r="N32" s="518" t="str">
        <f>I32</f>
        <v>SxR/RPE 7-8</v>
      </c>
      <c r="O32" s="519" t="s">
        <v>880</v>
      </c>
      <c r="P32" s="1"/>
      <c r="Q32" s="517" t="s">
        <v>880</v>
      </c>
      <c r="R32" s="518" t="s">
        <v>9</v>
      </c>
      <c r="S32" s="518" t="str">
        <f>I32</f>
        <v>SxR/RPE 7-8</v>
      </c>
      <c r="T32" s="519" t="s">
        <v>880</v>
      </c>
    </row>
    <row r="33" spans="2:20" s="1" customFormat="1" ht="19.899999999999999" customHeight="1" x14ac:dyDescent="0.25">
      <c r="B33" s="9">
        <v>7</v>
      </c>
      <c r="C33" s="560" t="s">
        <v>262</v>
      </c>
      <c r="D33" s="560"/>
      <c r="E33" s="561"/>
      <c r="G33" s="21"/>
      <c r="H33" s="22" t="s">
        <v>889</v>
      </c>
      <c r="I33" s="22" t="s">
        <v>708</v>
      </c>
      <c r="J33" s="23"/>
      <c r="L33" s="21"/>
      <c r="M33" s="22" t="str">
        <f>H33</f>
        <v>3-1-1-1</v>
      </c>
      <c r="N33" s="22" t="str">
        <f>I33</f>
        <v>3x8</v>
      </c>
      <c r="O33" s="23"/>
      <c r="Q33" s="50"/>
      <c r="R33" s="52" t="str">
        <f>H33</f>
        <v>3-1-1-1</v>
      </c>
      <c r="S33" s="52" t="str">
        <f>I33</f>
        <v>3x8</v>
      </c>
      <c r="T33" s="53"/>
    </row>
    <row r="34" spans="2:20" s="1" customFormat="1" ht="19.899999999999999" customHeight="1" x14ac:dyDescent="0.25">
      <c r="B34" s="3">
        <v>8</v>
      </c>
      <c r="C34" s="567" t="s">
        <v>203</v>
      </c>
      <c r="D34" s="567"/>
      <c r="E34" s="568"/>
      <c r="G34" s="27"/>
      <c r="H34" s="28" t="s">
        <v>889</v>
      </c>
      <c r="I34" s="28" t="s">
        <v>708</v>
      </c>
      <c r="J34" s="29"/>
      <c r="L34" s="27"/>
      <c r="M34" s="28" t="str">
        <f>H34</f>
        <v>3-1-1-1</v>
      </c>
      <c r="N34" s="28" t="str">
        <f>I34</f>
        <v>3x8</v>
      </c>
      <c r="O34" s="29"/>
      <c r="Q34" s="54"/>
      <c r="R34" s="56" t="str">
        <f>H34</f>
        <v>3-1-1-1</v>
      </c>
      <c r="S34" s="28" t="str">
        <f>I34</f>
        <v>3x8</v>
      </c>
      <c r="T34" s="57"/>
    </row>
    <row r="35" spans="2:20" s="1" customFormat="1" ht="19.899999999999999" customHeight="1" thickBot="1" x14ac:dyDescent="0.3">
      <c r="B35" s="4">
        <v>9</v>
      </c>
      <c r="C35" s="565" t="s">
        <v>778</v>
      </c>
      <c r="D35" s="565"/>
      <c r="E35" s="566"/>
      <c r="G35" s="24"/>
      <c r="H35" s="25" t="s">
        <v>888</v>
      </c>
      <c r="I35" s="25" t="s">
        <v>708</v>
      </c>
      <c r="J35" s="26"/>
      <c r="L35" s="24"/>
      <c r="M35" s="25" t="str">
        <f>H35</f>
        <v>3-1-1-0</v>
      </c>
      <c r="N35" s="25" t="str">
        <f>I35</f>
        <v>3x8</v>
      </c>
      <c r="O35" s="26"/>
      <c r="Q35" s="46"/>
      <c r="R35" s="47" t="str">
        <f>H35</f>
        <v>3-1-1-0</v>
      </c>
      <c r="S35" s="47" t="str">
        <f>I35</f>
        <v>3x8</v>
      </c>
      <c r="T35" s="48"/>
    </row>
    <row r="36" spans="2:20" s="2" customFormat="1" ht="4.9000000000000004" customHeight="1" thickBot="1" x14ac:dyDescent="0.3">
      <c r="B36" s="73"/>
      <c r="H36" s="1"/>
      <c r="Q36" s="49"/>
      <c r="R36" s="49"/>
      <c r="S36" s="49"/>
      <c r="T36" s="74"/>
    </row>
    <row r="37" spans="2:20" s="1" customFormat="1" ht="19.899999999999999" customHeight="1" x14ac:dyDescent="0.25">
      <c r="B37" s="9">
        <v>10</v>
      </c>
      <c r="C37" s="560" t="s">
        <v>263</v>
      </c>
      <c r="D37" s="560"/>
      <c r="E37" s="561"/>
      <c r="G37" s="21"/>
      <c r="H37" s="22" t="s">
        <v>890</v>
      </c>
      <c r="I37" s="22" t="s">
        <v>708</v>
      </c>
      <c r="J37" s="23"/>
      <c r="L37" s="21"/>
      <c r="M37" s="22" t="str">
        <f t="shared" ref="M37:N39" si="4">H37</f>
        <v>2-1-1-0</v>
      </c>
      <c r="N37" s="22" t="str">
        <f t="shared" si="4"/>
        <v>3x8</v>
      </c>
      <c r="O37" s="23"/>
      <c r="Q37" s="21"/>
      <c r="R37" s="22" t="str">
        <f t="shared" ref="R37:S39" si="5">H37</f>
        <v>2-1-1-0</v>
      </c>
      <c r="S37" s="52" t="str">
        <f t="shared" si="5"/>
        <v>3x8</v>
      </c>
      <c r="T37" s="23"/>
    </row>
    <row r="38" spans="2:20" s="1" customFormat="1" ht="19.899999999999999" customHeight="1" x14ac:dyDescent="0.25">
      <c r="B38" s="3">
        <v>11</v>
      </c>
      <c r="C38" s="567" t="s">
        <v>513</v>
      </c>
      <c r="D38" s="567"/>
      <c r="E38" s="568"/>
      <c r="G38" s="27"/>
      <c r="H38" s="28" t="s">
        <v>911</v>
      </c>
      <c r="I38" s="28" t="s">
        <v>708</v>
      </c>
      <c r="J38" s="29"/>
      <c r="L38" s="27"/>
      <c r="M38" s="28" t="str">
        <f t="shared" si="4"/>
        <v>5-0-3-0</v>
      </c>
      <c r="N38" s="28" t="str">
        <f t="shared" si="4"/>
        <v>3x8</v>
      </c>
      <c r="O38" s="29"/>
      <c r="Q38" s="27"/>
      <c r="R38" s="28" t="str">
        <f t="shared" si="5"/>
        <v>5-0-3-0</v>
      </c>
      <c r="S38" s="28" t="str">
        <f t="shared" si="5"/>
        <v>3x8</v>
      </c>
      <c r="T38" s="29"/>
    </row>
    <row r="39" spans="2:20" s="1" customFormat="1" ht="19.899999999999999" customHeight="1" thickBot="1" x14ac:dyDescent="0.3">
      <c r="B39" s="4">
        <v>12</v>
      </c>
      <c r="C39" s="565" t="s">
        <v>736</v>
      </c>
      <c r="D39" s="565"/>
      <c r="E39" s="566"/>
      <c r="G39" s="24"/>
      <c r="H39" s="25" t="s">
        <v>889</v>
      </c>
      <c r="I39" s="25" t="s">
        <v>708</v>
      </c>
      <c r="J39" s="26"/>
      <c r="L39" s="24"/>
      <c r="M39" s="25" t="str">
        <f t="shared" si="4"/>
        <v>3-1-1-1</v>
      </c>
      <c r="N39" s="25" t="str">
        <f t="shared" si="4"/>
        <v>3x8</v>
      </c>
      <c r="O39" s="26"/>
      <c r="Q39" s="46"/>
      <c r="R39" s="47" t="str">
        <f t="shared" si="5"/>
        <v>3-1-1-1</v>
      </c>
      <c r="S39" s="47" t="str">
        <f t="shared" si="5"/>
        <v>3x8</v>
      </c>
      <c r="T39" s="48"/>
    </row>
    <row r="40" spans="2:20" s="1" customFormat="1" ht="5.0999999999999996" customHeight="1" thickBot="1" x14ac:dyDescent="0.3">
      <c r="B40" s="4"/>
      <c r="C40" s="66"/>
      <c r="D40" s="66"/>
      <c r="E40" s="113"/>
      <c r="G40" s="4"/>
      <c r="H40" s="66"/>
      <c r="I40" s="66"/>
      <c r="J40" s="66"/>
      <c r="L40" s="66"/>
      <c r="M40" s="66"/>
      <c r="N40" s="66"/>
      <c r="O40" s="66"/>
      <c r="Q40" s="115"/>
      <c r="R40" s="115"/>
      <c r="S40" s="115"/>
      <c r="T40" s="116"/>
    </row>
    <row r="41" spans="2:20" s="2" customFormat="1" ht="18" customHeight="1" thickBot="1" x14ac:dyDescent="0.3">
      <c r="B41" s="638" t="s">
        <v>876</v>
      </c>
      <c r="C41" s="639"/>
      <c r="D41" s="639"/>
      <c r="E41" s="640"/>
      <c r="G41" s="520" t="s">
        <v>880</v>
      </c>
      <c r="H41" s="521" t="s">
        <v>9</v>
      </c>
      <c r="I41" s="521" t="s">
        <v>901</v>
      </c>
      <c r="J41" s="522" t="s">
        <v>880</v>
      </c>
      <c r="K41" s="523"/>
      <c r="L41" s="520" t="str">
        <f>G41</f>
        <v>GEWICHT</v>
      </c>
      <c r="M41" s="521" t="s">
        <v>9</v>
      </c>
      <c r="N41" s="521" t="str">
        <f>I41</f>
        <v>SxR/RPE 9</v>
      </c>
      <c r="O41" s="522" t="s">
        <v>880</v>
      </c>
      <c r="P41" s="523"/>
      <c r="Q41" s="520" t="str">
        <f>L41</f>
        <v>GEWICHT</v>
      </c>
      <c r="R41" s="521" t="s">
        <v>9</v>
      </c>
      <c r="S41" s="521" t="str">
        <f>I41</f>
        <v>SxR/RPE 9</v>
      </c>
      <c r="T41" s="522" t="s">
        <v>880</v>
      </c>
    </row>
    <row r="42" spans="2:20" s="1" customFormat="1" ht="19.899999999999999" customHeight="1" x14ac:dyDescent="0.25">
      <c r="B42" s="9">
        <v>13</v>
      </c>
      <c r="C42" s="560" t="s">
        <v>208</v>
      </c>
      <c r="D42" s="560"/>
      <c r="E42" s="561"/>
      <c r="G42" s="21"/>
      <c r="H42" s="22" t="s">
        <v>900</v>
      </c>
      <c r="I42" s="22" t="s">
        <v>717</v>
      </c>
      <c r="J42" s="23"/>
      <c r="L42" s="21"/>
      <c r="M42" s="22" t="str">
        <f>H42</f>
        <v>ISO</v>
      </c>
      <c r="N42" s="22" t="str">
        <f>I42</f>
        <v>6x5s ea</v>
      </c>
      <c r="O42" s="23"/>
      <c r="Q42" s="21"/>
      <c r="R42" s="22" t="str">
        <f>H42</f>
        <v>ISO</v>
      </c>
      <c r="S42" s="22" t="str">
        <f>N42</f>
        <v>6x5s ea</v>
      </c>
      <c r="T42" s="23"/>
    </row>
    <row r="43" spans="2:20" s="1" customFormat="1" ht="19.899999999999999" customHeight="1" x14ac:dyDescent="0.25">
      <c r="B43" s="3">
        <v>14</v>
      </c>
      <c r="C43" s="567" t="s">
        <v>515</v>
      </c>
      <c r="D43" s="567"/>
      <c r="E43" s="568"/>
      <c r="G43" s="27"/>
      <c r="H43" s="28" t="s">
        <v>900</v>
      </c>
      <c r="I43" s="28" t="s">
        <v>717</v>
      </c>
      <c r="J43" s="29"/>
      <c r="L43" s="27"/>
      <c r="M43" s="28" t="str">
        <f>H43</f>
        <v>ISO</v>
      </c>
      <c r="N43" s="28" t="str">
        <f>I43</f>
        <v>6x5s ea</v>
      </c>
      <c r="O43" s="29"/>
      <c r="Q43" s="27"/>
      <c r="R43" s="28" t="str">
        <f>H43</f>
        <v>ISO</v>
      </c>
      <c r="S43" s="28" t="str">
        <f>N43</f>
        <v>6x5s ea</v>
      </c>
      <c r="T43" s="29"/>
    </row>
    <row r="44" spans="2:20" s="1" customFormat="1" ht="19.899999999999999" customHeight="1" thickBot="1" x14ac:dyDescent="0.3">
      <c r="B44" s="4">
        <v>15</v>
      </c>
      <c r="C44" s="571" t="s">
        <v>353</v>
      </c>
      <c r="D44" s="571"/>
      <c r="E44" s="572"/>
      <c r="F44" s="66"/>
      <c r="G44" s="24"/>
      <c r="H44" s="25" t="s">
        <v>900</v>
      </c>
      <c r="I44" s="25" t="s">
        <v>717</v>
      </c>
      <c r="J44" s="26"/>
      <c r="K44" s="66"/>
      <c r="L44" s="24"/>
      <c r="M44" s="25" t="str">
        <f>H44</f>
        <v>ISO</v>
      </c>
      <c r="N44" s="25" t="str">
        <f>I44</f>
        <v>6x5s ea</v>
      </c>
      <c r="O44" s="26"/>
      <c r="P44" s="66"/>
      <c r="Q44" s="24"/>
      <c r="R44" s="25" t="str">
        <f>H44</f>
        <v>ISO</v>
      </c>
      <c r="S44" s="25" t="str">
        <f>N44</f>
        <v>6x5s ea</v>
      </c>
      <c r="T44" s="26"/>
    </row>
  </sheetData>
  <mergeCells count="43">
    <mergeCell ref="C19:E19"/>
    <mergeCell ref="C20:E20"/>
    <mergeCell ref="O2:T7"/>
    <mergeCell ref="M10:N10"/>
    <mergeCell ref="B12:T12"/>
    <mergeCell ref="B13:D13"/>
    <mergeCell ref="E13:F13"/>
    <mergeCell ref="G13:I13"/>
    <mergeCell ref="J13:M13"/>
    <mergeCell ref="N13:Q13"/>
    <mergeCell ref="R13:T13"/>
    <mergeCell ref="B18:E18"/>
    <mergeCell ref="B14:T14"/>
    <mergeCell ref="B15:D15"/>
    <mergeCell ref="E15:F15"/>
    <mergeCell ref="G15:I15"/>
    <mergeCell ref="J15:M15"/>
    <mergeCell ref="N15:Q15"/>
    <mergeCell ref="R15:T15"/>
    <mergeCell ref="B16:E17"/>
    <mergeCell ref="G16:T16"/>
    <mergeCell ref="H17:I17"/>
    <mergeCell ref="M17:N17"/>
    <mergeCell ref="R17:S17"/>
    <mergeCell ref="C21:E21"/>
    <mergeCell ref="B23:E23"/>
    <mergeCell ref="C24:E24"/>
    <mergeCell ref="C33:E33"/>
    <mergeCell ref="C34:E34"/>
    <mergeCell ref="C25:E25"/>
    <mergeCell ref="C35:E35"/>
    <mergeCell ref="C37:E37"/>
    <mergeCell ref="C38:E38"/>
    <mergeCell ref="C26:E26"/>
    <mergeCell ref="C28:E28"/>
    <mergeCell ref="C29:E29"/>
    <mergeCell ref="C30:E30"/>
    <mergeCell ref="B32:E32"/>
    <mergeCell ref="B41:E41"/>
    <mergeCell ref="C42:E42"/>
    <mergeCell ref="C43:E43"/>
    <mergeCell ref="C44:E44"/>
    <mergeCell ref="C39:E39"/>
  </mergeCells>
  <pageMargins left="0.25" right="0.25" top="0.75" bottom="0.75" header="0.3" footer="0.3"/>
  <pageSetup paperSize="9" scale="6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F04EF47B-1845-4322-9343-5FD6BA20FFC6}">
          <x14:formula1>
            <xm:f>' Unterkörper Progressionen '!$Z$2:$Z$17</xm:f>
          </x14:formula1>
          <xm:sqref>N29 S38 S34 N34 N38 S29</xm:sqref>
        </x14:dataValidation>
        <x14:dataValidation type="list" allowBlank="1" showInputMessage="1" showErrorMessage="1" xr:uid="{D60758A3-2691-4BE3-BD05-9065CA9FDD37}">
          <x14:formula1>
            <xm:f>'Oberkörper Progressionen '!$C:$C</xm:f>
          </x14:formula1>
          <xm:sqref>C20:E20</xm:sqref>
        </x14:dataValidation>
        <x14:dataValidation type="list" allowBlank="1" showInputMessage="1" showErrorMessage="1" xr:uid="{BA0D1AA3-51B8-4ADD-814F-8769216DEC8E}">
          <x14:formula1>
            <xm:f>'Oberkörper Progressionen '!$D:$D</xm:f>
          </x14:formula1>
          <xm:sqref>C21:E21</xm:sqref>
        </x14:dataValidation>
        <x14:dataValidation type="list" allowBlank="1" showInputMessage="1" showErrorMessage="1" xr:uid="{E7621C88-1895-4571-9696-8AEE52E133D8}">
          <x14:formula1>
            <xm:f>'Oberkörper Progressionen '!$Q:$Q</xm:f>
          </x14:formula1>
          <xm:sqref>C43:E43</xm:sqref>
        </x14:dataValidation>
        <x14:dataValidation type="list" allowBlank="1" showInputMessage="1" showErrorMessage="1" xr:uid="{2B4C1EF2-7788-4E58-81EB-BE65CD2E8D12}">
          <x14:formula1>
            <xm:f>'Oberkörper Progressionen '!$B:$B</xm:f>
          </x14:formula1>
          <xm:sqref>C19:E19</xm:sqref>
        </x14:dataValidation>
        <x14:dataValidation type="list" allowBlank="1" showInputMessage="1" showErrorMessage="1" xr:uid="{FFCEADDF-2278-4707-B83D-90FA1146A252}">
          <x14:formula1>
            <xm:f>'Oberkörper Progressionen '!$E:$E</xm:f>
          </x14:formula1>
          <xm:sqref>C24:E24</xm:sqref>
        </x14:dataValidation>
        <x14:dataValidation type="list" allowBlank="1" showInputMessage="1" showErrorMessage="1" xr:uid="{2C22031E-4153-439D-91ED-14D338604D25}">
          <x14:formula1>
            <xm:f>'Oberkörper Progressionen '!$F:$F</xm:f>
          </x14:formula1>
          <xm:sqref>C25:E25</xm:sqref>
        </x14:dataValidation>
        <x14:dataValidation type="list" allowBlank="1" showInputMessage="1" showErrorMessage="1" xr:uid="{585ED1BA-AB03-4F55-9C25-51E1E71708E5}">
          <x14:formula1>
            <xm:f>'Oberkörper Progressionen '!$N:$N</xm:f>
          </x14:formula1>
          <xm:sqref>C26:E26</xm:sqref>
        </x14:dataValidation>
        <x14:dataValidation type="list" allowBlank="1" showInputMessage="1" showErrorMessage="1" xr:uid="{CA9475AA-B047-45F4-9E34-8DE95D308E82}">
          <x14:formula1>
            <xm:f>'Oberkörper Progressionen '!$H:$H</xm:f>
          </x14:formula1>
          <xm:sqref>C28:E28</xm:sqref>
        </x14:dataValidation>
        <x14:dataValidation type="list" allowBlank="1" showInputMessage="1" showErrorMessage="1" xr:uid="{A7BBAF3E-AEC6-4CE1-9EA3-417DD6F87DCB}">
          <x14:formula1>
            <xm:f>'Oberkörper Progressionen '!$I:$I</xm:f>
          </x14:formula1>
          <xm:sqref>C29:E29</xm:sqref>
        </x14:dataValidation>
        <x14:dataValidation type="list" allowBlank="1" showInputMessage="1" showErrorMessage="1" xr:uid="{AEAB4AAC-A69C-4545-9E21-12718F0AE1EB}">
          <x14:formula1>
            <xm:f>'Oberkörper Progressionen '!$G:$G</xm:f>
          </x14:formula1>
          <xm:sqref>C30:E31</xm:sqref>
        </x14:dataValidation>
        <x14:dataValidation type="list" allowBlank="1" showInputMessage="1" showErrorMessage="1" xr:uid="{C4D37D8C-2ACD-4ACB-8797-ADC545A3BE32}">
          <x14:formula1>
            <xm:f>'Oberkörper Progressionen '!$L:$L</xm:f>
          </x14:formula1>
          <xm:sqref>C33:E33</xm:sqref>
        </x14:dataValidation>
        <x14:dataValidation type="list" allowBlank="1" showInputMessage="1" showErrorMessage="1" xr:uid="{DACF6852-A254-4AC0-A97D-1EDCE6512355}">
          <x14:formula1>
            <xm:f>'Oberkörper Progressionen '!$M:$M</xm:f>
          </x14:formula1>
          <xm:sqref>C34:E34</xm:sqref>
        </x14:dataValidation>
        <x14:dataValidation type="list" allowBlank="1" showInputMessage="1" showErrorMessage="1" xr:uid="{CBD000CD-B6E7-4C28-ADDA-E748E29979E2}">
          <x14:formula1>
            <xm:f>'Oberkörper Progressionen '!$J:$J</xm:f>
          </x14:formula1>
          <xm:sqref>C35:E35</xm:sqref>
        </x14:dataValidation>
        <x14:dataValidation type="list" allowBlank="1" showInputMessage="1" showErrorMessage="1" xr:uid="{3C9A3A41-27DB-4B12-84FA-4416B0501CB9}">
          <x14:formula1>
            <xm:f>'Oberkörper Progressionen '!$O:$O</xm:f>
          </x14:formula1>
          <xm:sqref>C37:E37</xm:sqref>
        </x14:dataValidation>
        <x14:dataValidation type="list" allowBlank="1" showInputMessage="1" showErrorMessage="1" xr:uid="{26D79297-9DF4-4232-BF36-3CFBE8DC0749}">
          <x14:formula1>
            <xm:f>'Oberkörper Progressionen '!$P:$P</xm:f>
          </x14:formula1>
          <xm:sqref>C38:E38</xm:sqref>
        </x14:dataValidation>
        <x14:dataValidation type="list" allowBlank="1" showInputMessage="1" showErrorMessage="1" xr:uid="{AB535560-1671-4634-96FF-B4FE1349D41B}">
          <x14:formula1>
            <xm:f>'Oberkörper Progressionen '!$K:$K</xm:f>
          </x14:formula1>
          <xm:sqref>C39:E40</xm:sqref>
        </x14:dataValidation>
        <x14:dataValidation type="list" allowBlank="1" showInputMessage="1" showErrorMessage="1" xr:uid="{772B8084-4388-4A74-ABD5-3320434E81C2}">
          <x14:formula1>
            <xm:f>'Oberkörper Progressionen '!$R:$R</xm:f>
          </x14:formula1>
          <xm:sqref>C42:E42</xm:sqref>
        </x14:dataValidation>
        <x14:dataValidation type="list" allowBlank="1" showInputMessage="1" showErrorMessage="1" xr:uid="{724B94CC-DF40-4C24-9152-442B87162A70}">
          <x14:formula1>
            <xm:f>'Oberkörper Progressionen '!$S:$S</xm:f>
          </x14:formula1>
          <xm:sqref>C44:E44</xm:sqref>
        </x14:dataValidation>
        <x14:dataValidation type="list" allowBlank="1" showInputMessage="1" showErrorMessage="1" xr:uid="{5B619938-F20F-44FA-8C71-08F4731E073E}">
          <x14:formula1>
            <xm:f>' Unterkörper Progressionen '!$Z:$Z</xm:f>
          </x14:formula1>
          <xm:sqref>I42:I44 I19:I21 I24:I25 I28:I31 I33:I35 I37:I40</xm:sqref>
        </x14:dataValidation>
        <x14:dataValidation type="list" allowBlank="1" showInputMessage="1" showErrorMessage="1" xr:uid="{EDBF3D6A-A525-4D8C-BDF4-82747D83CE9D}">
          <x14:formula1>
            <xm:f>' Unterkörper Progressionen '!$AA:$AA</xm:f>
          </x14:formula1>
          <xm:sqref>J20:J21</xm:sqref>
        </x14:dataValidation>
        <x14:dataValidation type="list" allowBlank="1" showInputMessage="1" showErrorMessage="1" xr:uid="{D167E0FC-D46D-44D8-A05D-9CBE4A69D32D}">
          <x14:formula1>
            <xm:f>' Unterkörper Progressionen '!$AB:$AB</xm:f>
          </x14:formula1>
          <xm:sqref>H19:H21 H42:H44 H37:H39 H33:H35 H28:H30 H24:H26</xm:sqref>
        </x14:dataValidation>
        <x14:dataValidation type="list" allowBlank="1" showInputMessage="1" showErrorMessage="1" xr:uid="{759BE012-81BF-4571-8A97-4B799A7FB1FE}">
          <x14:formula1>
            <xm:f>' Unterkörper Progressionen '!$AC:$AC</xm:f>
          </x14:formula1>
          <xm:sqref>N23 S41 N41 I41 I32 N32 S32 S23 I23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N26"/>
  <sheetViews>
    <sheetView tabSelected="1" zoomScale="73" workbookViewId="0">
      <selection activeCell="F36" sqref="F36"/>
    </sheetView>
  </sheetViews>
  <sheetFormatPr baseColWidth="10" defaultColWidth="11.25" defaultRowHeight="15.75" x14ac:dyDescent="0.25"/>
  <cols>
    <col min="1" max="1" width="11.25" style="98"/>
    <col min="2" max="4" width="11.25" style="38"/>
    <col min="5" max="5" width="11.25" style="39"/>
    <col min="6" max="14" width="11.25" style="38"/>
    <col min="15" max="16384" width="11.25" style="39"/>
  </cols>
  <sheetData>
    <row r="1" spans="1:14" s="98" customFormat="1" ht="79.900000000000006" customHeight="1" x14ac:dyDescent="0.25">
      <c r="A1" s="110"/>
      <c r="B1" s="111" t="s">
        <v>533</v>
      </c>
      <c r="C1" s="111" t="s">
        <v>534</v>
      </c>
      <c r="D1" s="111" t="s">
        <v>535</v>
      </c>
      <c r="E1" s="111" t="s">
        <v>525</v>
      </c>
      <c r="F1" s="111" t="s">
        <v>536</v>
      </c>
      <c r="G1" s="111" t="s">
        <v>537</v>
      </c>
      <c r="H1" s="111" t="s">
        <v>538</v>
      </c>
      <c r="I1" s="111" t="s">
        <v>539</v>
      </c>
      <c r="J1" s="111" t="s">
        <v>540</v>
      </c>
      <c r="K1" s="111" t="s">
        <v>541</v>
      </c>
      <c r="L1" s="111" t="s">
        <v>542</v>
      </c>
      <c r="M1" s="111" t="s">
        <v>543</v>
      </c>
      <c r="N1" s="97"/>
    </row>
    <row r="2" spans="1:14" ht="79.900000000000006" customHeight="1" x14ac:dyDescent="0.25">
      <c r="A2" s="110" t="s">
        <v>358</v>
      </c>
      <c r="B2" s="112" t="s">
        <v>19</v>
      </c>
      <c r="C2" s="112" t="s">
        <v>198</v>
      </c>
      <c r="D2" s="112" t="s">
        <v>20</v>
      </c>
      <c r="E2" s="112" t="s">
        <v>363</v>
      </c>
      <c r="F2" s="112" t="s">
        <v>384</v>
      </c>
      <c r="G2" s="112" t="s">
        <v>569</v>
      </c>
      <c r="H2" s="112" t="s">
        <v>21</v>
      </c>
      <c r="I2" s="112" t="s">
        <v>544</v>
      </c>
      <c r="J2" s="112" t="s">
        <v>118</v>
      </c>
      <c r="K2" s="112" t="s">
        <v>120</v>
      </c>
      <c r="L2" s="112" t="s">
        <v>117</v>
      </c>
      <c r="M2" s="112" t="s">
        <v>24</v>
      </c>
    </row>
    <row r="3" spans="1:14" ht="79.900000000000006" customHeight="1" x14ac:dyDescent="0.25">
      <c r="A3" s="110" t="s">
        <v>359</v>
      </c>
      <c r="B3" s="112" t="s">
        <v>141</v>
      </c>
      <c r="C3" s="112" t="s">
        <v>147</v>
      </c>
      <c r="D3" s="112" t="s">
        <v>38</v>
      </c>
      <c r="E3" s="112" t="s">
        <v>382</v>
      </c>
      <c r="F3" s="112" t="s">
        <v>566</v>
      </c>
      <c r="G3" s="112" t="s">
        <v>570</v>
      </c>
      <c r="H3" s="112" t="s">
        <v>565</v>
      </c>
      <c r="I3" s="112" t="s">
        <v>545</v>
      </c>
      <c r="J3" s="112" t="s">
        <v>22</v>
      </c>
      <c r="K3" s="112" t="s">
        <v>124</v>
      </c>
      <c r="L3" s="112" t="s">
        <v>23</v>
      </c>
      <c r="M3" s="112" t="s">
        <v>125</v>
      </c>
    </row>
    <row r="4" spans="1:14" ht="79.900000000000006" customHeight="1" x14ac:dyDescent="0.25">
      <c r="A4" s="110" t="s">
        <v>360</v>
      </c>
      <c r="B4" s="112" t="s">
        <v>121</v>
      </c>
      <c r="C4" s="112" t="s">
        <v>146</v>
      </c>
      <c r="D4" s="112" t="s">
        <v>39</v>
      </c>
      <c r="E4" s="112" t="s">
        <v>294</v>
      </c>
      <c r="F4" s="112" t="s">
        <v>689</v>
      </c>
      <c r="G4" s="112" t="s">
        <v>529</v>
      </c>
      <c r="H4" s="112" t="s">
        <v>122</v>
      </c>
      <c r="I4" s="112" t="s">
        <v>123</v>
      </c>
      <c r="J4" s="112" t="s">
        <v>129</v>
      </c>
      <c r="K4" s="112" t="s">
        <v>130</v>
      </c>
      <c r="L4" s="112" t="s">
        <v>677</v>
      </c>
      <c r="M4" s="112" t="s">
        <v>131</v>
      </c>
    </row>
    <row r="5" spans="1:14" ht="79.900000000000006" customHeight="1" x14ac:dyDescent="0.25">
      <c r="A5" s="110" t="s">
        <v>361</v>
      </c>
      <c r="B5" s="112" t="s">
        <v>126</v>
      </c>
      <c r="C5" s="112" t="s">
        <v>272</v>
      </c>
      <c r="D5" s="112" t="s">
        <v>547</v>
      </c>
      <c r="E5" s="112" t="s">
        <v>365</v>
      </c>
      <c r="F5" s="112" t="s">
        <v>568</v>
      </c>
      <c r="G5" s="112" t="s">
        <v>571</v>
      </c>
      <c r="H5" s="112" t="s">
        <v>127</v>
      </c>
      <c r="I5" s="112" t="s">
        <v>546</v>
      </c>
      <c r="J5" s="112" t="s">
        <v>133</v>
      </c>
      <c r="K5" s="112" t="s">
        <v>134</v>
      </c>
      <c r="L5" s="112" t="s">
        <v>678</v>
      </c>
      <c r="M5" s="112" t="s">
        <v>155</v>
      </c>
    </row>
    <row r="6" spans="1:14" ht="79.900000000000006" customHeight="1" x14ac:dyDescent="0.25">
      <c r="A6" s="110" t="s">
        <v>362</v>
      </c>
      <c r="B6" s="112" t="s">
        <v>142</v>
      </c>
      <c r="C6" s="112" t="s">
        <v>148</v>
      </c>
      <c r="D6" s="112" t="s">
        <v>40</v>
      </c>
      <c r="E6" s="112" t="s">
        <v>364</v>
      </c>
      <c r="F6" s="112" t="s">
        <v>396</v>
      </c>
      <c r="G6" s="112" t="s">
        <v>530</v>
      </c>
      <c r="H6" s="112" t="s">
        <v>132</v>
      </c>
      <c r="I6" s="112" t="s">
        <v>128</v>
      </c>
      <c r="J6" s="112" t="s">
        <v>135</v>
      </c>
      <c r="K6" s="112" t="s">
        <v>136</v>
      </c>
      <c r="L6" s="112" t="s">
        <v>679</v>
      </c>
      <c r="M6" s="112" t="s">
        <v>555</v>
      </c>
    </row>
    <row r="7" spans="1:14" ht="79.900000000000006" customHeight="1" x14ac:dyDescent="0.25">
      <c r="A7" s="110" t="s">
        <v>395</v>
      </c>
      <c r="B7" s="112" t="s">
        <v>143</v>
      </c>
      <c r="C7" s="112" t="s">
        <v>489</v>
      </c>
      <c r="D7" s="112" t="s">
        <v>41</v>
      </c>
      <c r="E7" s="112" t="s">
        <v>388</v>
      </c>
      <c r="F7" s="112" t="s">
        <v>387</v>
      </c>
      <c r="G7" s="112" t="s">
        <v>532</v>
      </c>
      <c r="H7" s="112" t="s">
        <v>159</v>
      </c>
      <c r="I7" s="112" t="s">
        <v>151</v>
      </c>
      <c r="J7" s="112" t="s">
        <v>154</v>
      </c>
      <c r="K7" s="112" t="s">
        <v>139</v>
      </c>
      <c r="L7" s="112" t="s">
        <v>66</v>
      </c>
      <c r="M7" s="112" t="s">
        <v>156</v>
      </c>
    </row>
    <row r="8" spans="1:14" ht="63" x14ac:dyDescent="0.25">
      <c r="A8" s="110" t="s">
        <v>366</v>
      </c>
      <c r="B8" s="112" t="s">
        <v>144</v>
      </c>
      <c r="C8" s="112" t="s">
        <v>295</v>
      </c>
      <c r="D8" s="112" t="s">
        <v>20</v>
      </c>
      <c r="E8" s="112" t="s">
        <v>26</v>
      </c>
      <c r="F8" s="112" t="s">
        <v>690</v>
      </c>
      <c r="G8" s="112" t="s">
        <v>346</v>
      </c>
      <c r="H8" s="112" t="s">
        <v>150</v>
      </c>
      <c r="I8" s="112" t="s">
        <v>152</v>
      </c>
      <c r="J8" s="112" t="s">
        <v>298</v>
      </c>
      <c r="K8" s="112" t="s">
        <v>138</v>
      </c>
      <c r="L8" s="112" t="s">
        <v>67</v>
      </c>
      <c r="M8" s="112" t="s">
        <v>749</v>
      </c>
    </row>
    <row r="9" spans="1:14" ht="63" x14ac:dyDescent="0.25">
      <c r="A9" s="110" t="s">
        <v>367</v>
      </c>
      <c r="B9" s="112" t="s">
        <v>145</v>
      </c>
      <c r="C9" s="112" t="s">
        <v>737</v>
      </c>
      <c r="D9" s="112" t="s">
        <v>38</v>
      </c>
      <c r="E9" s="112" t="s">
        <v>293</v>
      </c>
      <c r="F9" s="112" t="s">
        <v>691</v>
      </c>
      <c r="G9" s="112" t="s">
        <v>347</v>
      </c>
      <c r="H9" s="112" t="s">
        <v>682</v>
      </c>
      <c r="I9" s="112" t="s">
        <v>153</v>
      </c>
      <c r="J9" s="112" t="s">
        <v>299</v>
      </c>
      <c r="K9" s="112" t="s">
        <v>140</v>
      </c>
      <c r="L9" s="112" t="s">
        <v>68</v>
      </c>
      <c r="M9" s="112" t="s">
        <v>750</v>
      </c>
    </row>
    <row r="10" spans="1:14" ht="78.75" x14ac:dyDescent="0.25">
      <c r="A10" s="110" t="s">
        <v>368</v>
      </c>
      <c r="B10" s="112" t="s">
        <v>184</v>
      </c>
      <c r="C10" s="112" t="s">
        <v>738</v>
      </c>
      <c r="D10" s="112" t="s">
        <v>39</v>
      </c>
      <c r="E10" s="112" t="s">
        <v>294</v>
      </c>
      <c r="F10" s="112" t="s">
        <v>692</v>
      </c>
      <c r="G10" s="112" t="s">
        <v>348</v>
      </c>
      <c r="H10" s="112" t="s">
        <v>683</v>
      </c>
      <c r="I10" s="112" t="s">
        <v>323</v>
      </c>
      <c r="J10" s="112" t="s">
        <v>300</v>
      </c>
      <c r="K10" s="112" t="s">
        <v>340</v>
      </c>
      <c r="L10" s="112" t="s">
        <v>69</v>
      </c>
      <c r="M10" s="112" t="s">
        <v>747</v>
      </c>
    </row>
    <row r="11" spans="1:14" ht="78.75" x14ac:dyDescent="0.25">
      <c r="A11" s="110" t="s">
        <v>369</v>
      </c>
      <c r="B11" s="112" t="s">
        <v>185</v>
      </c>
      <c r="C11" s="112" t="s">
        <v>739</v>
      </c>
      <c r="D11" s="112" t="s">
        <v>40</v>
      </c>
      <c r="E11" s="112" t="s">
        <v>365</v>
      </c>
      <c r="F11" s="112" t="s">
        <v>693</v>
      </c>
      <c r="G11" s="112" t="s">
        <v>349</v>
      </c>
      <c r="H11" s="112" t="s">
        <v>684</v>
      </c>
      <c r="I11" s="112" t="s">
        <v>324</v>
      </c>
      <c r="J11" s="112" t="s">
        <v>301</v>
      </c>
      <c r="K11" s="112" t="s">
        <v>341</v>
      </c>
      <c r="L11" s="112" t="s">
        <v>61</v>
      </c>
      <c r="M11" s="112" t="s">
        <v>751</v>
      </c>
    </row>
    <row r="12" spans="1:14" ht="78.75" x14ac:dyDescent="0.25">
      <c r="A12" s="110" t="s">
        <v>370</v>
      </c>
      <c r="B12" s="112" t="s">
        <v>186</v>
      </c>
      <c r="C12" s="112" t="s">
        <v>740</v>
      </c>
      <c r="D12" s="112" t="s">
        <v>41</v>
      </c>
      <c r="E12" s="112" t="s">
        <v>70</v>
      </c>
      <c r="F12" s="112" t="s">
        <v>742</v>
      </c>
      <c r="G12" s="112" t="s">
        <v>350</v>
      </c>
      <c r="H12" s="112" t="s">
        <v>685</v>
      </c>
      <c r="I12" s="112" t="s">
        <v>325</v>
      </c>
      <c r="J12" s="112" t="s">
        <v>302</v>
      </c>
      <c r="K12" s="112" t="s">
        <v>342</v>
      </c>
      <c r="L12" s="112" t="s">
        <v>680</v>
      </c>
      <c r="M12" s="112" t="s">
        <v>752</v>
      </c>
    </row>
    <row r="13" spans="1:14" ht="63" x14ac:dyDescent="0.25">
      <c r="A13" s="110" t="s">
        <v>371</v>
      </c>
      <c r="B13" s="112" t="s">
        <v>187</v>
      </c>
      <c r="C13" s="112" t="s">
        <v>741</v>
      </c>
      <c r="D13" s="112" t="s">
        <v>42</v>
      </c>
      <c r="E13" s="112" t="s">
        <v>71</v>
      </c>
      <c r="F13" s="112" t="s">
        <v>743</v>
      </c>
      <c r="G13" s="112" t="s">
        <v>702</v>
      </c>
      <c r="H13" s="112" t="s">
        <v>686</v>
      </c>
      <c r="I13" s="112" t="s">
        <v>326</v>
      </c>
      <c r="J13" s="112" t="s">
        <v>303</v>
      </c>
      <c r="K13" s="112" t="s">
        <v>343</v>
      </c>
      <c r="L13" s="112" t="s">
        <v>62</v>
      </c>
      <c r="M13" s="112" t="s">
        <v>748</v>
      </c>
    </row>
    <row r="14" spans="1:14" ht="78.75" x14ac:dyDescent="0.25">
      <c r="A14" s="110" t="s">
        <v>372</v>
      </c>
      <c r="B14" s="112" t="s">
        <v>188</v>
      </c>
      <c r="C14" s="38" t="s">
        <v>907</v>
      </c>
      <c r="D14" s="112" t="s">
        <v>43</v>
      </c>
      <c r="E14" s="112" t="s">
        <v>72</v>
      </c>
      <c r="F14" s="112" t="s">
        <v>744</v>
      </c>
      <c r="G14" s="112"/>
      <c r="H14" s="112" t="s">
        <v>687</v>
      </c>
      <c r="I14" s="112" t="s">
        <v>745</v>
      </c>
      <c r="J14" s="112" t="s">
        <v>662</v>
      </c>
      <c r="K14" s="112" t="s">
        <v>344</v>
      </c>
      <c r="L14" s="112" t="s">
        <v>63</v>
      </c>
      <c r="M14" s="112" t="s">
        <v>157</v>
      </c>
    </row>
    <row r="15" spans="1:14" ht="78.75" x14ac:dyDescent="0.25">
      <c r="A15" s="110" t="s">
        <v>373</v>
      </c>
      <c r="B15" s="112" t="s">
        <v>189</v>
      </c>
      <c r="C15" s="112" t="s">
        <v>908</v>
      </c>
      <c r="D15" s="112" t="s">
        <v>44</v>
      </c>
      <c r="E15" s="112" t="s">
        <v>694</v>
      </c>
      <c r="F15" s="112"/>
      <c r="G15" s="112"/>
      <c r="H15" s="112"/>
      <c r="I15" s="112" t="s">
        <v>327</v>
      </c>
      <c r="J15" s="112" t="s">
        <v>663</v>
      </c>
      <c r="K15" s="112" t="s">
        <v>345</v>
      </c>
      <c r="L15" s="112" t="s">
        <v>681</v>
      </c>
      <c r="M15" s="112" t="s">
        <v>158</v>
      </c>
    </row>
    <row r="16" spans="1:14" ht="78.75" x14ac:dyDescent="0.25">
      <c r="A16" s="110" t="s">
        <v>374</v>
      </c>
      <c r="B16" s="112" t="s">
        <v>190</v>
      </c>
      <c r="C16" s="112" t="s">
        <v>328</v>
      </c>
      <c r="D16" s="112" t="s">
        <v>149</v>
      </c>
      <c r="E16" s="112" t="s">
        <v>405</v>
      </c>
      <c r="F16" s="112"/>
      <c r="G16" s="112"/>
      <c r="H16" s="112"/>
      <c r="I16" s="112" t="s">
        <v>746</v>
      </c>
      <c r="J16" s="112" t="s">
        <v>664</v>
      </c>
      <c r="K16" s="112" t="s">
        <v>672</v>
      </c>
      <c r="L16" s="112" t="s">
        <v>64</v>
      </c>
      <c r="M16" s="112"/>
    </row>
    <row r="17" spans="1:13" ht="94.5" x14ac:dyDescent="0.25">
      <c r="A17" s="110" t="s">
        <v>375</v>
      </c>
      <c r="B17" s="112" t="s">
        <v>191</v>
      </c>
      <c r="C17" s="112" t="s">
        <v>329</v>
      </c>
      <c r="D17" s="112" t="s">
        <v>45</v>
      </c>
      <c r="E17" s="112" t="s">
        <v>695</v>
      </c>
      <c r="F17" s="112"/>
      <c r="G17" s="112"/>
      <c r="H17" s="112"/>
      <c r="I17" s="112"/>
      <c r="J17" s="112" t="s">
        <v>665</v>
      </c>
      <c r="K17" s="112" t="s">
        <v>673</v>
      </c>
      <c r="L17" s="112" t="s">
        <v>65</v>
      </c>
      <c r="M17" s="112"/>
    </row>
    <row r="18" spans="1:13" ht="63" x14ac:dyDescent="0.25">
      <c r="A18" s="110" t="s">
        <v>376</v>
      </c>
      <c r="B18" s="112" t="s">
        <v>192</v>
      </c>
      <c r="C18" s="112" t="s">
        <v>330</v>
      </c>
      <c r="D18" s="112" t="s">
        <v>46</v>
      </c>
      <c r="E18" s="112" t="s">
        <v>688</v>
      </c>
      <c r="F18" s="112"/>
      <c r="G18" s="112"/>
      <c r="H18" s="112"/>
      <c r="I18" s="112"/>
      <c r="J18" s="112" t="s">
        <v>666</v>
      </c>
      <c r="K18" s="112" t="s">
        <v>674</v>
      </c>
      <c r="L18" s="112" t="s">
        <v>318</v>
      </c>
      <c r="M18" s="112"/>
    </row>
    <row r="19" spans="1:13" ht="78.75" x14ac:dyDescent="0.25">
      <c r="A19" s="110" t="s">
        <v>377</v>
      </c>
      <c r="B19" s="112"/>
      <c r="C19" s="112" t="s">
        <v>331</v>
      </c>
      <c r="D19" s="112" t="s">
        <v>47</v>
      </c>
      <c r="E19" s="112"/>
      <c r="F19" s="112"/>
      <c r="G19" s="112"/>
      <c r="H19" s="112"/>
      <c r="I19" s="112"/>
      <c r="J19" s="112" t="s">
        <v>667</v>
      </c>
      <c r="K19" s="112" t="s">
        <v>675</v>
      </c>
      <c r="L19" s="112" t="s">
        <v>319</v>
      </c>
      <c r="M19" s="112"/>
    </row>
    <row r="20" spans="1:13" ht="78.75" x14ac:dyDescent="0.25">
      <c r="A20" s="110" t="s">
        <v>378</v>
      </c>
      <c r="B20" s="112"/>
      <c r="C20" s="112" t="s">
        <v>332</v>
      </c>
      <c r="D20" s="112"/>
      <c r="E20" s="112"/>
      <c r="F20" s="112"/>
      <c r="G20" s="112"/>
      <c r="H20" s="112"/>
      <c r="I20" s="112"/>
      <c r="J20" s="112" t="s">
        <v>668</v>
      </c>
      <c r="K20" s="112" t="s">
        <v>676</v>
      </c>
      <c r="L20" s="112" t="s">
        <v>320</v>
      </c>
      <c r="M20" s="112"/>
    </row>
    <row r="21" spans="1:13" ht="94.5" x14ac:dyDescent="0.25">
      <c r="A21" s="110" t="s">
        <v>379</v>
      </c>
      <c r="B21" s="112"/>
      <c r="C21" s="112" t="s">
        <v>333</v>
      </c>
      <c r="D21" s="112"/>
      <c r="E21" s="112"/>
      <c r="F21" s="112"/>
      <c r="G21" s="112"/>
      <c r="H21" s="112"/>
      <c r="I21" s="112"/>
      <c r="J21" s="112" t="s">
        <v>669</v>
      </c>
      <c r="K21" s="112" t="s">
        <v>344</v>
      </c>
      <c r="L21" s="112" t="s">
        <v>321</v>
      </c>
      <c r="M21" s="112"/>
    </row>
    <row r="22" spans="1:13" ht="94.5" x14ac:dyDescent="0.25">
      <c r="A22" s="110" t="s">
        <v>380</v>
      </c>
      <c r="B22" s="112"/>
      <c r="C22" s="112" t="s">
        <v>334</v>
      </c>
      <c r="D22" s="112"/>
      <c r="E22" s="112"/>
      <c r="F22" s="112"/>
      <c r="G22" s="112"/>
      <c r="H22" s="112"/>
      <c r="I22" s="112"/>
      <c r="J22" s="112" t="s">
        <v>670</v>
      </c>
      <c r="K22" s="112" t="s">
        <v>345</v>
      </c>
      <c r="L22" s="112" t="s">
        <v>322</v>
      </c>
      <c r="M22" s="112"/>
    </row>
    <row r="23" spans="1:13" ht="94.5" x14ac:dyDescent="0.25">
      <c r="A23" s="110" t="s">
        <v>381</v>
      </c>
      <c r="B23" s="112"/>
      <c r="C23" s="112" t="s">
        <v>335</v>
      </c>
      <c r="D23" s="112"/>
      <c r="E23" s="112"/>
      <c r="F23" s="112"/>
      <c r="G23" s="112"/>
      <c r="H23" s="112"/>
      <c r="I23" s="112"/>
      <c r="J23" s="112" t="s">
        <v>671</v>
      </c>
      <c r="K23" s="112" t="s">
        <v>898</v>
      </c>
      <c r="L23" s="112" t="s">
        <v>322</v>
      </c>
      <c r="M23" s="112"/>
    </row>
    <row r="24" spans="1:13" ht="63" x14ac:dyDescent="0.25">
      <c r="A24" s="110" t="s">
        <v>639</v>
      </c>
      <c r="B24" s="112"/>
      <c r="C24" s="112" t="s">
        <v>336</v>
      </c>
      <c r="D24" s="112"/>
      <c r="E24" s="112"/>
      <c r="F24" s="112"/>
      <c r="G24" s="112"/>
      <c r="H24" s="112"/>
      <c r="I24" s="112"/>
      <c r="J24" s="112" t="s">
        <v>666</v>
      </c>
      <c r="K24" s="112" t="s">
        <v>899</v>
      </c>
      <c r="L24" s="112"/>
      <c r="M24" s="112"/>
    </row>
    <row r="25" spans="1:13" ht="63" x14ac:dyDescent="0.25">
      <c r="A25" s="110" t="s">
        <v>640</v>
      </c>
      <c r="B25" s="112"/>
      <c r="C25" s="112" t="s">
        <v>696</v>
      </c>
      <c r="D25" s="112"/>
      <c r="E25" s="112"/>
      <c r="F25" s="112"/>
      <c r="G25" s="112"/>
      <c r="H25" s="112"/>
      <c r="I25" s="112"/>
      <c r="J25" s="112" t="s">
        <v>667</v>
      </c>
      <c r="K25" s="112"/>
      <c r="L25" s="112"/>
      <c r="M25" s="112"/>
    </row>
    <row r="26" spans="1:13" ht="47.25" x14ac:dyDescent="0.25">
      <c r="C26" s="112" t="s">
        <v>697</v>
      </c>
    </row>
  </sheetData>
  <phoneticPr fontId="5" type="noConversion"/>
  <pageMargins left="0.7" right="0.7" top="0.78740157499999996" bottom="0.78740157499999996" header="0.3" footer="0.3"/>
  <pageSetup paperSize="9" scale="24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C43"/>
  <sheetViews>
    <sheetView zoomScale="63" workbookViewId="0">
      <selection activeCell="U1" sqref="U1:W1048576"/>
    </sheetView>
  </sheetViews>
  <sheetFormatPr baseColWidth="10" defaultColWidth="11.25" defaultRowHeight="15.75" x14ac:dyDescent="0.25"/>
  <cols>
    <col min="1" max="1" width="11.25" style="38"/>
    <col min="2" max="3" width="15.75" style="809" customWidth="1"/>
    <col min="4" max="4" width="15.75" style="803" customWidth="1"/>
    <col min="5" max="13" width="15.75" style="38" customWidth="1"/>
    <col min="14" max="14" width="15.75" style="39" customWidth="1"/>
    <col min="15" max="23" width="15.75" style="38" customWidth="1"/>
    <col min="24" max="24" width="11.25" style="38"/>
    <col min="25" max="25" width="11" customWidth="1"/>
    <col min="26" max="26" width="13" customWidth="1"/>
    <col min="27" max="27" width="13.625" style="39" customWidth="1"/>
    <col min="28" max="28" width="13.375" style="39" customWidth="1"/>
    <col min="29" max="29" width="14" style="39" customWidth="1"/>
    <col min="30" max="16384" width="11.25" style="39"/>
  </cols>
  <sheetData>
    <row r="1" spans="1:29" s="64" customFormat="1" ht="32.25" thickBot="1" x14ac:dyDescent="0.3">
      <c r="A1" s="92"/>
      <c r="B1" s="796" t="s">
        <v>417</v>
      </c>
      <c r="C1" s="797" t="s">
        <v>588</v>
      </c>
      <c r="D1" s="798" t="s">
        <v>587</v>
      </c>
      <c r="E1" s="92" t="s">
        <v>312</v>
      </c>
      <c r="F1" s="94" t="s">
        <v>526</v>
      </c>
      <c r="G1" s="93" t="s">
        <v>314</v>
      </c>
      <c r="H1" s="92" t="s">
        <v>313</v>
      </c>
      <c r="I1" s="94" t="s">
        <v>418</v>
      </c>
      <c r="J1" s="94" t="s">
        <v>315</v>
      </c>
      <c r="K1" s="101" t="s">
        <v>464</v>
      </c>
      <c r="L1" s="102" t="s">
        <v>316</v>
      </c>
      <c r="M1" s="102" t="s">
        <v>317</v>
      </c>
      <c r="N1" s="92" t="s">
        <v>471</v>
      </c>
      <c r="O1" s="94" t="s">
        <v>419</v>
      </c>
      <c r="P1" s="93" t="s">
        <v>420</v>
      </c>
      <c r="Q1" s="94" t="s">
        <v>421</v>
      </c>
      <c r="R1" s="94" t="s">
        <v>422</v>
      </c>
      <c r="S1" s="94" t="s">
        <v>438</v>
      </c>
      <c r="T1" s="93" t="s">
        <v>435</v>
      </c>
      <c r="U1" s="92" t="s">
        <v>442</v>
      </c>
      <c r="V1" s="94" t="s">
        <v>443</v>
      </c>
      <c r="W1" s="93" t="s">
        <v>444</v>
      </c>
      <c r="X1" s="109"/>
      <c r="Z1" s="535" t="s">
        <v>895</v>
      </c>
      <c r="AA1" s="535" t="s">
        <v>894</v>
      </c>
      <c r="AB1" s="535" t="s">
        <v>887</v>
      </c>
      <c r="AC1" s="535" t="s">
        <v>10</v>
      </c>
    </row>
    <row r="2" spans="1:29" ht="87.6" customHeight="1" x14ac:dyDescent="0.25">
      <c r="A2" s="106" t="s">
        <v>358</v>
      </c>
      <c r="B2" s="799" t="s">
        <v>354</v>
      </c>
      <c r="C2" s="800" t="s">
        <v>576</v>
      </c>
      <c r="D2" s="801" t="s">
        <v>586</v>
      </c>
      <c r="E2" s="38" t="s">
        <v>363</v>
      </c>
      <c r="F2" s="38" t="s">
        <v>527</v>
      </c>
      <c r="G2" s="87" t="s">
        <v>390</v>
      </c>
      <c r="H2" s="105" t="s">
        <v>842</v>
      </c>
      <c r="I2" s="104" t="s">
        <v>884</v>
      </c>
      <c r="J2" s="104" t="s">
        <v>30</v>
      </c>
      <c r="K2" s="105" t="s">
        <v>465</v>
      </c>
      <c r="L2" s="104" t="s">
        <v>411</v>
      </c>
      <c r="M2" s="100" t="s">
        <v>32</v>
      </c>
      <c r="N2" s="38" t="s">
        <v>632</v>
      </c>
      <c r="O2" s="38" t="s">
        <v>29</v>
      </c>
      <c r="P2" s="87" t="s">
        <v>175</v>
      </c>
      <c r="Q2" s="105" t="s">
        <v>33</v>
      </c>
      <c r="R2" s="104" t="s">
        <v>34</v>
      </c>
      <c r="S2" s="104" t="s">
        <v>631</v>
      </c>
      <c r="T2" s="100" t="s">
        <v>436</v>
      </c>
      <c r="U2" s="88" t="s">
        <v>181</v>
      </c>
      <c r="V2" s="38" t="s">
        <v>36</v>
      </c>
      <c r="W2" s="87" t="s">
        <v>605</v>
      </c>
      <c r="X2" s="106" t="s">
        <v>657</v>
      </c>
      <c r="Z2" s="536" t="s">
        <v>288</v>
      </c>
      <c r="AA2" s="536" t="s">
        <v>726</v>
      </c>
      <c r="AB2" s="536" t="s">
        <v>888</v>
      </c>
      <c r="AC2" s="537" t="s">
        <v>902</v>
      </c>
    </row>
    <row r="3" spans="1:29" ht="88.9" customHeight="1" x14ac:dyDescent="0.25">
      <c r="A3" s="107" t="s">
        <v>359</v>
      </c>
      <c r="B3" s="802" t="s">
        <v>355</v>
      </c>
      <c r="C3" s="803" t="s">
        <v>577</v>
      </c>
      <c r="D3" s="804" t="s">
        <v>585</v>
      </c>
      <c r="E3" s="38" t="s">
        <v>293</v>
      </c>
      <c r="F3" s="38" t="s">
        <v>843</v>
      </c>
      <c r="G3" s="87" t="s">
        <v>27</v>
      </c>
      <c r="H3" s="88" t="s">
        <v>385</v>
      </c>
      <c r="I3" s="38" t="s">
        <v>572</v>
      </c>
      <c r="J3" s="38" t="s">
        <v>75</v>
      </c>
      <c r="K3" s="88" t="s">
        <v>466</v>
      </c>
      <c r="L3" s="38" t="s">
        <v>412</v>
      </c>
      <c r="M3" s="87" t="s">
        <v>89</v>
      </c>
      <c r="N3" s="38" t="s">
        <v>633</v>
      </c>
      <c r="O3" s="38" t="s">
        <v>398</v>
      </c>
      <c r="P3" s="87" t="s">
        <v>409</v>
      </c>
      <c r="Q3" s="88" t="s">
        <v>177</v>
      </c>
      <c r="R3" s="38" t="s">
        <v>100</v>
      </c>
      <c r="S3" s="38" t="s">
        <v>439</v>
      </c>
      <c r="T3" s="87" t="s">
        <v>437</v>
      </c>
      <c r="U3" s="88" t="s">
        <v>182</v>
      </c>
      <c r="V3" s="38" t="s">
        <v>445</v>
      </c>
      <c r="W3" s="87" t="s">
        <v>606</v>
      </c>
      <c r="X3" s="107" t="s">
        <v>658</v>
      </c>
      <c r="Z3" s="536" t="s">
        <v>17</v>
      </c>
      <c r="AA3" s="536" t="s">
        <v>727</v>
      </c>
      <c r="AB3" s="536" t="s">
        <v>889</v>
      </c>
      <c r="AC3" s="536" t="s">
        <v>903</v>
      </c>
    </row>
    <row r="4" spans="1:29" ht="109.9" customHeight="1" x14ac:dyDescent="0.25">
      <c r="A4" s="107" t="s">
        <v>360</v>
      </c>
      <c r="B4" s="805" t="s">
        <v>356</v>
      </c>
      <c r="C4" s="803" t="s">
        <v>383</v>
      </c>
      <c r="D4" s="804" t="s">
        <v>584</v>
      </c>
      <c r="E4" s="38" t="s">
        <v>294</v>
      </c>
      <c r="F4" s="38" t="s">
        <v>529</v>
      </c>
      <c r="G4" s="87" t="s">
        <v>172</v>
      </c>
      <c r="H4" s="88" t="s">
        <v>386</v>
      </c>
      <c r="I4" s="38" t="s">
        <v>885</v>
      </c>
      <c r="J4" s="38" t="s">
        <v>403</v>
      </c>
      <c r="K4" s="88" t="s">
        <v>753</v>
      </c>
      <c r="L4" s="38" t="s">
        <v>31</v>
      </c>
      <c r="M4" s="87" t="s">
        <v>426</v>
      </c>
      <c r="N4" s="38" t="s">
        <v>474</v>
      </c>
      <c r="O4" s="38" t="s">
        <v>160</v>
      </c>
      <c r="P4" s="87" t="s">
        <v>176</v>
      </c>
      <c r="Q4" s="88" t="s">
        <v>844</v>
      </c>
      <c r="R4" s="38" t="s">
        <v>307</v>
      </c>
      <c r="S4" s="38" t="s">
        <v>845</v>
      </c>
      <c r="T4" s="87" t="s">
        <v>441</v>
      </c>
      <c r="U4" s="88" t="s">
        <v>614</v>
      </c>
      <c r="W4" s="87" t="s">
        <v>607</v>
      </c>
      <c r="X4" s="107" t="s">
        <v>659</v>
      </c>
      <c r="Z4" s="536" t="s">
        <v>18</v>
      </c>
      <c r="AA4" s="536" t="s">
        <v>711</v>
      </c>
      <c r="AB4" s="536" t="s">
        <v>890</v>
      </c>
      <c r="AC4" s="536" t="s">
        <v>896</v>
      </c>
    </row>
    <row r="5" spans="1:29" ht="108" customHeight="1" x14ac:dyDescent="0.25">
      <c r="A5" s="107" t="s">
        <v>361</v>
      </c>
      <c r="B5" s="805" t="s">
        <v>357</v>
      </c>
      <c r="C5" s="803" t="s">
        <v>589</v>
      </c>
      <c r="D5" s="804" t="s">
        <v>590</v>
      </c>
      <c r="E5" s="38" t="s">
        <v>365</v>
      </c>
      <c r="F5" s="38" t="s">
        <v>531</v>
      </c>
      <c r="G5" s="87" t="s">
        <v>48</v>
      </c>
      <c r="H5" s="88" t="s">
        <v>397</v>
      </c>
      <c r="I5" s="38" t="s">
        <v>28</v>
      </c>
      <c r="J5" s="38" t="s">
        <v>76</v>
      </c>
      <c r="K5" s="88" t="s">
        <v>467</v>
      </c>
      <c r="L5" s="38" t="s">
        <v>165</v>
      </c>
      <c r="M5" s="87" t="s">
        <v>90</v>
      </c>
      <c r="N5" s="38" t="s">
        <v>475</v>
      </c>
      <c r="O5" s="38" t="s">
        <v>399</v>
      </c>
      <c r="P5" s="87" t="s">
        <v>630</v>
      </c>
      <c r="Q5" s="88" t="s">
        <v>846</v>
      </c>
      <c r="R5" s="38" t="s">
        <v>308</v>
      </c>
      <c r="S5" s="38" t="s">
        <v>772</v>
      </c>
      <c r="T5" s="87" t="s">
        <v>617</v>
      </c>
      <c r="U5" s="88" t="s">
        <v>615</v>
      </c>
      <c r="W5" s="87" t="s">
        <v>608</v>
      </c>
      <c r="X5" s="107" t="s">
        <v>660</v>
      </c>
      <c r="Z5" s="536" t="s">
        <v>15</v>
      </c>
      <c r="AA5" s="536" t="s">
        <v>725</v>
      </c>
      <c r="AB5" s="536" t="s">
        <v>892</v>
      </c>
      <c r="AC5" s="537" t="s">
        <v>897</v>
      </c>
    </row>
    <row r="6" spans="1:29" ht="95.45" customHeight="1" x14ac:dyDescent="0.25">
      <c r="A6" s="107" t="s">
        <v>362</v>
      </c>
      <c r="B6" s="802" t="s">
        <v>25</v>
      </c>
      <c r="C6" s="803" t="s">
        <v>581</v>
      </c>
      <c r="D6" s="804" t="s">
        <v>582</v>
      </c>
      <c r="E6" s="38" t="s">
        <v>364</v>
      </c>
      <c r="F6" s="38" t="s">
        <v>847</v>
      </c>
      <c r="G6" s="87" t="s">
        <v>389</v>
      </c>
      <c r="H6" s="88" t="s">
        <v>396</v>
      </c>
      <c r="I6" s="38" t="s">
        <v>394</v>
      </c>
      <c r="J6" s="38" t="s">
        <v>848</v>
      </c>
      <c r="K6" s="88" t="s">
        <v>468</v>
      </c>
      <c r="L6" s="38" t="s">
        <v>166</v>
      </c>
      <c r="M6" s="87" t="s">
        <v>91</v>
      </c>
      <c r="N6" s="38" t="s">
        <v>476</v>
      </c>
      <c r="O6" s="38" t="s">
        <v>849</v>
      </c>
      <c r="P6" s="87" t="s">
        <v>410</v>
      </c>
      <c r="Q6" s="88" t="s">
        <v>850</v>
      </c>
      <c r="R6" s="38" t="s">
        <v>423</v>
      </c>
      <c r="S6" s="38" t="s">
        <v>773</v>
      </c>
      <c r="T6" s="87" t="s">
        <v>617</v>
      </c>
      <c r="U6" s="88"/>
      <c r="W6" s="87"/>
      <c r="X6" s="107" t="s">
        <v>661</v>
      </c>
      <c r="Z6" s="536" t="s">
        <v>209</v>
      </c>
      <c r="AA6" s="536" t="s">
        <v>728</v>
      </c>
      <c r="AB6" s="536" t="s">
        <v>891</v>
      </c>
      <c r="AC6" s="537" t="s">
        <v>901</v>
      </c>
    </row>
    <row r="7" spans="1:29" ht="105.6" customHeight="1" thickBot="1" x14ac:dyDescent="0.3">
      <c r="A7" s="108" t="s">
        <v>395</v>
      </c>
      <c r="B7" s="806" t="s">
        <v>93</v>
      </c>
      <c r="C7" s="807" t="s">
        <v>580</v>
      </c>
      <c r="D7" s="808" t="s">
        <v>583</v>
      </c>
      <c r="E7" s="91" t="s">
        <v>388</v>
      </c>
      <c r="F7" s="91" t="s">
        <v>851</v>
      </c>
      <c r="G7" s="89" t="s">
        <v>50</v>
      </c>
      <c r="H7" s="90" t="s">
        <v>387</v>
      </c>
      <c r="I7" s="91" t="s">
        <v>393</v>
      </c>
      <c r="J7" s="91" t="s">
        <v>402</v>
      </c>
      <c r="K7" s="90" t="s">
        <v>469</v>
      </c>
      <c r="L7" s="91" t="s">
        <v>167</v>
      </c>
      <c r="M7" s="89" t="s">
        <v>427</v>
      </c>
      <c r="N7" s="91" t="s">
        <v>477</v>
      </c>
      <c r="O7" s="91" t="s">
        <v>852</v>
      </c>
      <c r="P7" s="89" t="s">
        <v>183</v>
      </c>
      <c r="Q7" s="90" t="s">
        <v>853</v>
      </c>
      <c r="R7" s="91" t="s">
        <v>424</v>
      </c>
      <c r="S7" s="91" t="s">
        <v>774</v>
      </c>
      <c r="T7" s="89" t="s">
        <v>617</v>
      </c>
      <c r="U7" s="90"/>
      <c r="V7" s="91"/>
      <c r="W7" s="89"/>
      <c r="X7" s="108"/>
      <c r="Z7" s="536" t="s">
        <v>210</v>
      </c>
      <c r="AA7" s="536" t="s">
        <v>729</v>
      </c>
      <c r="AB7" s="536" t="s">
        <v>893</v>
      </c>
      <c r="AC7" s="538"/>
    </row>
    <row r="8" spans="1:29" ht="75.599999999999994" customHeight="1" x14ac:dyDescent="0.25">
      <c r="A8" s="38" t="s">
        <v>366</v>
      </c>
      <c r="B8" s="809" t="s">
        <v>94</v>
      </c>
      <c r="C8" s="803" t="s">
        <v>579</v>
      </c>
      <c r="D8" s="803" t="s">
        <v>383</v>
      </c>
      <c r="E8" s="38" t="s">
        <v>70</v>
      </c>
      <c r="F8" s="38" t="s">
        <v>346</v>
      </c>
      <c r="G8" s="38" t="s">
        <v>49</v>
      </c>
      <c r="H8" s="38" t="s">
        <v>73</v>
      </c>
      <c r="I8" s="38" t="s">
        <v>173</v>
      </c>
      <c r="J8" s="38" t="s">
        <v>854</v>
      </c>
      <c r="K8" s="38" t="s">
        <v>470</v>
      </c>
      <c r="L8" s="38" t="s">
        <v>168</v>
      </c>
      <c r="M8" s="38" t="s">
        <v>32</v>
      </c>
      <c r="N8" s="38" t="s">
        <v>707</v>
      </c>
      <c r="O8" s="38" t="s">
        <v>266</v>
      </c>
      <c r="P8" s="38" t="s">
        <v>175</v>
      </c>
      <c r="Q8" s="38" t="s">
        <v>33</v>
      </c>
      <c r="R8" s="38" t="s">
        <v>916</v>
      </c>
      <c r="S8" s="104" t="s">
        <v>631</v>
      </c>
      <c r="U8" s="38" t="s">
        <v>181</v>
      </c>
      <c r="V8" s="38" t="s">
        <v>36</v>
      </c>
      <c r="W8" s="38" t="s">
        <v>268</v>
      </c>
      <c r="Z8" s="536" t="s">
        <v>721</v>
      </c>
      <c r="AA8" s="536" t="s">
        <v>730</v>
      </c>
      <c r="AB8" s="536" t="s">
        <v>900</v>
      </c>
      <c r="AC8" s="538"/>
    </row>
    <row r="9" spans="1:29" ht="63" x14ac:dyDescent="0.25">
      <c r="A9" s="38" t="s">
        <v>367</v>
      </c>
      <c r="B9" s="809" t="s">
        <v>95</v>
      </c>
      <c r="C9" s="803" t="s">
        <v>109</v>
      </c>
      <c r="D9" s="803" t="s">
        <v>578</v>
      </c>
      <c r="E9" s="38" t="s">
        <v>71</v>
      </c>
      <c r="F9" s="38" t="s">
        <v>347</v>
      </c>
      <c r="G9" s="38" t="s">
        <v>654</v>
      </c>
      <c r="H9" s="38" t="s">
        <v>691</v>
      </c>
      <c r="I9" s="38" t="s">
        <v>304</v>
      </c>
      <c r="J9" s="38" t="s">
        <v>77</v>
      </c>
      <c r="K9" s="38" t="s">
        <v>704</v>
      </c>
      <c r="L9" s="38" t="s">
        <v>169</v>
      </c>
      <c r="M9" s="38" t="s">
        <v>89</v>
      </c>
      <c r="N9" s="38"/>
      <c r="O9" s="38" t="s">
        <v>267</v>
      </c>
      <c r="P9" s="38" t="s">
        <v>176</v>
      </c>
      <c r="Q9" s="38" t="s">
        <v>177</v>
      </c>
      <c r="R9" s="38" t="s">
        <v>770</v>
      </c>
      <c r="S9" s="38" t="s">
        <v>439</v>
      </c>
      <c r="U9" s="38" t="s">
        <v>182</v>
      </c>
      <c r="V9" s="38" t="s">
        <v>178</v>
      </c>
      <c r="W9" s="38" t="s">
        <v>269</v>
      </c>
      <c r="Z9" s="536" t="s">
        <v>722</v>
      </c>
      <c r="AA9" s="538"/>
      <c r="AB9" s="536" t="s">
        <v>12</v>
      </c>
      <c r="AC9" s="538"/>
    </row>
    <row r="10" spans="1:29" ht="78.75" x14ac:dyDescent="0.25">
      <c r="A10" s="38" t="s">
        <v>368</v>
      </c>
      <c r="B10" s="809" t="s">
        <v>96</v>
      </c>
      <c r="C10" s="803" t="s">
        <v>101</v>
      </c>
      <c r="D10" s="803" t="s">
        <v>579</v>
      </c>
      <c r="E10" s="38" t="s">
        <v>72</v>
      </c>
      <c r="F10" s="38" t="s">
        <v>348</v>
      </c>
      <c r="G10" s="38" t="s">
        <v>655</v>
      </c>
      <c r="H10" s="38" t="s">
        <v>692</v>
      </c>
      <c r="I10" s="38" t="s">
        <v>174</v>
      </c>
      <c r="J10" s="38" t="s">
        <v>78</v>
      </c>
      <c r="K10" s="38" t="s">
        <v>705</v>
      </c>
      <c r="L10" s="38" t="s">
        <v>170</v>
      </c>
      <c r="M10" s="38" t="s">
        <v>426</v>
      </c>
      <c r="N10" s="38"/>
      <c r="O10" s="38" t="s">
        <v>161</v>
      </c>
      <c r="P10" s="38" t="s">
        <v>183</v>
      </c>
      <c r="Q10" s="38" t="s">
        <v>827</v>
      </c>
      <c r="R10" s="38" t="s">
        <v>771</v>
      </c>
      <c r="S10" s="38" t="s">
        <v>845</v>
      </c>
      <c r="V10" s="38" t="s">
        <v>179</v>
      </c>
      <c r="W10" s="38" t="s">
        <v>270</v>
      </c>
      <c r="Z10" s="536" t="s">
        <v>723</v>
      </c>
      <c r="AA10" s="538"/>
      <c r="AB10" s="536" t="s">
        <v>910</v>
      </c>
      <c r="AC10" s="538"/>
    </row>
    <row r="11" spans="1:29" ht="81.75" customHeight="1" x14ac:dyDescent="0.25">
      <c r="A11" s="38" t="s">
        <v>369</v>
      </c>
      <c r="B11" s="809" t="s">
        <v>97</v>
      </c>
      <c r="C11" s="803" t="s">
        <v>110</v>
      </c>
      <c r="D11" s="803" t="s">
        <v>109</v>
      </c>
      <c r="E11" s="38" t="s">
        <v>405</v>
      </c>
      <c r="F11" s="38" t="s">
        <v>349</v>
      </c>
      <c r="G11" s="38" t="s">
        <v>59</v>
      </c>
      <c r="H11" s="38" t="s">
        <v>693</v>
      </c>
      <c r="I11" s="38" t="s">
        <v>632</v>
      </c>
      <c r="J11" s="38" t="s">
        <v>79</v>
      </c>
      <c r="K11" s="38" t="s">
        <v>706</v>
      </c>
      <c r="L11" s="38" t="s">
        <v>171</v>
      </c>
      <c r="M11" s="38" t="s">
        <v>90</v>
      </c>
      <c r="N11" s="38"/>
      <c r="O11" s="38" t="s">
        <v>162</v>
      </c>
      <c r="P11" s="38" t="s">
        <v>768</v>
      </c>
      <c r="Q11" s="38" t="s">
        <v>826</v>
      </c>
      <c r="R11" s="38" t="s">
        <v>425</v>
      </c>
      <c r="S11" s="38" t="s">
        <v>772</v>
      </c>
      <c r="V11" s="38" t="s">
        <v>180</v>
      </c>
      <c r="W11" s="38" t="s">
        <v>271</v>
      </c>
      <c r="Z11" s="536" t="s">
        <v>7</v>
      </c>
      <c r="AA11" s="538"/>
      <c r="AB11" s="536" t="s">
        <v>911</v>
      </c>
      <c r="AC11" s="538"/>
    </row>
    <row r="12" spans="1:29" ht="83.25" customHeight="1" x14ac:dyDescent="0.25">
      <c r="A12" s="38" t="s">
        <v>370</v>
      </c>
      <c r="B12" s="809" t="s">
        <v>98</v>
      </c>
      <c r="C12" s="803" t="s">
        <v>102</v>
      </c>
      <c r="D12" s="803" t="s">
        <v>108</v>
      </c>
      <c r="E12" s="38" t="s">
        <v>407</v>
      </c>
      <c r="F12" s="38" t="s">
        <v>701</v>
      </c>
      <c r="G12" s="38" t="s">
        <v>653</v>
      </c>
      <c r="I12" s="38" t="s">
        <v>633</v>
      </c>
      <c r="J12" s="38" t="s">
        <v>80</v>
      </c>
      <c r="L12" s="38" t="s">
        <v>305</v>
      </c>
      <c r="M12" s="38" t="s">
        <v>91</v>
      </c>
      <c r="N12" s="38"/>
      <c r="O12" s="38" t="s">
        <v>163</v>
      </c>
      <c r="P12" s="38" t="s">
        <v>767</v>
      </c>
      <c r="Q12" s="38" t="s">
        <v>823</v>
      </c>
      <c r="S12" s="38" t="s">
        <v>773</v>
      </c>
      <c r="W12" s="38" t="s">
        <v>338</v>
      </c>
      <c r="Z12" s="536" t="s">
        <v>719</v>
      </c>
      <c r="AA12" s="538"/>
      <c r="AB12" s="536" t="s">
        <v>913</v>
      </c>
      <c r="AC12" s="538"/>
    </row>
    <row r="13" spans="1:29" ht="113.25" customHeight="1" x14ac:dyDescent="0.25">
      <c r="A13" s="38" t="s">
        <v>371</v>
      </c>
      <c r="B13" s="809" t="s">
        <v>99</v>
      </c>
      <c r="C13" s="803" t="s">
        <v>111</v>
      </c>
      <c r="D13" s="803" t="s">
        <v>101</v>
      </c>
      <c r="E13" s="38" t="s">
        <v>406</v>
      </c>
      <c r="F13" s="38" t="s">
        <v>350</v>
      </c>
      <c r="G13" s="38" t="s">
        <v>60</v>
      </c>
      <c r="I13" s="38" t="s">
        <v>474</v>
      </c>
      <c r="J13" s="38" t="s">
        <v>81</v>
      </c>
      <c r="L13" s="38" t="s">
        <v>306</v>
      </c>
      <c r="M13" s="38" t="s">
        <v>427</v>
      </c>
      <c r="N13" s="38"/>
      <c r="O13" s="38" t="s">
        <v>164</v>
      </c>
      <c r="P13" s="38" t="s">
        <v>769</v>
      </c>
      <c r="Q13" s="38" t="s">
        <v>824</v>
      </c>
      <c r="S13" s="38" t="s">
        <v>774</v>
      </c>
      <c r="W13" s="38" t="s">
        <v>339</v>
      </c>
      <c r="Z13" s="536" t="s">
        <v>623</v>
      </c>
      <c r="AA13" s="538"/>
      <c r="AB13" s="536" t="s">
        <v>915</v>
      </c>
      <c r="AC13" s="538"/>
    </row>
    <row r="14" spans="1:29" ht="63" x14ac:dyDescent="0.25">
      <c r="A14" s="38" t="s">
        <v>372</v>
      </c>
      <c r="B14" s="809" t="s">
        <v>755</v>
      </c>
      <c r="C14" s="803" t="s">
        <v>103</v>
      </c>
      <c r="D14" s="803" t="s">
        <v>110</v>
      </c>
      <c r="E14" s="38" t="s">
        <v>904</v>
      </c>
      <c r="F14" s="38" t="s">
        <v>702</v>
      </c>
      <c r="G14" s="38" t="s">
        <v>51</v>
      </c>
      <c r="I14" s="38" t="s">
        <v>475</v>
      </c>
      <c r="J14" s="38" t="s">
        <v>82</v>
      </c>
      <c r="L14" s="38" t="s">
        <v>465</v>
      </c>
      <c r="M14" s="38" t="s">
        <v>429</v>
      </c>
      <c r="N14" s="38"/>
      <c r="Q14" s="38" t="s">
        <v>825</v>
      </c>
      <c r="Z14" s="536" t="s">
        <v>710</v>
      </c>
      <c r="AA14" s="538"/>
      <c r="AB14" s="538"/>
      <c r="AC14" s="538"/>
    </row>
    <row r="15" spans="1:29" ht="63" x14ac:dyDescent="0.25">
      <c r="A15" s="38" t="s">
        <v>373</v>
      </c>
      <c r="B15" s="809" t="s">
        <v>756</v>
      </c>
      <c r="C15" s="803" t="s">
        <v>114</v>
      </c>
      <c r="D15" s="803" t="s">
        <v>102</v>
      </c>
      <c r="E15" s="38" t="s">
        <v>404</v>
      </c>
      <c r="F15" s="38" t="s">
        <v>703</v>
      </c>
      <c r="G15" s="38" t="s">
        <v>52</v>
      </c>
      <c r="I15" s="38" t="s">
        <v>476</v>
      </c>
      <c r="J15" s="38" t="s">
        <v>83</v>
      </c>
      <c r="L15" s="38" t="s">
        <v>466</v>
      </c>
      <c r="M15" s="38" t="s">
        <v>430</v>
      </c>
      <c r="N15" s="38"/>
      <c r="Q15" s="38" t="s">
        <v>828</v>
      </c>
      <c r="Z15" s="536" t="s">
        <v>720</v>
      </c>
      <c r="AA15" s="538"/>
      <c r="AB15" s="538"/>
      <c r="AC15" s="538"/>
    </row>
    <row r="16" spans="1:29" ht="63" x14ac:dyDescent="0.25">
      <c r="A16" s="38" t="s">
        <v>374</v>
      </c>
      <c r="B16" s="809" t="s">
        <v>822</v>
      </c>
      <c r="C16" s="803" t="s">
        <v>106</v>
      </c>
      <c r="D16" s="803" t="s">
        <v>111</v>
      </c>
      <c r="E16" s="38" t="s">
        <v>905</v>
      </c>
      <c r="F16" s="38" t="s">
        <v>29</v>
      </c>
      <c r="G16" s="38" t="s">
        <v>53</v>
      </c>
      <c r="I16" s="38" t="s">
        <v>477</v>
      </c>
      <c r="J16" s="38" t="s">
        <v>84</v>
      </c>
      <c r="L16" s="38" t="s">
        <v>753</v>
      </c>
      <c r="M16" s="38" t="s">
        <v>431</v>
      </c>
      <c r="N16" s="38"/>
      <c r="Z16" s="536" t="s">
        <v>708</v>
      </c>
      <c r="AA16" s="538"/>
      <c r="AB16" s="538"/>
      <c r="AC16" s="538"/>
    </row>
    <row r="17" spans="1:29" ht="47.25" x14ac:dyDescent="0.25">
      <c r="A17" s="38" t="s">
        <v>375</v>
      </c>
      <c r="B17" s="809" t="s">
        <v>818</v>
      </c>
      <c r="C17" s="803" t="s">
        <v>115</v>
      </c>
      <c r="D17" s="803" t="s">
        <v>103</v>
      </c>
      <c r="E17" s="38" t="s">
        <v>906</v>
      </c>
      <c r="F17" s="38" t="s">
        <v>398</v>
      </c>
      <c r="G17" s="38" t="s">
        <v>54</v>
      </c>
      <c r="I17" s="38" t="s">
        <v>707</v>
      </c>
      <c r="J17" s="38" t="s">
        <v>85</v>
      </c>
      <c r="L17" s="38" t="s">
        <v>467</v>
      </c>
      <c r="M17" s="38" t="s">
        <v>92</v>
      </c>
      <c r="N17" s="38"/>
      <c r="Z17" s="536" t="s">
        <v>14</v>
      </c>
      <c r="AA17" s="538"/>
      <c r="AB17" s="538"/>
      <c r="AC17" s="538"/>
    </row>
    <row r="18" spans="1:29" ht="63" x14ac:dyDescent="0.25">
      <c r="A18" s="38" t="s">
        <v>376</v>
      </c>
      <c r="B18" s="809" t="s">
        <v>819</v>
      </c>
      <c r="C18" s="803" t="s">
        <v>107</v>
      </c>
      <c r="D18" s="803" t="s">
        <v>114</v>
      </c>
      <c r="F18" s="38" t="s">
        <v>160</v>
      </c>
      <c r="G18" s="38" t="s">
        <v>55</v>
      </c>
      <c r="I18" s="38" t="s">
        <v>909</v>
      </c>
      <c r="J18" s="38" t="s">
        <v>86</v>
      </c>
      <c r="L18" s="38" t="s">
        <v>468</v>
      </c>
      <c r="M18" s="38" t="s">
        <v>428</v>
      </c>
      <c r="N18" s="38"/>
      <c r="Z18" s="536" t="s">
        <v>841</v>
      </c>
      <c r="AA18" s="538"/>
      <c r="AB18" s="538"/>
      <c r="AC18" s="538"/>
    </row>
    <row r="19" spans="1:29" ht="77.45" customHeight="1" x14ac:dyDescent="0.25">
      <c r="A19" s="38" t="s">
        <v>377</v>
      </c>
      <c r="B19" s="809" t="s">
        <v>757</v>
      </c>
      <c r="C19" s="803" t="s">
        <v>112</v>
      </c>
      <c r="D19" s="803" t="s">
        <v>106</v>
      </c>
      <c r="F19" s="38" t="s">
        <v>399</v>
      </c>
      <c r="J19" s="38" t="s">
        <v>87</v>
      </c>
      <c r="L19" s="38" t="s">
        <v>469</v>
      </c>
      <c r="M19" s="38" t="s">
        <v>432</v>
      </c>
      <c r="N19" s="38"/>
      <c r="Z19" s="536" t="s">
        <v>724</v>
      </c>
      <c r="AA19" s="538"/>
      <c r="AB19" s="538"/>
      <c r="AC19" s="538"/>
    </row>
    <row r="20" spans="1:29" ht="63" x14ac:dyDescent="0.25">
      <c r="A20" s="38" t="s">
        <v>378</v>
      </c>
      <c r="B20" s="809" t="s">
        <v>758</v>
      </c>
      <c r="C20" s="803" t="s">
        <v>105</v>
      </c>
      <c r="D20" s="803" t="s">
        <v>115</v>
      </c>
      <c r="F20" s="38" t="s">
        <v>849</v>
      </c>
      <c r="J20" s="38" t="s">
        <v>88</v>
      </c>
      <c r="L20" s="38" t="s">
        <v>470</v>
      </c>
      <c r="M20" s="38" t="s">
        <v>433</v>
      </c>
      <c r="N20" s="38"/>
      <c r="Z20" s="536" t="s">
        <v>709</v>
      </c>
      <c r="AA20" s="538"/>
      <c r="AB20" s="538"/>
      <c r="AC20" s="538"/>
    </row>
    <row r="21" spans="1:29" ht="97.9" customHeight="1" x14ac:dyDescent="0.25">
      <c r="A21" s="38" t="s">
        <v>379</v>
      </c>
      <c r="B21" s="809" t="s">
        <v>820</v>
      </c>
      <c r="C21" s="803" t="s">
        <v>113</v>
      </c>
      <c r="D21" s="803" t="s">
        <v>107</v>
      </c>
      <c r="F21" s="38" t="s">
        <v>852</v>
      </c>
      <c r="L21" s="38" t="s">
        <v>704</v>
      </c>
      <c r="M21" s="38" t="s">
        <v>434</v>
      </c>
      <c r="N21" s="38"/>
      <c r="Z21" s="536" t="s">
        <v>713</v>
      </c>
      <c r="AA21" s="538"/>
      <c r="AB21" s="538"/>
      <c r="AC21" s="538"/>
    </row>
    <row r="22" spans="1:29" ht="63" x14ac:dyDescent="0.25">
      <c r="A22" s="38" t="s">
        <v>380</v>
      </c>
      <c r="B22" s="809" t="s">
        <v>821</v>
      </c>
      <c r="C22" s="803" t="s">
        <v>104</v>
      </c>
      <c r="D22" s="803" t="s">
        <v>112</v>
      </c>
      <c r="F22" s="38" t="s">
        <v>266</v>
      </c>
      <c r="L22" s="38" t="s">
        <v>705</v>
      </c>
      <c r="N22" s="38"/>
      <c r="Z22" s="536" t="s">
        <v>715</v>
      </c>
      <c r="AA22" s="538"/>
      <c r="AB22" s="538"/>
      <c r="AC22" s="538"/>
    </row>
    <row r="23" spans="1:29" ht="47.25" x14ac:dyDescent="0.25">
      <c r="A23" s="38" t="s">
        <v>381</v>
      </c>
      <c r="C23" s="809" t="s">
        <v>759</v>
      </c>
      <c r="D23" s="803" t="s">
        <v>105</v>
      </c>
      <c r="F23" s="38" t="s">
        <v>267</v>
      </c>
      <c r="L23" s="38" t="s">
        <v>706</v>
      </c>
      <c r="N23" s="38"/>
      <c r="Z23" s="536" t="s">
        <v>716</v>
      </c>
      <c r="AA23" s="538"/>
      <c r="AB23" s="538"/>
      <c r="AC23" s="538"/>
    </row>
    <row r="24" spans="1:29" ht="63" x14ac:dyDescent="0.25">
      <c r="A24" s="38" t="s">
        <v>639</v>
      </c>
      <c r="C24" s="809" t="s">
        <v>760</v>
      </c>
      <c r="D24" s="803" t="s">
        <v>113</v>
      </c>
      <c r="F24" s="38" t="s">
        <v>161</v>
      </c>
      <c r="N24" s="38"/>
      <c r="Z24" s="536" t="s">
        <v>717</v>
      </c>
      <c r="AA24" s="538"/>
      <c r="AB24" s="538"/>
      <c r="AC24" s="538"/>
    </row>
    <row r="25" spans="1:29" ht="63" x14ac:dyDescent="0.25">
      <c r="A25" s="38" t="s">
        <v>640</v>
      </c>
      <c r="C25" s="809" t="s">
        <v>762</v>
      </c>
      <c r="D25" s="803" t="s">
        <v>104</v>
      </c>
      <c r="F25" s="38" t="s">
        <v>162</v>
      </c>
      <c r="N25" s="38"/>
      <c r="Z25" s="536" t="s">
        <v>718</v>
      </c>
      <c r="AA25" s="538"/>
      <c r="AB25" s="538"/>
      <c r="AC25" s="538"/>
    </row>
    <row r="26" spans="1:29" ht="63.75" customHeight="1" x14ac:dyDescent="0.25">
      <c r="A26" s="38" t="s">
        <v>641</v>
      </c>
      <c r="C26" s="809" t="s">
        <v>763</v>
      </c>
      <c r="D26" s="803" t="s">
        <v>761</v>
      </c>
      <c r="F26" s="38" t="s">
        <v>163</v>
      </c>
      <c r="N26" s="38"/>
      <c r="Z26" s="536" t="s">
        <v>754</v>
      </c>
      <c r="AA26" s="538"/>
      <c r="AB26" s="538"/>
      <c r="AC26" s="538"/>
    </row>
    <row r="27" spans="1:29" ht="81.75" customHeight="1" x14ac:dyDescent="0.25">
      <c r="A27" s="38" t="s">
        <v>642</v>
      </c>
      <c r="C27" s="809" t="s">
        <v>765</v>
      </c>
      <c r="D27" s="809" t="s">
        <v>764</v>
      </c>
      <c r="F27" s="38" t="s">
        <v>164</v>
      </c>
      <c r="N27" s="38"/>
      <c r="Z27" s="536" t="s">
        <v>914</v>
      </c>
      <c r="AA27" s="538"/>
      <c r="AB27" s="538"/>
      <c r="AC27" s="538"/>
    </row>
    <row r="28" spans="1:29" ht="79.5" customHeight="1" x14ac:dyDescent="0.25">
      <c r="A28" s="38" t="s">
        <v>643</v>
      </c>
      <c r="C28" s="809" t="s">
        <v>766</v>
      </c>
      <c r="N28" s="38"/>
    </row>
    <row r="29" spans="1:29" ht="63" x14ac:dyDescent="0.25">
      <c r="A29" s="38" t="s">
        <v>644</v>
      </c>
      <c r="C29" s="809" t="s">
        <v>857</v>
      </c>
      <c r="N29" s="38"/>
    </row>
    <row r="30" spans="1:29" x14ac:dyDescent="0.25">
      <c r="A30" s="38" t="s">
        <v>645</v>
      </c>
      <c r="B30" s="803"/>
      <c r="C30" s="803"/>
      <c r="N30" s="38"/>
    </row>
    <row r="31" spans="1:29" x14ac:dyDescent="0.25">
      <c r="A31" s="38" t="s">
        <v>646</v>
      </c>
      <c r="N31" s="38"/>
    </row>
    <row r="32" spans="1:29" x14ac:dyDescent="0.25">
      <c r="A32" s="38" t="s">
        <v>647</v>
      </c>
      <c r="N32" s="38"/>
    </row>
    <row r="33" spans="1:14" x14ac:dyDescent="0.25">
      <c r="A33" s="38" t="s">
        <v>648</v>
      </c>
      <c r="N33" s="38"/>
    </row>
    <row r="34" spans="1:14" x14ac:dyDescent="0.25">
      <c r="A34" s="38" t="s">
        <v>649</v>
      </c>
      <c r="N34" s="38"/>
    </row>
    <row r="35" spans="1:14" x14ac:dyDescent="0.25">
      <c r="A35" s="38" t="s">
        <v>650</v>
      </c>
      <c r="N35" s="38"/>
    </row>
    <row r="36" spans="1:14" x14ac:dyDescent="0.25">
      <c r="A36" s="38" t="s">
        <v>651</v>
      </c>
      <c r="N36" s="38"/>
    </row>
    <row r="37" spans="1:14" x14ac:dyDescent="0.25">
      <c r="A37" s="38" t="s">
        <v>652</v>
      </c>
      <c r="N37" s="38"/>
    </row>
    <row r="38" spans="1:14" x14ac:dyDescent="0.25">
      <c r="N38" s="38"/>
    </row>
    <row r="39" spans="1:14" x14ac:dyDescent="0.25">
      <c r="N39" s="38"/>
    </row>
    <row r="40" spans="1:14" x14ac:dyDescent="0.25">
      <c r="N40" s="38"/>
    </row>
    <row r="41" spans="1:14" x14ac:dyDescent="0.25">
      <c r="N41" s="38"/>
    </row>
    <row r="42" spans="1:14" x14ac:dyDescent="0.25">
      <c r="N42" s="38"/>
    </row>
    <row r="43" spans="1:14" x14ac:dyDescent="0.25">
      <c r="N43" s="38"/>
    </row>
  </sheetData>
  <phoneticPr fontId="5" type="noConversion"/>
  <pageMargins left="0.7" right="0.7" top="0.78740157499999996" bottom="0.78740157499999996" header="0.3" footer="0.3"/>
  <pageSetup paperSize="9" scale="20" fitToWidth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W32"/>
  <sheetViews>
    <sheetView zoomScale="58" workbookViewId="0">
      <selection activeCell="E7" sqref="E7"/>
    </sheetView>
  </sheetViews>
  <sheetFormatPr baseColWidth="10" defaultColWidth="11.25" defaultRowHeight="15.75" x14ac:dyDescent="0.25"/>
  <cols>
    <col min="1" max="1" width="11.25" style="39"/>
    <col min="2" max="4" width="15.75" style="39" customWidth="1"/>
    <col min="5" max="6" width="15.75" style="38" customWidth="1"/>
    <col min="7" max="13" width="15.75" style="39" customWidth="1"/>
    <col min="14" max="14" width="15.75" style="38" customWidth="1"/>
    <col min="15" max="16" width="15.75" style="39" customWidth="1"/>
    <col min="17" max="17" width="15.75" style="38" customWidth="1"/>
    <col min="18" max="20" width="15.75" style="39" customWidth="1"/>
    <col min="21" max="22" width="11.25" style="39"/>
    <col min="23" max="23" width="11" customWidth="1"/>
    <col min="24" max="16384" width="11.25" style="39"/>
  </cols>
  <sheetData>
    <row r="1" spans="1:20" s="64" customFormat="1" ht="79.900000000000006" customHeight="1" thickBot="1" x14ac:dyDescent="0.3">
      <c r="A1" s="95"/>
      <c r="B1" s="92" t="s">
        <v>446</v>
      </c>
      <c r="C1" s="94" t="s">
        <v>447</v>
      </c>
      <c r="D1" s="93" t="s">
        <v>448</v>
      </c>
      <c r="E1" s="92" t="s">
        <v>449</v>
      </c>
      <c r="F1" s="94" t="s">
        <v>452</v>
      </c>
      <c r="G1" s="93" t="s">
        <v>314</v>
      </c>
      <c r="H1" s="92" t="s">
        <v>450</v>
      </c>
      <c r="I1" s="94" t="s">
        <v>463</v>
      </c>
      <c r="J1" s="93" t="s">
        <v>456</v>
      </c>
      <c r="K1" s="92" t="s">
        <v>453</v>
      </c>
      <c r="L1" s="94" t="s">
        <v>454</v>
      </c>
      <c r="M1" s="93" t="s">
        <v>455</v>
      </c>
      <c r="N1" s="118" t="s">
        <v>451</v>
      </c>
      <c r="O1" s="102" t="s">
        <v>457</v>
      </c>
      <c r="P1" s="103" t="s">
        <v>458</v>
      </c>
      <c r="Q1" s="92" t="s">
        <v>459</v>
      </c>
      <c r="R1" s="94" t="s">
        <v>460</v>
      </c>
      <c r="S1" s="94" t="s">
        <v>461</v>
      </c>
      <c r="T1" s="93" t="s">
        <v>462</v>
      </c>
    </row>
    <row r="2" spans="1:20" ht="94.9" customHeight="1" x14ac:dyDescent="0.25">
      <c r="A2" s="38" t="s">
        <v>358</v>
      </c>
      <c r="B2" s="88" t="s">
        <v>211</v>
      </c>
      <c r="C2" s="38" t="s">
        <v>595</v>
      </c>
      <c r="D2" s="87" t="s">
        <v>600</v>
      </c>
      <c r="E2" s="88" t="s">
        <v>196</v>
      </c>
      <c r="F2" s="38" t="s">
        <v>487</v>
      </c>
      <c r="G2" s="87" t="s">
        <v>390</v>
      </c>
      <c r="H2" s="88" t="s">
        <v>493</v>
      </c>
      <c r="I2" s="38" t="s">
        <v>497</v>
      </c>
      <c r="J2" s="87" t="s">
        <v>30</v>
      </c>
      <c r="K2" s="88" t="s">
        <v>201</v>
      </c>
      <c r="L2" s="38" t="s">
        <v>202</v>
      </c>
      <c r="M2" s="38" t="s">
        <v>203</v>
      </c>
      <c r="N2" s="105" t="s">
        <v>198</v>
      </c>
      <c r="O2" s="104" t="s">
        <v>508</v>
      </c>
      <c r="P2" s="100" t="s">
        <v>511</v>
      </c>
      <c r="Q2" s="38" t="s">
        <v>515</v>
      </c>
      <c r="R2" s="38" t="s">
        <v>522</v>
      </c>
      <c r="S2" s="38" t="s">
        <v>609</v>
      </c>
      <c r="T2" s="87" t="s">
        <v>523</v>
      </c>
    </row>
    <row r="3" spans="1:20" ht="79.900000000000006" customHeight="1" x14ac:dyDescent="0.25">
      <c r="A3" s="38" t="s">
        <v>359</v>
      </c>
      <c r="B3" s="88" t="s">
        <v>218</v>
      </c>
      <c r="C3" s="38" t="s">
        <v>596</v>
      </c>
      <c r="D3" s="87" t="s">
        <v>601</v>
      </c>
      <c r="E3" s="88" t="s">
        <v>483</v>
      </c>
      <c r="F3" s="38" t="s">
        <v>488</v>
      </c>
      <c r="G3" s="87" t="s">
        <v>27</v>
      </c>
      <c r="H3" s="88" t="s">
        <v>490</v>
      </c>
      <c r="I3" s="38" t="s">
        <v>498</v>
      </c>
      <c r="J3" s="87" t="s">
        <v>75</v>
      </c>
      <c r="K3" s="88" t="s">
        <v>264</v>
      </c>
      <c r="L3" s="38" t="s">
        <v>506</v>
      </c>
      <c r="M3" s="38" t="s">
        <v>507</v>
      </c>
      <c r="N3" s="88" t="s">
        <v>147</v>
      </c>
      <c r="O3" s="38" t="s">
        <v>205</v>
      </c>
      <c r="P3" s="87" t="s">
        <v>512</v>
      </c>
      <c r="Q3" s="38" t="s">
        <v>516</v>
      </c>
      <c r="R3" s="38" t="s">
        <v>522</v>
      </c>
      <c r="S3" s="38" t="s">
        <v>609</v>
      </c>
      <c r="T3" s="87" t="s">
        <v>523</v>
      </c>
    </row>
    <row r="4" spans="1:20" ht="79.900000000000006" customHeight="1" x14ac:dyDescent="0.25">
      <c r="A4" s="38" t="s">
        <v>360</v>
      </c>
      <c r="B4" s="88" t="s">
        <v>212</v>
      </c>
      <c r="C4" s="38" t="s">
        <v>597</v>
      </c>
      <c r="D4" s="87" t="s">
        <v>602</v>
      </c>
      <c r="E4" s="88" t="s">
        <v>484</v>
      </c>
      <c r="F4" s="38" t="s">
        <v>250</v>
      </c>
      <c r="G4" s="87" t="s">
        <v>172</v>
      </c>
      <c r="H4" s="88" t="s">
        <v>496</v>
      </c>
      <c r="I4" s="38" t="s">
        <v>499</v>
      </c>
      <c r="J4" s="87" t="s">
        <v>403</v>
      </c>
      <c r="K4" s="88" t="s">
        <v>502</v>
      </c>
      <c r="L4" s="38" t="s">
        <v>262</v>
      </c>
      <c r="M4" s="38" t="s">
        <v>265</v>
      </c>
      <c r="N4" s="88" t="s">
        <v>146</v>
      </c>
      <c r="O4" s="38" t="s">
        <v>263</v>
      </c>
      <c r="P4" s="87" t="s">
        <v>510</v>
      </c>
      <c r="Q4" s="38" t="s">
        <v>517</v>
      </c>
      <c r="R4" s="38" t="s">
        <v>522</v>
      </c>
      <c r="S4" s="38" t="s">
        <v>609</v>
      </c>
      <c r="T4" s="87" t="s">
        <v>523</v>
      </c>
    </row>
    <row r="5" spans="1:20" ht="79.900000000000006" customHeight="1" x14ac:dyDescent="0.25">
      <c r="A5" s="38" t="s">
        <v>361</v>
      </c>
      <c r="B5" s="88" t="s">
        <v>215</v>
      </c>
      <c r="C5" s="38" t="s">
        <v>598</v>
      </c>
      <c r="D5" s="87" t="s">
        <v>603</v>
      </c>
      <c r="E5" s="88" t="s">
        <v>485</v>
      </c>
      <c r="F5" s="38" t="s">
        <v>252</v>
      </c>
      <c r="G5" s="87" t="s">
        <v>48</v>
      </c>
      <c r="H5" s="88" t="s">
        <v>491</v>
      </c>
      <c r="I5" s="38" t="s">
        <v>500</v>
      </c>
      <c r="J5" s="87" t="s">
        <v>76</v>
      </c>
      <c r="K5" s="88" t="s">
        <v>503</v>
      </c>
      <c r="L5" s="38" t="s">
        <v>262</v>
      </c>
      <c r="M5" s="38" t="s">
        <v>700</v>
      </c>
      <c r="N5" s="88" t="s">
        <v>272</v>
      </c>
      <c r="O5" s="38" t="s">
        <v>263</v>
      </c>
      <c r="P5" s="87" t="s">
        <v>917</v>
      </c>
      <c r="Q5" s="38" t="s">
        <v>518</v>
      </c>
      <c r="R5" s="38" t="s">
        <v>521</v>
      </c>
      <c r="S5" s="38" t="s">
        <v>609</v>
      </c>
      <c r="T5" s="87" t="s">
        <v>524</v>
      </c>
    </row>
    <row r="6" spans="1:20" ht="79.900000000000006" customHeight="1" x14ac:dyDescent="0.25">
      <c r="A6" s="38" t="s">
        <v>362</v>
      </c>
      <c r="B6" s="88" t="s">
        <v>155</v>
      </c>
      <c r="C6" s="38" t="s">
        <v>599</v>
      </c>
      <c r="D6" s="87" t="s">
        <v>604</v>
      </c>
      <c r="E6" s="88" t="s">
        <v>635</v>
      </c>
      <c r="F6" s="38" t="s">
        <v>253</v>
      </c>
      <c r="G6" s="87" t="s">
        <v>389</v>
      </c>
      <c r="H6" s="88" t="s">
        <v>492</v>
      </c>
      <c r="I6" s="38" t="s">
        <v>495</v>
      </c>
      <c r="J6" s="87" t="s">
        <v>408</v>
      </c>
      <c r="K6" s="88" t="s">
        <v>504</v>
      </c>
      <c r="L6" s="38" t="s">
        <v>262</v>
      </c>
      <c r="M6" s="38" t="s">
        <v>296</v>
      </c>
      <c r="N6" s="88" t="s">
        <v>148</v>
      </c>
      <c r="O6" s="38" t="s">
        <v>263</v>
      </c>
      <c r="P6" s="87" t="s">
        <v>513</v>
      </c>
      <c r="Q6" s="38" t="s">
        <v>519</v>
      </c>
      <c r="R6" s="38" t="s">
        <v>521</v>
      </c>
      <c r="S6" s="38" t="s">
        <v>609</v>
      </c>
      <c r="T6" s="87" t="s">
        <v>524</v>
      </c>
    </row>
    <row r="7" spans="1:20" ht="79.900000000000006" customHeight="1" thickBot="1" x14ac:dyDescent="0.3">
      <c r="A7" s="86" t="s">
        <v>395</v>
      </c>
      <c r="B7" s="90" t="s">
        <v>478</v>
      </c>
      <c r="C7" s="91" t="s">
        <v>621</v>
      </c>
      <c r="D7" s="89" t="s">
        <v>620</v>
      </c>
      <c r="E7" s="90" t="s">
        <v>254</v>
      </c>
      <c r="F7" s="91" t="s">
        <v>279</v>
      </c>
      <c r="G7" s="89" t="s">
        <v>50</v>
      </c>
      <c r="H7" s="90" t="s">
        <v>494</v>
      </c>
      <c r="I7" s="91" t="s">
        <v>501</v>
      </c>
      <c r="J7" s="89" t="s">
        <v>402</v>
      </c>
      <c r="K7" s="90" t="s">
        <v>505</v>
      </c>
      <c r="L7" s="91" t="s">
        <v>262</v>
      </c>
      <c r="M7" s="91" t="s">
        <v>296</v>
      </c>
      <c r="N7" s="90" t="s">
        <v>489</v>
      </c>
      <c r="O7" s="91" t="s">
        <v>263</v>
      </c>
      <c r="P7" s="89" t="s">
        <v>514</v>
      </c>
      <c r="Q7" s="91" t="s">
        <v>520</v>
      </c>
      <c r="R7" s="91" t="s">
        <v>521</v>
      </c>
      <c r="S7" s="91" t="s">
        <v>609</v>
      </c>
      <c r="T7" s="89" t="s">
        <v>524</v>
      </c>
    </row>
    <row r="8" spans="1:20" ht="79.900000000000006" customHeight="1" thickTop="1" x14ac:dyDescent="0.25">
      <c r="A8" s="38" t="s">
        <v>366</v>
      </c>
      <c r="B8" s="38" t="s">
        <v>223</v>
      </c>
      <c r="C8" s="38" t="s">
        <v>194</v>
      </c>
      <c r="D8" s="38" t="s">
        <v>195</v>
      </c>
      <c r="E8" s="38" t="s">
        <v>196</v>
      </c>
      <c r="F8" s="38" t="s">
        <v>197</v>
      </c>
      <c r="G8" s="38" t="s">
        <v>49</v>
      </c>
      <c r="H8" s="38" t="s">
        <v>199</v>
      </c>
      <c r="I8" s="38" t="s">
        <v>775</v>
      </c>
      <c r="J8" s="38" t="s">
        <v>204</v>
      </c>
      <c r="K8" s="38" t="s">
        <v>698</v>
      </c>
      <c r="L8" s="38" t="s">
        <v>202</v>
      </c>
      <c r="M8" s="38" t="s">
        <v>203</v>
      </c>
      <c r="N8" s="38" t="s">
        <v>295</v>
      </c>
      <c r="O8" s="38" t="s">
        <v>205</v>
      </c>
      <c r="P8" s="38" t="s">
        <v>206</v>
      </c>
      <c r="Q8" s="38" t="s">
        <v>207</v>
      </c>
      <c r="R8" s="38" t="s">
        <v>208</v>
      </c>
      <c r="S8" s="38" t="s">
        <v>353</v>
      </c>
      <c r="T8" s="38" t="s">
        <v>351</v>
      </c>
    </row>
    <row r="9" spans="1:20" ht="79.900000000000006" customHeight="1" x14ac:dyDescent="0.25">
      <c r="A9" s="38" t="s">
        <v>367</v>
      </c>
      <c r="B9" s="38" t="s">
        <v>226</v>
      </c>
      <c r="C9" s="38" t="s">
        <v>213</v>
      </c>
      <c r="D9" s="38" t="s">
        <v>214</v>
      </c>
      <c r="E9" s="38" t="s">
        <v>251</v>
      </c>
      <c r="F9" s="38" t="s">
        <v>250</v>
      </c>
      <c r="G9" s="38" t="s">
        <v>653</v>
      </c>
      <c r="H9" s="38" t="s">
        <v>260</v>
      </c>
      <c r="I9" s="38"/>
      <c r="J9" s="38" t="s">
        <v>76</v>
      </c>
      <c r="K9" s="38" t="s">
        <v>699</v>
      </c>
      <c r="L9" s="38" t="s">
        <v>262</v>
      </c>
      <c r="M9" s="38" t="s">
        <v>265</v>
      </c>
      <c r="N9" s="38" t="s">
        <v>737</v>
      </c>
      <c r="O9" s="38" t="s">
        <v>263</v>
      </c>
      <c r="P9" s="38" t="s">
        <v>297</v>
      </c>
      <c r="Q9" s="38" t="s">
        <v>274</v>
      </c>
      <c r="R9" s="38"/>
      <c r="S9" s="38"/>
      <c r="T9" s="38"/>
    </row>
    <row r="10" spans="1:20" ht="79.900000000000006" customHeight="1" x14ac:dyDescent="0.25">
      <c r="A10" s="38" t="s">
        <v>368</v>
      </c>
      <c r="B10" s="38" t="s">
        <v>256</v>
      </c>
      <c r="C10" s="38" t="s">
        <v>216</v>
      </c>
      <c r="D10" s="38" t="s">
        <v>217</v>
      </c>
      <c r="E10" s="38" t="s">
        <v>254</v>
      </c>
      <c r="F10" s="38" t="s">
        <v>252</v>
      </c>
      <c r="G10" s="38" t="s">
        <v>654</v>
      </c>
      <c r="H10" s="38" t="s">
        <v>261</v>
      </c>
      <c r="I10" s="38"/>
      <c r="J10" s="38" t="s">
        <v>77</v>
      </c>
      <c r="K10" s="38" t="s">
        <v>731</v>
      </c>
      <c r="L10" s="38"/>
      <c r="M10" s="38" t="s">
        <v>296</v>
      </c>
      <c r="N10" s="38" t="s">
        <v>738</v>
      </c>
      <c r="O10" s="38"/>
      <c r="P10" s="38"/>
      <c r="Q10" s="38" t="s">
        <v>275</v>
      </c>
      <c r="R10" s="38"/>
      <c r="S10" s="38"/>
      <c r="T10" s="38"/>
    </row>
    <row r="11" spans="1:20" ht="79.900000000000006" customHeight="1" x14ac:dyDescent="0.25">
      <c r="A11" s="38" t="s">
        <v>369</v>
      </c>
      <c r="B11" s="38" t="s">
        <v>257</v>
      </c>
      <c r="C11" s="38" t="s">
        <v>219</v>
      </c>
      <c r="D11" s="38" t="s">
        <v>220</v>
      </c>
      <c r="E11" s="38" t="s">
        <v>255</v>
      </c>
      <c r="F11" s="38" t="s">
        <v>253</v>
      </c>
      <c r="G11" s="38" t="s">
        <v>655</v>
      </c>
      <c r="H11" s="38" t="s">
        <v>281</v>
      </c>
      <c r="I11" s="38"/>
      <c r="J11" s="38" t="s">
        <v>78</v>
      </c>
      <c r="K11" s="38" t="s">
        <v>732</v>
      </c>
      <c r="L11" s="38"/>
      <c r="M11" s="38"/>
      <c r="N11" s="38" t="s">
        <v>739</v>
      </c>
      <c r="O11" s="38"/>
      <c r="P11" s="38"/>
      <c r="R11" s="38"/>
      <c r="S11" s="38"/>
      <c r="T11" s="38"/>
    </row>
    <row r="12" spans="1:20" ht="79.900000000000006" customHeight="1" x14ac:dyDescent="0.25">
      <c r="A12" s="38" t="s">
        <v>370</v>
      </c>
      <c r="B12" s="38" t="s">
        <v>258</v>
      </c>
      <c r="C12" s="38" t="s">
        <v>221</v>
      </c>
      <c r="D12" s="38" t="s">
        <v>222</v>
      </c>
      <c r="E12" s="38" t="s">
        <v>276</v>
      </c>
      <c r="F12" s="38" t="s">
        <v>279</v>
      </c>
      <c r="G12" s="38" t="s">
        <v>59</v>
      </c>
      <c r="H12" s="38" t="s">
        <v>282</v>
      </c>
      <c r="I12" s="38"/>
      <c r="J12" s="38" t="s">
        <v>79</v>
      </c>
      <c r="K12" s="38" t="s">
        <v>733</v>
      </c>
      <c r="L12" s="38"/>
      <c r="M12" s="38"/>
      <c r="N12" s="38" t="s">
        <v>740</v>
      </c>
      <c r="O12" s="38"/>
      <c r="P12" s="38"/>
      <c r="R12" s="38"/>
      <c r="S12" s="38"/>
      <c r="T12" s="38"/>
    </row>
    <row r="13" spans="1:20" ht="79.900000000000006" customHeight="1" x14ac:dyDescent="0.25">
      <c r="A13" s="38" t="s">
        <v>371</v>
      </c>
      <c r="B13" s="38" t="s">
        <v>259</v>
      </c>
      <c r="C13" s="38" t="s">
        <v>224</v>
      </c>
      <c r="D13" s="38" t="s">
        <v>225</v>
      </c>
      <c r="E13" s="38" t="s">
        <v>277</v>
      </c>
      <c r="F13" s="38" t="s">
        <v>278</v>
      </c>
      <c r="G13" s="38" t="s">
        <v>60</v>
      </c>
      <c r="H13" s="38" t="s">
        <v>283</v>
      </c>
      <c r="I13" s="38"/>
      <c r="J13" s="38" t="s">
        <v>776</v>
      </c>
      <c r="K13" s="38" t="s">
        <v>734</v>
      </c>
      <c r="L13" s="38"/>
      <c r="M13" s="38"/>
      <c r="N13" s="38" t="s">
        <v>741</v>
      </c>
      <c r="O13" s="38"/>
      <c r="P13" s="38"/>
      <c r="R13" s="38"/>
      <c r="S13" s="38"/>
      <c r="T13" s="38"/>
    </row>
    <row r="14" spans="1:20" ht="79.900000000000006" customHeight="1" x14ac:dyDescent="0.25">
      <c r="A14" s="38" t="s">
        <v>372</v>
      </c>
      <c r="C14" s="38" t="s">
        <v>227</v>
      </c>
      <c r="D14" s="38" t="s">
        <v>228</v>
      </c>
      <c r="E14" s="38" t="s">
        <v>837</v>
      </c>
      <c r="F14" s="38" t="s">
        <v>280</v>
      </c>
      <c r="G14" s="38" t="s">
        <v>51</v>
      </c>
      <c r="H14" s="38" t="s">
        <v>284</v>
      </c>
      <c r="I14" s="38"/>
      <c r="J14" s="38" t="s">
        <v>777</v>
      </c>
      <c r="K14" s="38" t="s">
        <v>735</v>
      </c>
      <c r="L14" s="38"/>
      <c r="M14" s="38"/>
      <c r="N14" s="38" t="s">
        <v>328</v>
      </c>
      <c r="O14" s="38"/>
      <c r="P14" s="38"/>
      <c r="R14" s="38"/>
      <c r="S14" s="38"/>
      <c r="T14" s="38"/>
    </row>
    <row r="15" spans="1:20" ht="79.900000000000006" customHeight="1" x14ac:dyDescent="0.25">
      <c r="A15" s="38" t="s">
        <v>373</v>
      </c>
      <c r="C15" s="38" t="s">
        <v>229</v>
      </c>
      <c r="D15" s="38" t="s">
        <v>230</v>
      </c>
      <c r="E15" s="38" t="s">
        <v>838</v>
      </c>
      <c r="G15" s="38" t="s">
        <v>52</v>
      </c>
      <c r="H15" s="38" t="s">
        <v>912</v>
      </c>
      <c r="I15" s="38"/>
      <c r="J15" s="38" t="s">
        <v>778</v>
      </c>
      <c r="K15" s="38" t="s">
        <v>736</v>
      </c>
      <c r="L15" s="38"/>
      <c r="M15" s="38"/>
      <c r="N15" s="38" t="s">
        <v>329</v>
      </c>
      <c r="O15" s="38"/>
      <c r="P15" s="38"/>
      <c r="R15" s="38"/>
      <c r="S15" s="38"/>
      <c r="T15" s="38"/>
    </row>
    <row r="16" spans="1:20" ht="79.900000000000006" customHeight="1" x14ac:dyDescent="0.25">
      <c r="A16" s="38" t="s">
        <v>374</v>
      </c>
      <c r="C16" s="38" t="s">
        <v>231</v>
      </c>
      <c r="D16" s="38" t="s">
        <v>232</v>
      </c>
      <c r="G16" s="38" t="s">
        <v>53</v>
      </c>
      <c r="H16" s="38" t="s">
        <v>285</v>
      </c>
      <c r="I16" s="38"/>
      <c r="J16" s="38"/>
      <c r="K16" s="38"/>
      <c r="L16" s="38"/>
      <c r="M16" s="38"/>
      <c r="N16" s="38" t="s">
        <v>330</v>
      </c>
      <c r="O16" s="38"/>
      <c r="P16" s="38"/>
      <c r="R16" s="38"/>
      <c r="S16" s="38"/>
      <c r="T16" s="38"/>
    </row>
    <row r="17" spans="1:20" ht="79.900000000000006" customHeight="1" x14ac:dyDescent="0.25">
      <c r="A17" s="38" t="s">
        <v>375</v>
      </c>
      <c r="C17" s="38" t="s">
        <v>233</v>
      </c>
      <c r="D17" s="38" t="s">
        <v>234</v>
      </c>
      <c r="G17" s="38" t="s">
        <v>54</v>
      </c>
      <c r="H17" s="38"/>
      <c r="I17" s="38"/>
      <c r="J17" s="38"/>
      <c r="K17" s="38"/>
      <c r="L17" s="38"/>
      <c r="M17" s="38"/>
      <c r="N17" s="38" t="s">
        <v>331</v>
      </c>
      <c r="O17" s="38"/>
      <c r="P17" s="38"/>
      <c r="R17" s="38"/>
      <c r="S17" s="38"/>
      <c r="T17" s="38"/>
    </row>
    <row r="18" spans="1:20" ht="79.900000000000006" customHeight="1" x14ac:dyDescent="0.25">
      <c r="A18" s="38" t="s">
        <v>376</v>
      </c>
      <c r="C18" s="38" t="s">
        <v>235</v>
      </c>
      <c r="D18" s="38" t="s">
        <v>236</v>
      </c>
      <c r="G18" s="38" t="s">
        <v>55</v>
      </c>
      <c r="H18" s="38"/>
      <c r="I18" s="38"/>
      <c r="J18" s="38"/>
      <c r="K18" s="38"/>
      <c r="L18" s="38"/>
      <c r="M18" s="38"/>
      <c r="N18" s="38" t="s">
        <v>332</v>
      </c>
      <c r="O18" s="38"/>
      <c r="P18" s="38"/>
      <c r="R18" s="38"/>
      <c r="S18" s="38"/>
      <c r="T18" s="38"/>
    </row>
    <row r="19" spans="1:20" ht="79.900000000000006" customHeight="1" x14ac:dyDescent="0.25">
      <c r="A19" s="38" t="s">
        <v>377</v>
      </c>
      <c r="B19" s="38"/>
      <c r="C19" s="38" t="s">
        <v>237</v>
      </c>
      <c r="D19" s="38" t="s">
        <v>238</v>
      </c>
      <c r="G19" s="39" t="s">
        <v>856</v>
      </c>
      <c r="H19" s="38"/>
      <c r="I19" s="38"/>
      <c r="J19" s="38"/>
      <c r="K19" s="38"/>
      <c r="L19" s="38"/>
      <c r="M19" s="38"/>
      <c r="N19" s="38" t="s">
        <v>333</v>
      </c>
      <c r="O19" s="38"/>
      <c r="P19" s="38"/>
      <c r="R19" s="38"/>
      <c r="S19" s="38"/>
      <c r="T19" s="38"/>
    </row>
    <row r="20" spans="1:20" ht="79.900000000000006" customHeight="1" x14ac:dyDescent="0.25">
      <c r="A20" s="38" t="s">
        <v>378</v>
      </c>
      <c r="B20" s="38"/>
      <c r="C20" s="38" t="s">
        <v>239</v>
      </c>
      <c r="D20" s="38" t="s">
        <v>240</v>
      </c>
      <c r="G20" s="38" t="s">
        <v>56</v>
      </c>
      <c r="H20" s="38"/>
      <c r="I20" s="38"/>
      <c r="J20" s="38"/>
      <c r="K20" s="38"/>
      <c r="L20" s="38"/>
      <c r="M20" s="38"/>
      <c r="N20" s="38" t="s">
        <v>334</v>
      </c>
      <c r="O20" s="38"/>
      <c r="P20" s="38"/>
      <c r="R20" s="38"/>
      <c r="S20" s="38"/>
      <c r="T20" s="38"/>
    </row>
    <row r="21" spans="1:20" ht="79.900000000000006" customHeight="1" x14ac:dyDescent="0.25">
      <c r="A21" s="38" t="s">
        <v>379</v>
      </c>
      <c r="B21" s="38"/>
      <c r="C21" s="38" t="s">
        <v>241</v>
      </c>
      <c r="D21" s="38" t="s">
        <v>242</v>
      </c>
      <c r="G21" s="38" t="s">
        <v>57</v>
      </c>
      <c r="H21" s="38"/>
      <c r="I21" s="38"/>
      <c r="J21" s="38"/>
      <c r="K21" s="38"/>
      <c r="L21" s="38"/>
      <c r="M21" s="38"/>
      <c r="N21" s="38" t="s">
        <v>335</v>
      </c>
      <c r="O21" s="38"/>
      <c r="P21" s="38"/>
      <c r="R21" s="38"/>
      <c r="S21" s="38"/>
      <c r="T21" s="38"/>
    </row>
    <row r="22" spans="1:20" ht="79.900000000000006" customHeight="1" x14ac:dyDescent="0.25">
      <c r="A22" s="38" t="s">
        <v>380</v>
      </c>
      <c r="B22" s="38"/>
      <c r="C22" s="38" t="s">
        <v>243</v>
      </c>
      <c r="D22" s="38" t="s">
        <v>244</v>
      </c>
      <c r="G22" s="38" t="s">
        <v>58</v>
      </c>
      <c r="H22" s="38"/>
      <c r="I22" s="38"/>
      <c r="J22" s="38"/>
      <c r="K22" s="38"/>
      <c r="L22" s="38"/>
      <c r="M22" s="38"/>
      <c r="N22" s="38" t="s">
        <v>336</v>
      </c>
      <c r="O22" s="38"/>
      <c r="P22" s="38"/>
      <c r="R22" s="38"/>
      <c r="S22" s="38"/>
      <c r="T22" s="38"/>
    </row>
    <row r="23" spans="1:20" ht="79.900000000000006" customHeight="1" x14ac:dyDescent="0.25">
      <c r="A23" s="38" t="s">
        <v>381</v>
      </c>
      <c r="B23" s="38"/>
      <c r="C23" s="38" t="s">
        <v>245</v>
      </c>
      <c r="D23" s="38" t="s">
        <v>836</v>
      </c>
      <c r="G23" s="38"/>
      <c r="H23" s="38"/>
      <c r="I23" s="38"/>
      <c r="J23" s="38"/>
      <c r="K23" s="38"/>
      <c r="L23" s="38"/>
      <c r="M23" s="38"/>
      <c r="N23" s="38" t="s">
        <v>696</v>
      </c>
      <c r="O23" s="38"/>
      <c r="P23" s="38"/>
      <c r="R23" s="38"/>
      <c r="S23" s="38"/>
      <c r="T23" s="38"/>
    </row>
    <row r="24" spans="1:20" ht="63" x14ac:dyDescent="0.25">
      <c r="A24" s="38"/>
      <c r="B24" s="38"/>
      <c r="C24" s="38" t="s">
        <v>246</v>
      </c>
      <c r="D24" s="38" t="s">
        <v>834</v>
      </c>
      <c r="G24" s="38"/>
      <c r="H24" s="38"/>
      <c r="I24" s="38"/>
      <c r="J24" s="38"/>
      <c r="K24" s="38"/>
      <c r="L24" s="38"/>
      <c r="M24" s="38"/>
      <c r="N24" s="38" t="s">
        <v>697</v>
      </c>
      <c r="O24" s="38"/>
      <c r="P24" s="38"/>
      <c r="R24" s="38"/>
      <c r="S24" s="38"/>
      <c r="T24" s="38"/>
    </row>
    <row r="25" spans="1:20" ht="63" x14ac:dyDescent="0.25">
      <c r="A25" s="38"/>
      <c r="B25" s="38"/>
      <c r="C25" s="38" t="s">
        <v>247</v>
      </c>
      <c r="D25" s="38" t="s">
        <v>835</v>
      </c>
      <c r="G25" s="38"/>
      <c r="H25" s="38"/>
      <c r="I25" s="38"/>
      <c r="J25" s="38"/>
      <c r="K25" s="38"/>
      <c r="L25" s="38"/>
      <c r="M25" s="38"/>
      <c r="O25" s="38"/>
      <c r="P25" s="38"/>
      <c r="R25" s="38"/>
      <c r="S25" s="38"/>
      <c r="T25" s="38"/>
    </row>
    <row r="26" spans="1:20" ht="31.5" x14ac:dyDescent="0.25">
      <c r="A26" s="38"/>
      <c r="B26" s="38"/>
      <c r="C26" s="38" t="s">
        <v>248</v>
      </c>
      <c r="G26" s="38"/>
      <c r="H26" s="38"/>
      <c r="I26" s="38"/>
      <c r="J26" s="38"/>
      <c r="K26" s="38"/>
      <c r="L26" s="38"/>
      <c r="M26" s="38"/>
      <c r="O26" s="38"/>
      <c r="P26" s="38"/>
      <c r="R26" s="38"/>
      <c r="S26" s="38"/>
      <c r="T26" s="38"/>
    </row>
    <row r="27" spans="1:20" ht="31.5" x14ac:dyDescent="0.25">
      <c r="A27" s="38"/>
      <c r="B27" s="38"/>
      <c r="C27" s="38" t="s">
        <v>249</v>
      </c>
      <c r="D27" s="38"/>
      <c r="G27" s="38"/>
      <c r="H27" s="38"/>
      <c r="I27" s="38"/>
      <c r="J27" s="38"/>
      <c r="K27" s="38"/>
      <c r="L27" s="38"/>
      <c r="M27" s="38"/>
      <c r="O27" s="38"/>
      <c r="P27" s="38"/>
      <c r="R27" s="38"/>
      <c r="S27" s="38"/>
      <c r="T27" s="38"/>
    </row>
    <row r="28" spans="1:20" x14ac:dyDescent="0.25">
      <c r="C28" s="38" t="s">
        <v>829</v>
      </c>
    </row>
    <row r="29" spans="1:20" ht="31.5" customHeight="1" x14ac:dyDescent="0.25">
      <c r="C29" s="38" t="s">
        <v>830</v>
      </c>
    </row>
    <row r="30" spans="1:20" ht="31.5" x14ac:dyDescent="0.25">
      <c r="C30" s="38" t="s">
        <v>833</v>
      </c>
    </row>
    <row r="31" spans="1:20" ht="47.25" x14ac:dyDescent="0.25">
      <c r="C31" s="38" t="s">
        <v>832</v>
      </c>
    </row>
    <row r="32" spans="1:20" ht="63" x14ac:dyDescent="0.25">
      <c r="C32" s="38" t="s">
        <v>831</v>
      </c>
    </row>
  </sheetData>
  <pageMargins left="0.7" right="0.7" top="0.78740157499999996" bottom="0.78740157499999996" header="0.3" footer="0.3"/>
  <pageSetup paperSize="9" scale="21" fitToWidth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D840-897A-4933-B6E3-4D75A937DB77}">
  <sheetPr>
    <pageSetUpPr fitToPage="1"/>
  </sheetPr>
  <dimension ref="A1:BL68"/>
  <sheetViews>
    <sheetView zoomScale="71" zoomScaleNormal="70" workbookViewId="0">
      <selection activeCell="Y4" sqref="Y4"/>
    </sheetView>
  </sheetViews>
  <sheetFormatPr baseColWidth="10" defaultRowHeight="15" x14ac:dyDescent="0.25"/>
  <cols>
    <col min="1" max="4" width="11" style="119"/>
    <col min="5" max="6" width="0" style="119" hidden="1" customWidth="1"/>
    <col min="7" max="7" width="11" style="119"/>
    <col min="8" max="9" width="0" style="119" hidden="1" customWidth="1"/>
    <col min="10" max="10" width="11" style="119"/>
    <col min="11" max="12" width="0" style="119" hidden="1" customWidth="1"/>
    <col min="13" max="13" width="11" style="119"/>
    <col min="14" max="15" width="0" style="119" hidden="1" customWidth="1"/>
    <col min="16" max="16" width="11" style="119"/>
    <col min="17" max="18" width="0" style="119" hidden="1" customWidth="1"/>
    <col min="19" max="25" width="11" style="119"/>
    <col min="26" max="27" width="0" style="119" hidden="1" customWidth="1"/>
    <col min="28" max="28" width="11" style="119"/>
    <col min="29" max="30" width="0" style="119" hidden="1" customWidth="1"/>
    <col min="31" max="31" width="11" style="119"/>
    <col min="32" max="33" width="0" style="119" hidden="1" customWidth="1"/>
    <col min="34" max="34" width="11" style="119"/>
    <col min="35" max="36" width="0" style="119" hidden="1" customWidth="1"/>
    <col min="37" max="37" width="11" style="119"/>
    <col min="38" max="39" width="0" style="119" hidden="1" customWidth="1"/>
    <col min="40" max="45" width="11" style="119"/>
    <col min="46" max="46" width="11" style="120"/>
    <col min="47" max="16384" width="11" style="119"/>
  </cols>
  <sheetData>
    <row r="1" spans="1:64" ht="15.75" thickBot="1" x14ac:dyDescent="0.3"/>
    <row r="2" spans="1:64" ht="49.5" customHeight="1" thickBot="1" x14ac:dyDescent="0.3">
      <c r="A2" s="663" t="s">
        <v>779</v>
      </c>
      <c r="B2" s="121" t="s">
        <v>780</v>
      </c>
      <c r="C2" s="122" t="s">
        <v>781</v>
      </c>
      <c r="D2" s="666" t="s">
        <v>782</v>
      </c>
      <c r="E2" s="667"/>
      <c r="F2" s="668"/>
      <c r="G2" s="666" t="s">
        <v>783</v>
      </c>
      <c r="H2" s="667"/>
      <c r="I2" s="668"/>
      <c r="J2" s="666" t="s">
        <v>784</v>
      </c>
      <c r="K2" s="667"/>
      <c r="L2" s="668"/>
      <c r="M2" s="666" t="s">
        <v>785</v>
      </c>
      <c r="N2" s="667"/>
      <c r="O2" s="668"/>
      <c r="P2" s="666" t="s">
        <v>786</v>
      </c>
      <c r="Q2" s="667"/>
      <c r="R2" s="668"/>
      <c r="S2" s="125" t="s">
        <v>780</v>
      </c>
      <c r="T2" s="126" t="s">
        <v>781</v>
      </c>
      <c r="U2" s="684" t="s">
        <v>839</v>
      </c>
      <c r="V2" s="663" t="s">
        <v>779</v>
      </c>
      <c r="W2" s="121" t="s">
        <v>780</v>
      </c>
      <c r="X2" s="122" t="s">
        <v>781</v>
      </c>
      <c r="Y2" s="666" t="s">
        <v>782</v>
      </c>
      <c r="Z2" s="667"/>
      <c r="AA2" s="668"/>
      <c r="AB2" s="666" t="s">
        <v>783</v>
      </c>
      <c r="AC2" s="667"/>
      <c r="AD2" s="668"/>
      <c r="AE2" s="666" t="s">
        <v>784</v>
      </c>
      <c r="AF2" s="667"/>
      <c r="AG2" s="668"/>
      <c r="AH2" s="666" t="s">
        <v>785</v>
      </c>
      <c r="AI2" s="667"/>
      <c r="AJ2" s="668"/>
      <c r="AK2" s="666" t="s">
        <v>786</v>
      </c>
      <c r="AL2" s="667"/>
      <c r="AM2" s="668"/>
      <c r="AN2" s="125" t="s">
        <v>780</v>
      </c>
      <c r="AO2" s="126" t="s">
        <v>781</v>
      </c>
    </row>
    <row r="3" spans="1:64" ht="26.25" customHeight="1" thickBot="1" x14ac:dyDescent="0.3">
      <c r="A3" s="664"/>
      <c r="B3" s="121"/>
      <c r="C3" s="122"/>
      <c r="D3" s="666" t="s">
        <v>787</v>
      </c>
      <c r="E3" s="667"/>
      <c r="F3" s="668"/>
      <c r="G3" s="666" t="s">
        <v>787</v>
      </c>
      <c r="H3" s="667"/>
      <c r="I3" s="668"/>
      <c r="J3" s="666" t="s">
        <v>787</v>
      </c>
      <c r="K3" s="667"/>
      <c r="L3" s="668"/>
      <c r="M3" s="666" t="s">
        <v>787</v>
      </c>
      <c r="N3" s="667"/>
      <c r="O3" s="668"/>
      <c r="P3" s="666" t="s">
        <v>787</v>
      </c>
      <c r="Q3" s="667"/>
      <c r="R3" s="668"/>
      <c r="S3" s="125"/>
      <c r="T3" s="124"/>
      <c r="U3" s="684"/>
      <c r="V3" s="664"/>
      <c r="W3" s="121"/>
      <c r="X3" s="122"/>
      <c r="Y3" s="660" t="s">
        <v>788</v>
      </c>
      <c r="Z3" s="661"/>
      <c r="AA3" s="662"/>
      <c r="AB3" s="660" t="s">
        <v>789</v>
      </c>
      <c r="AC3" s="661"/>
      <c r="AD3" s="662"/>
      <c r="AE3" s="660" t="s">
        <v>787</v>
      </c>
      <c r="AF3" s="661"/>
      <c r="AG3" s="662"/>
      <c r="AH3" s="660" t="s">
        <v>790</v>
      </c>
      <c r="AI3" s="661"/>
      <c r="AJ3" s="662"/>
      <c r="AK3" s="660" t="s">
        <v>791</v>
      </c>
      <c r="AL3" s="661"/>
      <c r="AM3" s="662"/>
      <c r="AN3" s="125"/>
      <c r="AO3" s="124"/>
      <c r="AR3" s="129" t="s">
        <v>792</v>
      </c>
      <c r="AS3" s="130" t="s">
        <v>10</v>
      </c>
      <c r="AT3" s="131" t="s">
        <v>793</v>
      </c>
    </row>
    <row r="4" spans="1:64" ht="50.1" customHeight="1" x14ac:dyDescent="0.25">
      <c r="A4" s="664"/>
      <c r="B4" s="669" t="s">
        <v>794</v>
      </c>
      <c r="C4" s="672" t="s">
        <v>795</v>
      </c>
      <c r="D4" s="132" t="s">
        <v>796</v>
      </c>
      <c r="E4" s="133">
        <v>5</v>
      </c>
      <c r="F4" s="134">
        <v>30</v>
      </c>
      <c r="G4" s="135" t="s">
        <v>797</v>
      </c>
      <c r="H4" s="136">
        <v>3</v>
      </c>
      <c r="I4" s="137">
        <v>10</v>
      </c>
      <c r="J4" s="138" t="s">
        <v>798</v>
      </c>
      <c r="K4" s="139">
        <v>1</v>
      </c>
      <c r="L4" s="140">
        <v>10</v>
      </c>
      <c r="M4" s="132" t="s">
        <v>796</v>
      </c>
      <c r="N4" s="133">
        <v>5</v>
      </c>
      <c r="O4" s="134">
        <v>30</v>
      </c>
      <c r="P4" s="141" t="s">
        <v>799</v>
      </c>
      <c r="Q4" s="142">
        <v>3</v>
      </c>
      <c r="R4" s="143">
        <v>10</v>
      </c>
      <c r="S4" s="675" t="s">
        <v>794</v>
      </c>
      <c r="T4" s="678" t="s">
        <v>795</v>
      </c>
      <c r="U4" s="684"/>
      <c r="V4" s="664"/>
      <c r="W4" s="681" t="s">
        <v>800</v>
      </c>
      <c r="X4" s="672" t="s">
        <v>795</v>
      </c>
      <c r="Y4" s="144" t="s">
        <v>801</v>
      </c>
      <c r="Z4" s="145">
        <v>2</v>
      </c>
      <c r="AA4" s="146">
        <v>10</v>
      </c>
      <c r="AB4" s="147" t="s">
        <v>796</v>
      </c>
      <c r="AC4" s="148">
        <v>5</v>
      </c>
      <c r="AD4" s="149">
        <v>30</v>
      </c>
      <c r="AE4" s="150" t="s">
        <v>798</v>
      </c>
      <c r="AF4" s="151">
        <v>1</v>
      </c>
      <c r="AG4" s="152">
        <v>10</v>
      </c>
      <c r="AH4" s="147" t="s">
        <v>796</v>
      </c>
      <c r="AI4" s="148">
        <v>5</v>
      </c>
      <c r="AJ4" s="149">
        <v>30</v>
      </c>
      <c r="AK4" s="153" t="s">
        <v>797</v>
      </c>
      <c r="AL4" s="154">
        <v>3</v>
      </c>
      <c r="AM4" s="155">
        <v>10</v>
      </c>
      <c r="AN4" s="685" t="s">
        <v>794</v>
      </c>
      <c r="AO4" s="688" t="s">
        <v>800</v>
      </c>
      <c r="AR4" s="794" t="s">
        <v>802</v>
      </c>
      <c r="AS4" s="156">
        <v>6</v>
      </c>
      <c r="AT4" s="157">
        <v>20</v>
      </c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8"/>
      <c r="BL4" s="158"/>
    </row>
    <row r="5" spans="1:64" ht="49.5" customHeight="1" x14ac:dyDescent="0.25">
      <c r="A5" s="664"/>
      <c r="B5" s="670"/>
      <c r="C5" s="673"/>
      <c r="D5" s="160" t="s">
        <v>803</v>
      </c>
      <c r="E5" s="161">
        <v>4</v>
      </c>
      <c r="F5" s="162">
        <v>10</v>
      </c>
      <c r="G5" s="163" t="s">
        <v>804</v>
      </c>
      <c r="H5" s="164">
        <v>4</v>
      </c>
      <c r="I5" s="165">
        <v>10</v>
      </c>
      <c r="J5" s="166" t="s">
        <v>796</v>
      </c>
      <c r="K5" s="167">
        <v>5</v>
      </c>
      <c r="L5" s="168">
        <v>30</v>
      </c>
      <c r="M5" s="160" t="s">
        <v>803</v>
      </c>
      <c r="N5" s="161">
        <v>4</v>
      </c>
      <c r="O5" s="162">
        <v>10</v>
      </c>
      <c r="P5" s="163" t="s">
        <v>804</v>
      </c>
      <c r="Q5" s="164">
        <v>4</v>
      </c>
      <c r="R5" s="165">
        <v>10</v>
      </c>
      <c r="S5" s="676"/>
      <c r="T5" s="679"/>
      <c r="U5" s="684"/>
      <c r="V5" s="664"/>
      <c r="W5" s="682"/>
      <c r="X5" s="673"/>
      <c r="Y5" s="169" t="s">
        <v>799</v>
      </c>
      <c r="Z5" s="170">
        <v>3</v>
      </c>
      <c r="AA5" s="171">
        <v>10</v>
      </c>
      <c r="AB5" s="160" t="s">
        <v>803</v>
      </c>
      <c r="AC5" s="161">
        <v>4</v>
      </c>
      <c r="AD5" s="162">
        <v>10</v>
      </c>
      <c r="AE5" s="172" t="s">
        <v>801</v>
      </c>
      <c r="AF5" s="173">
        <v>2</v>
      </c>
      <c r="AG5" s="174">
        <v>10</v>
      </c>
      <c r="AH5" s="160" t="s">
        <v>803</v>
      </c>
      <c r="AI5" s="161">
        <v>4</v>
      </c>
      <c r="AJ5" s="162">
        <v>10</v>
      </c>
      <c r="AK5" s="163" t="s">
        <v>804</v>
      </c>
      <c r="AL5" s="164">
        <v>4</v>
      </c>
      <c r="AM5" s="165">
        <v>10</v>
      </c>
      <c r="AN5" s="686"/>
      <c r="AO5" s="689"/>
      <c r="AR5" s="175" t="s">
        <v>805</v>
      </c>
      <c r="AS5" s="176">
        <v>4</v>
      </c>
      <c r="AT5" s="177">
        <v>20</v>
      </c>
      <c r="AZ5" s="158"/>
      <c r="BA5" s="158"/>
      <c r="BB5" s="158"/>
      <c r="BC5" s="158"/>
      <c r="BD5" s="158"/>
      <c r="BE5" s="158"/>
      <c r="BF5" s="158"/>
      <c r="BG5" s="158"/>
      <c r="BH5" s="158"/>
      <c r="BI5" s="158"/>
      <c r="BJ5" s="158"/>
      <c r="BK5" s="158"/>
      <c r="BL5" s="158"/>
    </row>
    <row r="6" spans="1:64" ht="50.1" customHeight="1" x14ac:dyDescent="0.25">
      <c r="A6" s="664"/>
      <c r="B6" s="670"/>
      <c r="C6" s="673"/>
      <c r="D6" s="178" t="s">
        <v>806</v>
      </c>
      <c r="E6" s="179">
        <v>6</v>
      </c>
      <c r="F6" s="180">
        <v>20</v>
      </c>
      <c r="G6" s="795" t="s">
        <v>802</v>
      </c>
      <c r="H6" s="181">
        <v>6</v>
      </c>
      <c r="I6" s="182">
        <v>20</v>
      </c>
      <c r="J6" s="183" t="s">
        <v>807</v>
      </c>
      <c r="K6" s="184">
        <v>2</v>
      </c>
      <c r="L6" s="185">
        <v>10</v>
      </c>
      <c r="M6" s="178" t="s">
        <v>806</v>
      </c>
      <c r="N6" s="179">
        <v>6</v>
      </c>
      <c r="O6" s="180">
        <v>20</v>
      </c>
      <c r="P6" s="795" t="s">
        <v>802</v>
      </c>
      <c r="Q6" s="181">
        <v>6</v>
      </c>
      <c r="R6" s="182">
        <v>20</v>
      </c>
      <c r="S6" s="676"/>
      <c r="T6" s="679"/>
      <c r="U6" s="684"/>
      <c r="V6" s="664"/>
      <c r="W6" s="682"/>
      <c r="X6" s="673"/>
      <c r="Y6" s="163" t="s">
        <v>804</v>
      </c>
      <c r="Z6" s="164">
        <v>4</v>
      </c>
      <c r="AA6" s="165">
        <v>10</v>
      </c>
      <c r="AB6" s="178" t="s">
        <v>806</v>
      </c>
      <c r="AC6" s="179">
        <v>6</v>
      </c>
      <c r="AD6" s="180">
        <v>20</v>
      </c>
      <c r="AE6" s="169" t="s">
        <v>799</v>
      </c>
      <c r="AF6" s="170">
        <v>3</v>
      </c>
      <c r="AG6" s="171">
        <v>10</v>
      </c>
      <c r="AH6" s="178" t="s">
        <v>806</v>
      </c>
      <c r="AI6" s="179">
        <v>6</v>
      </c>
      <c r="AJ6" s="180">
        <v>20</v>
      </c>
      <c r="AK6" s="186" t="s">
        <v>808</v>
      </c>
      <c r="AL6" s="187">
        <v>4</v>
      </c>
      <c r="AM6" s="188">
        <v>15</v>
      </c>
      <c r="AN6" s="686"/>
      <c r="AO6" s="689"/>
      <c r="AR6" s="163" t="s">
        <v>804</v>
      </c>
      <c r="AS6" s="176">
        <v>4</v>
      </c>
      <c r="AT6" s="177">
        <v>10</v>
      </c>
      <c r="AZ6" s="158"/>
      <c r="BA6" s="158"/>
      <c r="BB6" s="158"/>
      <c r="BC6" s="158"/>
      <c r="BD6" s="158"/>
      <c r="BE6" s="158"/>
      <c r="BF6" s="158"/>
      <c r="BG6" s="158"/>
    </row>
    <row r="7" spans="1:64" ht="50.1" customHeight="1" x14ac:dyDescent="0.25">
      <c r="A7" s="664"/>
      <c r="B7" s="670"/>
      <c r="C7" s="673"/>
      <c r="D7" s="186" t="s">
        <v>808</v>
      </c>
      <c r="E7" s="187">
        <v>4</v>
      </c>
      <c r="F7" s="188">
        <v>15</v>
      </c>
      <c r="G7" s="175" t="s">
        <v>805</v>
      </c>
      <c r="H7" s="189">
        <v>4</v>
      </c>
      <c r="I7" s="190">
        <v>15</v>
      </c>
      <c r="J7" s="191"/>
      <c r="K7" s="192"/>
      <c r="L7" s="193"/>
      <c r="M7" s="175" t="s">
        <v>805</v>
      </c>
      <c r="N7" s="189">
        <v>4</v>
      </c>
      <c r="O7" s="190">
        <v>15</v>
      </c>
      <c r="P7" s="186" t="s">
        <v>808</v>
      </c>
      <c r="Q7" s="187">
        <v>4</v>
      </c>
      <c r="R7" s="188">
        <v>15</v>
      </c>
      <c r="S7" s="676"/>
      <c r="T7" s="679"/>
      <c r="U7" s="120"/>
      <c r="V7" s="664"/>
      <c r="W7" s="682"/>
      <c r="X7" s="673"/>
      <c r="Y7" s="795" t="s">
        <v>802</v>
      </c>
      <c r="Z7" s="181">
        <v>6</v>
      </c>
      <c r="AA7" s="182">
        <v>20</v>
      </c>
      <c r="AB7" s="186" t="s">
        <v>808</v>
      </c>
      <c r="AC7" s="187">
        <v>4</v>
      </c>
      <c r="AD7" s="188">
        <v>15</v>
      </c>
      <c r="AE7" s="183" t="s">
        <v>807</v>
      </c>
      <c r="AF7" s="184">
        <v>2</v>
      </c>
      <c r="AG7" s="185">
        <v>10</v>
      </c>
      <c r="AH7" s="175" t="s">
        <v>805</v>
      </c>
      <c r="AI7" s="189">
        <v>4</v>
      </c>
      <c r="AJ7" s="190">
        <v>15</v>
      </c>
      <c r="AK7" s="194" t="s">
        <v>809</v>
      </c>
      <c r="AL7" s="195">
        <v>4</v>
      </c>
      <c r="AM7" s="196">
        <v>10</v>
      </c>
      <c r="AN7" s="686"/>
      <c r="AO7" s="689"/>
      <c r="AR7" s="194" t="s">
        <v>810</v>
      </c>
      <c r="AS7" s="176">
        <v>5</v>
      </c>
      <c r="AT7" s="177">
        <v>10</v>
      </c>
    </row>
    <row r="8" spans="1:64" ht="50.1" customHeight="1" x14ac:dyDescent="0.25">
      <c r="A8" s="664"/>
      <c r="B8" s="670"/>
      <c r="C8" s="673"/>
      <c r="D8" s="197" t="s">
        <v>811</v>
      </c>
      <c r="E8" s="198">
        <v>4</v>
      </c>
      <c r="F8" s="199">
        <v>10</v>
      </c>
      <c r="G8" s="194" t="s">
        <v>809</v>
      </c>
      <c r="H8" s="195">
        <v>5</v>
      </c>
      <c r="I8" s="196">
        <v>10</v>
      </c>
      <c r="J8" s="191"/>
      <c r="K8" s="192"/>
      <c r="L8" s="193"/>
      <c r="M8" s="197" t="s">
        <v>811</v>
      </c>
      <c r="N8" s="198">
        <v>4</v>
      </c>
      <c r="O8" s="199">
        <v>10</v>
      </c>
      <c r="P8" s="194" t="s">
        <v>809</v>
      </c>
      <c r="Q8" s="195">
        <v>5</v>
      </c>
      <c r="R8" s="196">
        <v>10</v>
      </c>
      <c r="S8" s="676"/>
      <c r="T8" s="679"/>
      <c r="U8" s="120"/>
      <c r="V8" s="664"/>
      <c r="W8" s="682"/>
      <c r="X8" s="673"/>
      <c r="Y8" s="175" t="s">
        <v>805</v>
      </c>
      <c r="Z8" s="189">
        <v>4</v>
      </c>
      <c r="AA8" s="190">
        <v>15</v>
      </c>
      <c r="AB8" s="197" t="s">
        <v>811</v>
      </c>
      <c r="AC8" s="198">
        <v>5</v>
      </c>
      <c r="AD8" s="199">
        <v>10</v>
      </c>
      <c r="AE8" s="200"/>
      <c r="AF8" s="176"/>
      <c r="AG8" s="201"/>
      <c r="AH8" s="197" t="s">
        <v>811</v>
      </c>
      <c r="AI8" s="198">
        <v>5</v>
      </c>
      <c r="AJ8" s="199">
        <v>10</v>
      </c>
      <c r="AK8" s="202"/>
      <c r="AL8" s="203"/>
      <c r="AM8" s="204"/>
      <c r="AN8" s="686"/>
      <c r="AO8" s="689"/>
      <c r="AR8" s="205" t="s">
        <v>797</v>
      </c>
      <c r="AS8" s="176">
        <v>3</v>
      </c>
      <c r="AT8" s="177">
        <v>10</v>
      </c>
      <c r="AZ8" s="158"/>
      <c r="BA8" s="158"/>
      <c r="BB8" s="158"/>
      <c r="BC8" s="158"/>
      <c r="BD8" s="158"/>
      <c r="BE8" s="158"/>
      <c r="BF8" s="158"/>
      <c r="BG8" s="158"/>
    </row>
    <row r="9" spans="1:64" ht="50.1" customHeight="1" thickBot="1" x14ac:dyDescent="0.3">
      <c r="A9" s="664"/>
      <c r="B9" s="671"/>
      <c r="C9" s="674"/>
      <c r="D9" s="206"/>
      <c r="E9" s="207"/>
      <c r="F9" s="208"/>
      <c r="G9" s="206"/>
      <c r="H9" s="207"/>
      <c r="I9" s="208"/>
      <c r="J9" s="209"/>
      <c r="K9" s="210"/>
      <c r="L9" s="211"/>
      <c r="M9" s="206"/>
      <c r="N9" s="207"/>
      <c r="O9" s="208"/>
      <c r="P9" s="206"/>
      <c r="Q9" s="207"/>
      <c r="R9" s="208"/>
      <c r="S9" s="677"/>
      <c r="T9" s="680"/>
      <c r="U9" s="120"/>
      <c r="V9" s="664"/>
      <c r="W9" s="683"/>
      <c r="X9" s="674"/>
      <c r="Y9" s="213" t="s">
        <v>809</v>
      </c>
      <c r="Z9" s="214">
        <v>4</v>
      </c>
      <c r="AA9" s="215">
        <v>10</v>
      </c>
      <c r="AB9" s="216"/>
      <c r="AC9" s="217"/>
      <c r="AD9" s="218"/>
      <c r="AE9" s="219"/>
      <c r="AF9" s="220"/>
      <c r="AG9" s="221"/>
      <c r="AH9" s="216"/>
      <c r="AI9" s="217"/>
      <c r="AJ9" s="218"/>
      <c r="AK9" s="216"/>
      <c r="AL9" s="217"/>
      <c r="AM9" s="218"/>
      <c r="AN9" s="687"/>
      <c r="AO9" s="690"/>
      <c r="AR9" s="166" t="s">
        <v>812</v>
      </c>
      <c r="AS9" s="176">
        <v>5</v>
      </c>
      <c r="AT9" s="177">
        <v>20</v>
      </c>
      <c r="AZ9" s="158"/>
      <c r="BA9" s="158"/>
      <c r="BB9" s="158"/>
      <c r="BC9" s="158"/>
      <c r="BD9" s="158"/>
      <c r="BE9" s="158"/>
      <c r="BF9" s="158"/>
      <c r="BG9" s="158"/>
    </row>
    <row r="10" spans="1:64" ht="50.1" customHeight="1" thickBot="1" x14ac:dyDescent="0.3">
      <c r="A10" s="664"/>
      <c r="B10" s="159"/>
      <c r="C10" s="122" t="s">
        <v>813</v>
      </c>
      <c r="D10" s="121">
        <f>(E4*F4)+(E5*F5)+(E6*F6)+(E7*F7)+(E8*F8)+(E9*F9)</f>
        <v>410</v>
      </c>
      <c r="E10" s="222">
        <f>SUM(E4:E9)</f>
        <v>23</v>
      </c>
      <c r="F10" s="126">
        <f>SUM(F4:F9)</f>
        <v>85</v>
      </c>
      <c r="G10" s="121">
        <f>(H4*I4)+(H5*I5)+(H6*I6)+(H7*I7)+(H8*I8)</f>
        <v>300</v>
      </c>
      <c r="H10" s="222">
        <f>SUM(H4:H8)</f>
        <v>22</v>
      </c>
      <c r="I10" s="126">
        <f>SUM(I4:I8)</f>
        <v>65</v>
      </c>
      <c r="J10" s="121">
        <f>(K4*L4)+(K5*L5)+(K6*L6)+(K7*L7)+(K8*L8)+(K9*L9)</f>
        <v>180</v>
      </c>
      <c r="K10" s="222">
        <f>SUM(K4:K9)</f>
        <v>8</v>
      </c>
      <c r="L10" s="126">
        <f>SUM(L4:L9)</f>
        <v>50</v>
      </c>
      <c r="M10" s="121">
        <f>(N4*O4)+(N5*O5)+(N6*O6)+(N7*O7)+(N8*O8)+(N9*O9)</f>
        <v>410</v>
      </c>
      <c r="N10" s="222">
        <f>SUM(N4:N9)</f>
        <v>23</v>
      </c>
      <c r="O10" s="126">
        <f>SUM(O4:O9)</f>
        <v>85</v>
      </c>
      <c r="P10" s="121">
        <f>(Q4*R4)+(Q5*R5)+(Q6*R6)+(Q7*R7)+(Q8*R8)+(Q9*R9)</f>
        <v>300</v>
      </c>
      <c r="Q10" s="222">
        <f>SUM(Q4:Q9)</f>
        <v>22</v>
      </c>
      <c r="R10" s="126">
        <f>SUM(R4:R9)</f>
        <v>65</v>
      </c>
      <c r="S10" s="123"/>
      <c r="T10" s="223">
        <f>D10+G10+J10+M10+P10</f>
        <v>1600</v>
      </c>
      <c r="U10" s="120"/>
      <c r="V10" s="664"/>
      <c r="W10" s="224"/>
      <c r="X10" s="225" t="s">
        <v>813</v>
      </c>
      <c r="Y10" s="121">
        <f>(Z4*AA4)+(Z5*AA5)+(Z6*AA6)+(Z7*AA7)+(Z8*AA8)+(Z9*AA9)</f>
        <v>310</v>
      </c>
      <c r="Z10" s="222">
        <f>SUM(Z4:Z9)</f>
        <v>23</v>
      </c>
      <c r="AA10" s="126">
        <f>SUM(AA4:AA9)</f>
        <v>75</v>
      </c>
      <c r="AB10" s="121">
        <f>(AC4*AD4)+(AC5*AD5)+(AC6*AD6)+(AC7*AD7)+(AC8*AD8)</f>
        <v>420</v>
      </c>
      <c r="AC10" s="222">
        <f>SUM(AC4:AC8)</f>
        <v>24</v>
      </c>
      <c r="AD10" s="126">
        <f>SUM(AD4:AD8)</f>
        <v>85</v>
      </c>
      <c r="AE10" s="121">
        <f>(AF4*AG4)+(AF5*AG5)+(AF6*AG6)+(AF7*AG7)+(AF8*AG8)+(AF9*AG9)</f>
        <v>80</v>
      </c>
      <c r="AF10" s="222">
        <f>SUM(AF4:AF9)</f>
        <v>8</v>
      </c>
      <c r="AG10" s="126">
        <f>SUM(AG4:AG9)</f>
        <v>40</v>
      </c>
      <c r="AH10" s="121">
        <f>(AI4*AJ4)+(AI5*AJ5)+(AI6*AJ6)+(AI7*AJ7)+(AI8*AJ8)+(AI9*AJ9)</f>
        <v>420</v>
      </c>
      <c r="AI10" s="222">
        <f>SUM(AI4:AI9)</f>
        <v>24</v>
      </c>
      <c r="AJ10" s="126">
        <f>SUM(AJ4:AJ9)</f>
        <v>85</v>
      </c>
      <c r="AK10" s="121">
        <f>(AL4*AM4)+(AL5*AM5)+(AL6*AM6)+(AL7*AM7)+(AL8*AM8)+(AL9*AM9)</f>
        <v>170</v>
      </c>
      <c r="AL10" s="222">
        <f>SUM(AL4:AL9)</f>
        <v>15</v>
      </c>
      <c r="AM10" s="126">
        <f>SUM(AM4:AM9)</f>
        <v>45</v>
      </c>
      <c r="AN10" s="128"/>
      <c r="AO10" s="226">
        <f>Y10+AB10+AE10+AH10+AK10</f>
        <v>1400</v>
      </c>
      <c r="AR10" s="183" t="s">
        <v>807</v>
      </c>
      <c r="AS10" s="176">
        <v>2</v>
      </c>
      <c r="AT10" s="177">
        <v>10</v>
      </c>
      <c r="AZ10" s="158"/>
      <c r="BA10" s="158"/>
      <c r="BB10" s="158"/>
      <c r="BC10" s="158"/>
      <c r="BD10" s="158"/>
      <c r="BE10" s="158"/>
      <c r="BF10" s="158"/>
      <c r="BG10" s="158"/>
    </row>
    <row r="11" spans="1:64" ht="50.1" customHeight="1" thickBot="1" x14ac:dyDescent="0.3">
      <c r="A11" s="664"/>
      <c r="B11" s="129" t="s">
        <v>780</v>
      </c>
      <c r="C11" s="225" t="s">
        <v>781</v>
      </c>
      <c r="D11" s="660" t="s">
        <v>782</v>
      </c>
      <c r="E11" s="661"/>
      <c r="F11" s="662"/>
      <c r="G11" s="660" t="s">
        <v>783</v>
      </c>
      <c r="H11" s="661"/>
      <c r="I11" s="662"/>
      <c r="J11" s="660" t="s">
        <v>784</v>
      </c>
      <c r="K11" s="661"/>
      <c r="L11" s="662"/>
      <c r="M11" s="660" t="s">
        <v>785</v>
      </c>
      <c r="N11" s="661"/>
      <c r="O11" s="662"/>
      <c r="P11" s="666" t="s">
        <v>786</v>
      </c>
      <c r="Q11" s="667"/>
      <c r="R11" s="667"/>
      <c r="S11" s="130" t="s">
        <v>780</v>
      </c>
      <c r="T11" s="131" t="s">
        <v>781</v>
      </c>
      <c r="U11" s="120"/>
      <c r="V11" s="664"/>
      <c r="W11" s="129" t="s">
        <v>780</v>
      </c>
      <c r="X11" s="225" t="s">
        <v>781</v>
      </c>
      <c r="Y11" s="666" t="s">
        <v>782</v>
      </c>
      <c r="Z11" s="667"/>
      <c r="AA11" s="668"/>
      <c r="AB11" s="666" t="s">
        <v>783</v>
      </c>
      <c r="AC11" s="667"/>
      <c r="AD11" s="668"/>
      <c r="AE11" s="666" t="s">
        <v>784</v>
      </c>
      <c r="AF11" s="667"/>
      <c r="AG11" s="668"/>
      <c r="AH11" s="666" t="s">
        <v>785</v>
      </c>
      <c r="AI11" s="667"/>
      <c r="AJ11" s="668"/>
      <c r="AK11" s="666" t="s">
        <v>786</v>
      </c>
      <c r="AL11" s="667"/>
      <c r="AM11" s="668"/>
      <c r="AN11" s="227" t="s">
        <v>780</v>
      </c>
      <c r="AO11" s="131" t="s">
        <v>781</v>
      </c>
      <c r="AR11" s="178" t="s">
        <v>806</v>
      </c>
      <c r="AS11" s="176">
        <v>6</v>
      </c>
      <c r="AT11" s="177">
        <v>20</v>
      </c>
    </row>
    <row r="12" spans="1:64" ht="29.25" customHeight="1" thickBot="1" x14ac:dyDescent="0.3">
      <c r="A12" s="664"/>
      <c r="B12" s="228"/>
      <c r="C12" s="229"/>
      <c r="D12" s="697" t="s">
        <v>787</v>
      </c>
      <c r="E12" s="698"/>
      <c r="F12" s="699"/>
      <c r="G12" s="697" t="s">
        <v>787</v>
      </c>
      <c r="H12" s="698"/>
      <c r="I12" s="699"/>
      <c r="J12" s="697" t="s">
        <v>790</v>
      </c>
      <c r="K12" s="698"/>
      <c r="L12" s="699"/>
      <c r="M12" s="697" t="s">
        <v>791</v>
      </c>
      <c r="N12" s="698"/>
      <c r="O12" s="698"/>
      <c r="P12" s="700" t="s">
        <v>814</v>
      </c>
      <c r="Q12" s="701"/>
      <c r="R12" s="702"/>
      <c r="S12" s="231"/>
      <c r="T12" s="230"/>
      <c r="U12" s="120"/>
      <c r="V12" s="664"/>
      <c r="W12" s="121"/>
      <c r="X12" s="122"/>
      <c r="Y12" s="660" t="s">
        <v>787</v>
      </c>
      <c r="Z12" s="661"/>
      <c r="AA12" s="662"/>
      <c r="AB12" s="660" t="s">
        <v>787</v>
      </c>
      <c r="AC12" s="661"/>
      <c r="AD12" s="662"/>
      <c r="AE12" s="660" t="s">
        <v>787</v>
      </c>
      <c r="AF12" s="661"/>
      <c r="AG12" s="662"/>
      <c r="AH12" s="660" t="s">
        <v>790</v>
      </c>
      <c r="AI12" s="661"/>
      <c r="AJ12" s="662"/>
      <c r="AK12" s="660" t="s">
        <v>791</v>
      </c>
      <c r="AL12" s="661"/>
      <c r="AM12" s="662"/>
      <c r="AN12" s="125"/>
      <c r="AO12" s="126"/>
      <c r="AR12" s="186" t="s">
        <v>808</v>
      </c>
      <c r="AS12" s="176">
        <v>4</v>
      </c>
      <c r="AT12" s="177">
        <v>20</v>
      </c>
    </row>
    <row r="13" spans="1:64" ht="50.1" customHeight="1" x14ac:dyDescent="0.25">
      <c r="A13" s="664"/>
      <c r="B13" s="669" t="s">
        <v>794</v>
      </c>
      <c r="C13" s="672" t="s">
        <v>795</v>
      </c>
      <c r="D13" s="132" t="s">
        <v>796</v>
      </c>
      <c r="E13" s="133">
        <v>5</v>
      </c>
      <c r="F13" s="134">
        <v>30</v>
      </c>
      <c r="G13" s="135" t="s">
        <v>797</v>
      </c>
      <c r="H13" s="136">
        <v>3</v>
      </c>
      <c r="I13" s="137">
        <v>10</v>
      </c>
      <c r="J13" s="138" t="s">
        <v>798</v>
      </c>
      <c r="K13" s="139">
        <v>1</v>
      </c>
      <c r="L13" s="140">
        <v>10</v>
      </c>
      <c r="M13" s="135" t="s">
        <v>797</v>
      </c>
      <c r="N13" s="136">
        <v>3</v>
      </c>
      <c r="O13" s="137">
        <v>10</v>
      </c>
      <c r="P13" s="147" t="s">
        <v>796</v>
      </c>
      <c r="Q13" s="148">
        <v>5</v>
      </c>
      <c r="R13" s="149">
        <v>30</v>
      </c>
      <c r="S13" s="688" t="s">
        <v>800</v>
      </c>
      <c r="T13" s="691" t="s">
        <v>800</v>
      </c>
      <c r="U13" s="120"/>
      <c r="V13" s="664"/>
      <c r="W13" s="669" t="s">
        <v>794</v>
      </c>
      <c r="X13" s="694" t="s">
        <v>795</v>
      </c>
      <c r="Y13" s="132" t="s">
        <v>796</v>
      </c>
      <c r="Z13" s="133">
        <v>5</v>
      </c>
      <c r="AA13" s="134">
        <v>30</v>
      </c>
      <c r="AB13" s="135" t="s">
        <v>797</v>
      </c>
      <c r="AC13" s="136">
        <v>3</v>
      </c>
      <c r="AD13" s="137">
        <v>10</v>
      </c>
      <c r="AE13" s="138" t="s">
        <v>798</v>
      </c>
      <c r="AF13" s="139">
        <v>1</v>
      </c>
      <c r="AG13" s="140">
        <v>10</v>
      </c>
      <c r="AH13" s="132" t="s">
        <v>796</v>
      </c>
      <c r="AI13" s="133">
        <v>5</v>
      </c>
      <c r="AJ13" s="134">
        <v>30</v>
      </c>
      <c r="AK13" s="135" t="s">
        <v>797</v>
      </c>
      <c r="AL13" s="136">
        <v>3</v>
      </c>
      <c r="AM13" s="137">
        <v>10</v>
      </c>
      <c r="AN13" s="675" t="s">
        <v>794</v>
      </c>
      <c r="AO13" s="691" t="s">
        <v>800</v>
      </c>
      <c r="AR13" s="160" t="s">
        <v>803</v>
      </c>
      <c r="AS13" s="176">
        <v>4</v>
      </c>
      <c r="AT13" s="177">
        <v>10</v>
      </c>
    </row>
    <row r="14" spans="1:64" ht="50.1" customHeight="1" x14ac:dyDescent="0.25">
      <c r="A14" s="664"/>
      <c r="B14" s="670"/>
      <c r="C14" s="673"/>
      <c r="D14" s="160" t="s">
        <v>803</v>
      </c>
      <c r="E14" s="161">
        <v>4</v>
      </c>
      <c r="F14" s="162">
        <v>10</v>
      </c>
      <c r="G14" s="169" t="s">
        <v>799</v>
      </c>
      <c r="H14" s="170">
        <v>3</v>
      </c>
      <c r="I14" s="171">
        <v>10</v>
      </c>
      <c r="J14" s="166" t="s">
        <v>796</v>
      </c>
      <c r="K14" s="167">
        <v>5</v>
      </c>
      <c r="L14" s="168">
        <v>30</v>
      </c>
      <c r="M14" s="169" t="s">
        <v>799</v>
      </c>
      <c r="N14" s="170">
        <v>3</v>
      </c>
      <c r="O14" s="171">
        <v>10</v>
      </c>
      <c r="P14" s="163" t="s">
        <v>804</v>
      </c>
      <c r="Q14" s="164">
        <v>4</v>
      </c>
      <c r="R14" s="165">
        <v>10</v>
      </c>
      <c r="S14" s="689"/>
      <c r="T14" s="692"/>
      <c r="U14" s="120"/>
      <c r="V14" s="664"/>
      <c r="W14" s="670"/>
      <c r="X14" s="695"/>
      <c r="Y14" s="160" t="s">
        <v>803</v>
      </c>
      <c r="Z14" s="161">
        <v>4</v>
      </c>
      <c r="AA14" s="162">
        <v>10</v>
      </c>
      <c r="AB14" s="169" t="s">
        <v>799</v>
      </c>
      <c r="AC14" s="170">
        <v>3</v>
      </c>
      <c r="AD14" s="171">
        <v>10</v>
      </c>
      <c r="AE14" s="166" t="s">
        <v>796</v>
      </c>
      <c r="AF14" s="167">
        <v>5</v>
      </c>
      <c r="AG14" s="168">
        <v>30</v>
      </c>
      <c r="AH14" s="160" t="s">
        <v>803</v>
      </c>
      <c r="AI14" s="161">
        <v>4</v>
      </c>
      <c r="AJ14" s="162">
        <v>10</v>
      </c>
      <c r="AK14" s="163" t="s">
        <v>804</v>
      </c>
      <c r="AL14" s="164">
        <v>4</v>
      </c>
      <c r="AM14" s="165">
        <v>10</v>
      </c>
      <c r="AN14" s="676"/>
      <c r="AO14" s="692"/>
      <c r="AR14" s="197" t="s">
        <v>815</v>
      </c>
      <c r="AS14" s="176">
        <v>5</v>
      </c>
      <c r="AT14" s="177">
        <v>10</v>
      </c>
    </row>
    <row r="15" spans="1:64" ht="50.1" customHeight="1" x14ac:dyDescent="0.25">
      <c r="A15" s="664"/>
      <c r="B15" s="670"/>
      <c r="C15" s="673"/>
      <c r="D15" s="178" t="s">
        <v>806</v>
      </c>
      <c r="E15" s="179">
        <v>6</v>
      </c>
      <c r="F15" s="180">
        <v>20</v>
      </c>
      <c r="G15" s="163" t="s">
        <v>804</v>
      </c>
      <c r="H15" s="164">
        <v>4</v>
      </c>
      <c r="I15" s="165">
        <v>10</v>
      </c>
      <c r="J15" s="183" t="s">
        <v>807</v>
      </c>
      <c r="K15" s="184">
        <v>2</v>
      </c>
      <c r="L15" s="185">
        <v>10</v>
      </c>
      <c r="M15" s="160" t="s">
        <v>803</v>
      </c>
      <c r="N15" s="161">
        <v>4</v>
      </c>
      <c r="O15" s="162">
        <v>10</v>
      </c>
      <c r="P15" s="175" t="s">
        <v>805</v>
      </c>
      <c r="Q15" s="187">
        <v>4</v>
      </c>
      <c r="R15" s="188">
        <v>15</v>
      </c>
      <c r="S15" s="689"/>
      <c r="T15" s="692"/>
      <c r="U15" s="120"/>
      <c r="V15" s="664"/>
      <c r="W15" s="670"/>
      <c r="X15" s="695"/>
      <c r="Y15" s="178" t="s">
        <v>806</v>
      </c>
      <c r="Z15" s="179">
        <v>6</v>
      </c>
      <c r="AA15" s="180">
        <v>20</v>
      </c>
      <c r="AB15" s="163" t="s">
        <v>804</v>
      </c>
      <c r="AC15" s="164">
        <v>4</v>
      </c>
      <c r="AD15" s="165">
        <v>10</v>
      </c>
      <c r="AE15" s="183" t="s">
        <v>807</v>
      </c>
      <c r="AF15" s="184">
        <v>2</v>
      </c>
      <c r="AG15" s="185">
        <v>10</v>
      </c>
      <c r="AH15" s="178" t="s">
        <v>806</v>
      </c>
      <c r="AI15" s="179">
        <v>6</v>
      </c>
      <c r="AJ15" s="180">
        <v>20</v>
      </c>
      <c r="AK15" s="186" t="s">
        <v>808</v>
      </c>
      <c r="AL15" s="187">
        <v>4</v>
      </c>
      <c r="AM15" s="188">
        <v>15</v>
      </c>
      <c r="AN15" s="676"/>
      <c r="AO15" s="692"/>
      <c r="AR15" s="169" t="s">
        <v>799</v>
      </c>
      <c r="AS15" s="176">
        <v>3</v>
      </c>
      <c r="AT15" s="177">
        <v>10</v>
      </c>
    </row>
    <row r="16" spans="1:64" ht="50.1" customHeight="1" x14ac:dyDescent="0.25">
      <c r="A16" s="664"/>
      <c r="B16" s="670"/>
      <c r="C16" s="673"/>
      <c r="D16" s="186" t="s">
        <v>808</v>
      </c>
      <c r="E16" s="187">
        <v>4</v>
      </c>
      <c r="F16" s="188">
        <v>15</v>
      </c>
      <c r="G16" s="795" t="s">
        <v>802</v>
      </c>
      <c r="H16" s="181">
        <v>6</v>
      </c>
      <c r="I16" s="182">
        <v>20</v>
      </c>
      <c r="J16" s="191"/>
      <c r="K16" s="192"/>
      <c r="L16" s="193"/>
      <c r="M16" s="186" t="s">
        <v>808</v>
      </c>
      <c r="N16" s="189">
        <v>4</v>
      </c>
      <c r="O16" s="190">
        <v>15</v>
      </c>
      <c r="P16" s="194" t="s">
        <v>809</v>
      </c>
      <c r="Q16" s="195">
        <v>4</v>
      </c>
      <c r="R16" s="196">
        <v>10</v>
      </c>
      <c r="S16" s="689"/>
      <c r="T16" s="692"/>
      <c r="U16" s="120"/>
      <c r="V16" s="664"/>
      <c r="W16" s="670"/>
      <c r="X16" s="695"/>
      <c r="Y16" s="186" t="s">
        <v>808</v>
      </c>
      <c r="Z16" s="187">
        <v>4</v>
      </c>
      <c r="AA16" s="188">
        <v>15</v>
      </c>
      <c r="AB16" s="795" t="s">
        <v>802</v>
      </c>
      <c r="AC16" s="181">
        <v>6</v>
      </c>
      <c r="AD16" s="182">
        <v>20</v>
      </c>
      <c r="AE16" s="191"/>
      <c r="AF16" s="192"/>
      <c r="AG16" s="193"/>
      <c r="AH16" s="175" t="s">
        <v>805</v>
      </c>
      <c r="AI16" s="189">
        <v>4</v>
      </c>
      <c r="AJ16" s="190">
        <v>15</v>
      </c>
      <c r="AK16" s="194" t="s">
        <v>809</v>
      </c>
      <c r="AL16" s="195">
        <v>4</v>
      </c>
      <c r="AM16" s="196">
        <v>10</v>
      </c>
      <c r="AN16" s="676"/>
      <c r="AO16" s="692"/>
      <c r="AR16" s="232" t="s">
        <v>798</v>
      </c>
      <c r="AS16" s="176">
        <v>1</v>
      </c>
      <c r="AT16" s="177">
        <v>10</v>
      </c>
    </row>
    <row r="17" spans="1:46" ht="50.1" customHeight="1" thickBot="1" x14ac:dyDescent="0.3">
      <c r="A17" s="664"/>
      <c r="B17" s="670"/>
      <c r="C17" s="673"/>
      <c r="D17" s="197" t="s">
        <v>811</v>
      </c>
      <c r="E17" s="198">
        <v>5</v>
      </c>
      <c r="F17" s="199">
        <v>10</v>
      </c>
      <c r="G17" s="175" t="s">
        <v>805</v>
      </c>
      <c r="H17" s="189">
        <v>4</v>
      </c>
      <c r="I17" s="190">
        <v>15</v>
      </c>
      <c r="J17" s="191"/>
      <c r="K17" s="192"/>
      <c r="L17" s="193"/>
      <c r="M17" s="197" t="s">
        <v>811</v>
      </c>
      <c r="N17" s="198">
        <v>5</v>
      </c>
      <c r="O17" s="199">
        <v>10</v>
      </c>
      <c r="P17" s="233"/>
      <c r="Q17" s="234"/>
      <c r="R17" s="177"/>
      <c r="S17" s="689"/>
      <c r="T17" s="692"/>
      <c r="U17" s="120"/>
      <c r="V17" s="664"/>
      <c r="W17" s="670"/>
      <c r="X17" s="695"/>
      <c r="Y17" s="197" t="s">
        <v>811</v>
      </c>
      <c r="Z17" s="198">
        <v>5</v>
      </c>
      <c r="AA17" s="199">
        <v>10</v>
      </c>
      <c r="AB17" s="175" t="s">
        <v>805</v>
      </c>
      <c r="AC17" s="189">
        <v>4</v>
      </c>
      <c r="AD17" s="190">
        <v>15</v>
      </c>
      <c r="AE17" s="191"/>
      <c r="AF17" s="192"/>
      <c r="AG17" s="193"/>
      <c r="AH17" s="197" t="s">
        <v>811</v>
      </c>
      <c r="AI17" s="198">
        <v>5</v>
      </c>
      <c r="AJ17" s="199">
        <v>10</v>
      </c>
      <c r="AK17" s="202"/>
      <c r="AL17" s="203"/>
      <c r="AM17" s="204"/>
      <c r="AN17" s="676"/>
      <c r="AO17" s="692"/>
      <c r="AR17" s="235" t="s">
        <v>801</v>
      </c>
      <c r="AS17" s="236">
        <v>2</v>
      </c>
      <c r="AT17" s="237">
        <v>10</v>
      </c>
    </row>
    <row r="18" spans="1:46" ht="50.1" customHeight="1" thickBot="1" x14ac:dyDescent="0.3">
      <c r="A18" s="665"/>
      <c r="B18" s="671"/>
      <c r="C18" s="674"/>
      <c r="D18" s="206"/>
      <c r="E18" s="207"/>
      <c r="F18" s="208"/>
      <c r="G18" s="238" t="s">
        <v>809</v>
      </c>
      <c r="H18" s="239">
        <v>4</v>
      </c>
      <c r="I18" s="240">
        <v>10</v>
      </c>
      <c r="J18" s="209"/>
      <c r="K18" s="210"/>
      <c r="L18" s="211"/>
      <c r="M18" s="241"/>
      <c r="N18" s="242"/>
      <c r="O18" s="243"/>
      <c r="P18" s="244"/>
      <c r="Q18" s="245"/>
      <c r="R18" s="237"/>
      <c r="S18" s="690"/>
      <c r="T18" s="693"/>
      <c r="U18" s="120"/>
      <c r="V18" s="665"/>
      <c r="W18" s="671"/>
      <c r="X18" s="696"/>
      <c r="Y18" s="206"/>
      <c r="Z18" s="207"/>
      <c r="AA18" s="208"/>
      <c r="AB18" s="238" t="s">
        <v>809</v>
      </c>
      <c r="AC18" s="239">
        <v>4</v>
      </c>
      <c r="AD18" s="240">
        <v>10</v>
      </c>
      <c r="AE18" s="209"/>
      <c r="AF18" s="210"/>
      <c r="AG18" s="211"/>
      <c r="AH18" s="206"/>
      <c r="AI18" s="207"/>
      <c r="AJ18" s="208"/>
      <c r="AK18" s="206"/>
      <c r="AL18" s="207"/>
      <c r="AM18" s="208"/>
      <c r="AN18" s="677"/>
      <c r="AO18" s="693"/>
    </row>
    <row r="19" spans="1:46" ht="50.1" customHeight="1" thickBot="1" x14ac:dyDescent="0.3">
      <c r="A19" s="127"/>
      <c r="B19" s="159"/>
      <c r="C19" s="225" t="s">
        <v>813</v>
      </c>
      <c r="D19" s="129">
        <f>(E13*F13)+(E14*F14)+(E16*F16)+(E17*F17)+(E18*F18)</f>
        <v>300</v>
      </c>
      <c r="E19" s="130">
        <f>SUM(E13:E18)</f>
        <v>24</v>
      </c>
      <c r="F19" s="131">
        <f>SUM(F13:F18)</f>
        <v>85</v>
      </c>
      <c r="G19" s="129">
        <f>(H13*I13)+(H14*I14)+(H16*I16)+(H17*I17)</f>
        <v>240</v>
      </c>
      <c r="H19" s="130">
        <f>SUM(H13:H17)</f>
        <v>20</v>
      </c>
      <c r="I19" s="131">
        <f>SUM(I13:I17)</f>
        <v>65</v>
      </c>
      <c r="J19" s="129">
        <f>(K13*L13)+(K14*L14)+(K16*L16)+(K17*L17)+(K18*L18)</f>
        <v>160</v>
      </c>
      <c r="K19" s="130">
        <f>SUM(K13:K18)</f>
        <v>8</v>
      </c>
      <c r="L19" s="131">
        <f>SUM(L13:L18)</f>
        <v>50</v>
      </c>
      <c r="M19" s="129">
        <f>(N13*O13)+(N14*O14)+(N16*O16)+(N17*O17)+(N18*O18)</f>
        <v>170</v>
      </c>
      <c r="N19" s="130">
        <f>SUM(N13:N18)</f>
        <v>19</v>
      </c>
      <c r="O19" s="131">
        <f>SUM(O13:O18)</f>
        <v>55</v>
      </c>
      <c r="P19" s="129">
        <f>(Q13*R13)+(Q14*R14)+(Q16*R16)+(Q17*R17)+(Q18*R18)</f>
        <v>230</v>
      </c>
      <c r="Q19" s="130">
        <f>SUM(Q13:Q18)</f>
        <v>17</v>
      </c>
      <c r="R19" s="131">
        <f>SUM(R13:R18)</f>
        <v>65</v>
      </c>
      <c r="S19" s="128"/>
      <c r="T19" s="246">
        <f>D19+G19+J19+M19+P19</f>
        <v>1100</v>
      </c>
      <c r="U19" s="120"/>
      <c r="V19" s="247"/>
      <c r="W19" s="248"/>
      <c r="X19" s="225" t="s">
        <v>813</v>
      </c>
      <c r="Y19" s="129">
        <f>(Z13*AA13)+(Z14*AA14)+(Z16*AA16)+(Z17*AA17)+(Z18*AA18)</f>
        <v>300</v>
      </c>
      <c r="Z19" s="130">
        <f>SUM(Z13:Z18)</f>
        <v>24</v>
      </c>
      <c r="AA19" s="131">
        <f>SUM(AA13:AA18)</f>
        <v>85</v>
      </c>
      <c r="AB19" s="129">
        <f>(AC13*AD13)+(AC14*AD14)+(AC16*AD16)+(AC17*AD17)</f>
        <v>240</v>
      </c>
      <c r="AC19" s="130">
        <f>SUM(AC13:AC17)</f>
        <v>20</v>
      </c>
      <c r="AD19" s="131">
        <f>SUM(AD13:AD17)</f>
        <v>65</v>
      </c>
      <c r="AE19" s="129">
        <f>(AF13*AG13)+(AF14*AG14)+(AF16*AG16)+(AF17*AG17)+(AF18*AG18)</f>
        <v>160</v>
      </c>
      <c r="AF19" s="130">
        <f>SUM(AF13:AF18)</f>
        <v>8</v>
      </c>
      <c r="AG19" s="131">
        <f>SUM(AG13:AG18)</f>
        <v>50</v>
      </c>
      <c r="AH19" s="129">
        <f>(AI13*AJ13)+(AI14*AJ14)+(AI16*AJ16)+(AI17*AJ17)+(AI18*AJ18)</f>
        <v>300</v>
      </c>
      <c r="AI19" s="130">
        <f>SUM(AI13:AI18)</f>
        <v>24</v>
      </c>
      <c r="AJ19" s="131">
        <f>SUM(AJ13:AJ18)</f>
        <v>85</v>
      </c>
      <c r="AK19" s="129">
        <f>(AL13*AM13)+(AL14*AM14)+(AL16*AM16)+(AL17*AM17)+(AL18*AM18)</f>
        <v>110</v>
      </c>
      <c r="AL19" s="130">
        <f>SUM(AL13:AL18)</f>
        <v>15</v>
      </c>
      <c r="AM19" s="131">
        <f>SUM(AM13:AM18)</f>
        <v>45</v>
      </c>
      <c r="AN19" s="249"/>
      <c r="AO19" s="226">
        <f>Y19+AB19+AE19+AH19+AK19</f>
        <v>1110</v>
      </c>
    </row>
    <row r="20" spans="1:46" ht="24.75" customHeight="1" thickBot="1" x14ac:dyDescent="0.3">
      <c r="A20" s="127"/>
      <c r="B20" s="703"/>
      <c r="C20" s="704"/>
      <c r="D20" s="704"/>
      <c r="E20" s="704"/>
      <c r="F20" s="704"/>
      <c r="G20" s="704"/>
      <c r="H20" s="704"/>
      <c r="I20" s="704"/>
      <c r="J20" s="704"/>
      <c r="K20" s="704"/>
      <c r="L20" s="704"/>
      <c r="M20" s="704"/>
      <c r="N20" s="704"/>
      <c r="O20" s="704"/>
      <c r="P20" s="704"/>
      <c r="Q20" s="704"/>
      <c r="R20" s="704"/>
      <c r="S20" s="704"/>
      <c r="T20" s="705"/>
      <c r="U20" s="120"/>
      <c r="V20" s="250"/>
      <c r="W20" s="706"/>
      <c r="X20" s="707"/>
      <c r="Y20" s="708"/>
      <c r="Z20" s="708"/>
      <c r="AA20" s="708"/>
      <c r="AB20" s="708"/>
      <c r="AC20" s="708"/>
      <c r="AD20" s="708"/>
      <c r="AE20" s="708"/>
      <c r="AF20" s="708"/>
      <c r="AG20" s="708"/>
      <c r="AH20" s="708"/>
      <c r="AI20" s="708"/>
      <c r="AJ20" s="708"/>
      <c r="AK20" s="708"/>
      <c r="AL20" s="708"/>
      <c r="AM20" s="708"/>
      <c r="AN20" s="707"/>
      <c r="AO20" s="709"/>
    </row>
    <row r="21" spans="1:46" ht="50.1" customHeight="1" thickBot="1" x14ac:dyDescent="0.3">
      <c r="A21" s="663" t="s">
        <v>779</v>
      </c>
      <c r="B21" s="121" t="s">
        <v>780</v>
      </c>
      <c r="C21" s="122" t="s">
        <v>781</v>
      </c>
      <c r="D21" s="666" t="s">
        <v>782</v>
      </c>
      <c r="E21" s="667"/>
      <c r="F21" s="668"/>
      <c r="G21" s="666" t="s">
        <v>783</v>
      </c>
      <c r="H21" s="667"/>
      <c r="I21" s="668"/>
      <c r="J21" s="666" t="s">
        <v>784</v>
      </c>
      <c r="K21" s="667"/>
      <c r="L21" s="668"/>
      <c r="M21" s="666" t="s">
        <v>785</v>
      </c>
      <c r="N21" s="667"/>
      <c r="O21" s="668"/>
      <c r="P21" s="666" t="s">
        <v>786</v>
      </c>
      <c r="Q21" s="667"/>
      <c r="R21" s="668"/>
      <c r="S21" s="125" t="s">
        <v>780</v>
      </c>
      <c r="T21" s="126" t="s">
        <v>781</v>
      </c>
      <c r="U21" s="120"/>
      <c r="V21" s="663" t="s">
        <v>779</v>
      </c>
      <c r="W21" s="129" t="s">
        <v>780</v>
      </c>
      <c r="X21" s="225" t="s">
        <v>781</v>
      </c>
      <c r="Y21" s="666" t="s">
        <v>782</v>
      </c>
      <c r="Z21" s="667"/>
      <c r="AA21" s="668"/>
      <c r="AB21" s="666" t="s">
        <v>783</v>
      </c>
      <c r="AC21" s="667"/>
      <c r="AD21" s="668"/>
      <c r="AE21" s="666" t="s">
        <v>784</v>
      </c>
      <c r="AF21" s="667"/>
      <c r="AG21" s="668"/>
      <c r="AH21" s="666" t="s">
        <v>785</v>
      </c>
      <c r="AI21" s="667"/>
      <c r="AJ21" s="668"/>
      <c r="AK21" s="666" t="s">
        <v>786</v>
      </c>
      <c r="AL21" s="667"/>
      <c r="AM21" s="668"/>
      <c r="AN21" s="227" t="s">
        <v>780</v>
      </c>
      <c r="AO21" s="131" t="s">
        <v>781</v>
      </c>
    </row>
    <row r="22" spans="1:46" ht="29.25" customHeight="1" thickBot="1" x14ac:dyDescent="0.3">
      <c r="A22" s="664"/>
      <c r="B22" s="121"/>
      <c r="C22" s="122"/>
      <c r="D22" s="666" t="s">
        <v>816</v>
      </c>
      <c r="E22" s="667"/>
      <c r="F22" s="668"/>
      <c r="G22" s="666" t="s">
        <v>788</v>
      </c>
      <c r="H22" s="667"/>
      <c r="I22" s="668"/>
      <c r="J22" s="666" t="s">
        <v>789</v>
      </c>
      <c r="K22" s="667"/>
      <c r="L22" s="668"/>
      <c r="M22" s="666" t="s">
        <v>787</v>
      </c>
      <c r="N22" s="667"/>
      <c r="O22" s="668"/>
      <c r="P22" s="666" t="s">
        <v>787</v>
      </c>
      <c r="Q22" s="667"/>
      <c r="R22" s="668"/>
      <c r="S22" s="125"/>
      <c r="T22" s="124"/>
      <c r="U22" s="120"/>
      <c r="V22" s="664"/>
      <c r="W22" s="121"/>
      <c r="X22" s="122"/>
      <c r="Y22" s="666" t="s">
        <v>788</v>
      </c>
      <c r="Z22" s="667"/>
      <c r="AA22" s="668"/>
      <c r="AB22" s="666" t="s">
        <v>789</v>
      </c>
      <c r="AC22" s="667"/>
      <c r="AD22" s="668"/>
      <c r="AE22" s="666" t="s">
        <v>791</v>
      </c>
      <c r="AF22" s="667"/>
      <c r="AG22" s="668"/>
      <c r="AH22" s="666" t="s">
        <v>814</v>
      </c>
      <c r="AI22" s="667"/>
      <c r="AJ22" s="668"/>
      <c r="AK22" s="660"/>
      <c r="AL22" s="661"/>
      <c r="AM22" s="662"/>
      <c r="AN22" s="125"/>
      <c r="AO22" s="126"/>
    </row>
    <row r="23" spans="1:46" ht="50.1" customHeight="1" x14ac:dyDescent="0.25">
      <c r="A23" s="664"/>
      <c r="B23" s="681" t="s">
        <v>800</v>
      </c>
      <c r="C23" s="688" t="s">
        <v>800</v>
      </c>
      <c r="D23" s="138" t="s">
        <v>798</v>
      </c>
      <c r="E23" s="139">
        <v>1</v>
      </c>
      <c r="F23" s="140">
        <v>10</v>
      </c>
      <c r="G23" s="710" t="s">
        <v>795</v>
      </c>
      <c r="H23" s="710"/>
      <c r="I23" s="710"/>
      <c r="J23" s="135" t="s">
        <v>797</v>
      </c>
      <c r="K23" s="136">
        <v>3</v>
      </c>
      <c r="L23" s="137">
        <v>10</v>
      </c>
      <c r="M23" s="138" t="s">
        <v>798</v>
      </c>
      <c r="N23" s="251">
        <v>1</v>
      </c>
      <c r="O23" s="140">
        <v>10</v>
      </c>
      <c r="P23" s="135" t="s">
        <v>797</v>
      </c>
      <c r="Q23" s="136">
        <v>3</v>
      </c>
      <c r="R23" s="137">
        <v>10</v>
      </c>
      <c r="S23" s="675" t="s">
        <v>794</v>
      </c>
      <c r="T23" s="678" t="s">
        <v>795</v>
      </c>
      <c r="U23" s="120"/>
      <c r="V23" s="664"/>
      <c r="W23" s="681" t="s">
        <v>800</v>
      </c>
      <c r="X23" s="672" t="s">
        <v>795</v>
      </c>
      <c r="Y23" s="141" t="s">
        <v>799</v>
      </c>
      <c r="Z23" s="142">
        <v>3</v>
      </c>
      <c r="AA23" s="143">
        <v>10</v>
      </c>
      <c r="AB23" s="135" t="s">
        <v>797</v>
      </c>
      <c r="AC23" s="136">
        <v>3</v>
      </c>
      <c r="AD23" s="137">
        <v>10</v>
      </c>
      <c r="AE23" s="138" t="s">
        <v>798</v>
      </c>
      <c r="AF23" s="139">
        <v>1</v>
      </c>
      <c r="AG23" s="140">
        <v>10</v>
      </c>
      <c r="AH23" s="252" t="s">
        <v>796</v>
      </c>
      <c r="AI23" s="133">
        <v>5</v>
      </c>
      <c r="AJ23" s="134">
        <v>30</v>
      </c>
      <c r="AK23" s="713" t="s">
        <v>800</v>
      </c>
      <c r="AL23" s="713"/>
      <c r="AM23" s="691"/>
      <c r="AN23" s="688" t="s">
        <v>800</v>
      </c>
      <c r="AO23" s="691" t="s">
        <v>800</v>
      </c>
    </row>
    <row r="24" spans="1:46" ht="50.1" customHeight="1" x14ac:dyDescent="0.25">
      <c r="A24" s="664"/>
      <c r="B24" s="682"/>
      <c r="C24" s="689"/>
      <c r="D24" s="172" t="s">
        <v>801</v>
      </c>
      <c r="E24" s="173">
        <v>2</v>
      </c>
      <c r="F24" s="174">
        <v>10</v>
      </c>
      <c r="G24" s="711"/>
      <c r="H24" s="711"/>
      <c r="I24" s="711"/>
      <c r="J24" s="169" t="s">
        <v>799</v>
      </c>
      <c r="K24" s="170">
        <v>3</v>
      </c>
      <c r="L24" s="171">
        <v>20</v>
      </c>
      <c r="M24" s="166" t="s">
        <v>796</v>
      </c>
      <c r="N24" s="253">
        <v>5</v>
      </c>
      <c r="O24" s="168">
        <v>30</v>
      </c>
      <c r="P24" s="169" t="s">
        <v>799</v>
      </c>
      <c r="Q24" s="170">
        <v>3</v>
      </c>
      <c r="R24" s="171">
        <v>10</v>
      </c>
      <c r="S24" s="676"/>
      <c r="T24" s="679"/>
      <c r="U24" s="120"/>
      <c r="V24" s="664"/>
      <c r="W24" s="682"/>
      <c r="X24" s="673"/>
      <c r="Y24" s="163" t="s">
        <v>804</v>
      </c>
      <c r="Z24" s="164">
        <v>4</v>
      </c>
      <c r="AA24" s="165">
        <v>10</v>
      </c>
      <c r="AB24" s="169" t="s">
        <v>799</v>
      </c>
      <c r="AC24" s="170">
        <v>3</v>
      </c>
      <c r="AD24" s="171">
        <v>10</v>
      </c>
      <c r="AE24" s="166" t="s">
        <v>796</v>
      </c>
      <c r="AF24" s="167">
        <v>5</v>
      </c>
      <c r="AG24" s="168">
        <v>30</v>
      </c>
      <c r="AH24" s="254" t="s">
        <v>804</v>
      </c>
      <c r="AI24" s="164">
        <v>4</v>
      </c>
      <c r="AJ24" s="165">
        <v>10</v>
      </c>
      <c r="AK24" s="714"/>
      <c r="AL24" s="714"/>
      <c r="AM24" s="692"/>
      <c r="AN24" s="689"/>
      <c r="AO24" s="692"/>
    </row>
    <row r="25" spans="1:46" ht="50.1" customHeight="1" x14ac:dyDescent="0.25">
      <c r="A25" s="664"/>
      <c r="B25" s="682"/>
      <c r="C25" s="689"/>
      <c r="D25" s="205" t="s">
        <v>797</v>
      </c>
      <c r="E25" s="255">
        <v>3</v>
      </c>
      <c r="F25" s="256">
        <v>10</v>
      </c>
      <c r="G25" s="711"/>
      <c r="H25" s="711"/>
      <c r="I25" s="711"/>
      <c r="J25" s="160" t="s">
        <v>803</v>
      </c>
      <c r="K25" s="161">
        <v>4</v>
      </c>
      <c r="L25" s="162">
        <v>10</v>
      </c>
      <c r="M25" s="183" t="s">
        <v>807</v>
      </c>
      <c r="N25" s="257">
        <v>2</v>
      </c>
      <c r="O25" s="185">
        <v>10</v>
      </c>
      <c r="P25" s="163" t="s">
        <v>804</v>
      </c>
      <c r="Q25" s="164">
        <v>4</v>
      </c>
      <c r="R25" s="165">
        <v>10</v>
      </c>
      <c r="S25" s="676"/>
      <c r="T25" s="679"/>
      <c r="U25" s="120"/>
      <c r="V25" s="664"/>
      <c r="W25" s="682"/>
      <c r="X25" s="673"/>
      <c r="Y25" s="795" t="s">
        <v>802</v>
      </c>
      <c r="Z25" s="181">
        <v>6</v>
      </c>
      <c r="AA25" s="182">
        <v>20</v>
      </c>
      <c r="AB25" s="160" t="s">
        <v>803</v>
      </c>
      <c r="AC25" s="161">
        <v>4</v>
      </c>
      <c r="AD25" s="162">
        <v>10</v>
      </c>
      <c r="AE25" s="183" t="s">
        <v>807</v>
      </c>
      <c r="AF25" s="184">
        <v>2</v>
      </c>
      <c r="AG25" s="185">
        <v>10</v>
      </c>
      <c r="AH25" s="175" t="s">
        <v>805</v>
      </c>
      <c r="AI25" s="189">
        <v>4</v>
      </c>
      <c r="AJ25" s="190">
        <v>15</v>
      </c>
      <c r="AK25" s="714"/>
      <c r="AL25" s="714"/>
      <c r="AM25" s="692"/>
      <c r="AN25" s="689"/>
      <c r="AO25" s="692"/>
    </row>
    <row r="26" spans="1:46" ht="50.1" customHeight="1" x14ac:dyDescent="0.25">
      <c r="A26" s="664"/>
      <c r="B26" s="682"/>
      <c r="C26" s="689"/>
      <c r="D26" s="186" t="s">
        <v>808</v>
      </c>
      <c r="E26" s="187">
        <v>4</v>
      </c>
      <c r="F26" s="188">
        <v>15</v>
      </c>
      <c r="G26" s="711"/>
      <c r="H26" s="711"/>
      <c r="I26" s="711"/>
      <c r="J26" s="178" t="s">
        <v>806</v>
      </c>
      <c r="K26" s="179">
        <v>6</v>
      </c>
      <c r="L26" s="180">
        <v>20</v>
      </c>
      <c r="M26" s="202"/>
      <c r="N26" s="258"/>
      <c r="O26" s="204"/>
      <c r="P26" s="795" t="s">
        <v>802</v>
      </c>
      <c r="Q26" s="181">
        <v>6</v>
      </c>
      <c r="R26" s="182">
        <v>20</v>
      </c>
      <c r="S26" s="676"/>
      <c r="T26" s="679"/>
      <c r="U26" s="120"/>
      <c r="V26" s="664"/>
      <c r="W26" s="682"/>
      <c r="X26" s="673"/>
      <c r="Y26" s="175" t="s">
        <v>805</v>
      </c>
      <c r="Z26" s="189">
        <v>4</v>
      </c>
      <c r="AA26" s="190">
        <v>15</v>
      </c>
      <c r="AB26" s="178" t="s">
        <v>806</v>
      </c>
      <c r="AC26" s="179">
        <v>6</v>
      </c>
      <c r="AD26" s="180">
        <v>20</v>
      </c>
      <c r="AE26" s="200"/>
      <c r="AF26" s="176"/>
      <c r="AG26" s="201"/>
      <c r="AH26" s="259"/>
      <c r="AI26" s="176"/>
      <c r="AJ26" s="201"/>
      <c r="AK26" s="714"/>
      <c r="AL26" s="714"/>
      <c r="AM26" s="692"/>
      <c r="AN26" s="689"/>
      <c r="AO26" s="692"/>
    </row>
    <row r="27" spans="1:46" ht="50.1" customHeight="1" x14ac:dyDescent="0.25">
      <c r="A27" s="664"/>
      <c r="B27" s="682"/>
      <c r="C27" s="689"/>
      <c r="D27" s="191"/>
      <c r="E27" s="192"/>
      <c r="F27" s="193"/>
      <c r="G27" s="711"/>
      <c r="H27" s="711"/>
      <c r="I27" s="711"/>
      <c r="J27" s="186" t="s">
        <v>808</v>
      </c>
      <c r="K27" s="187">
        <v>4</v>
      </c>
      <c r="L27" s="188">
        <v>15</v>
      </c>
      <c r="M27" s="202"/>
      <c r="N27" s="258"/>
      <c r="O27" s="204"/>
      <c r="P27" s="175" t="s">
        <v>805</v>
      </c>
      <c r="Q27" s="189">
        <v>4</v>
      </c>
      <c r="R27" s="190">
        <v>15</v>
      </c>
      <c r="S27" s="676"/>
      <c r="T27" s="679"/>
      <c r="U27" s="120"/>
      <c r="V27" s="664"/>
      <c r="W27" s="682"/>
      <c r="X27" s="673"/>
      <c r="Y27" s="194" t="s">
        <v>809</v>
      </c>
      <c r="Z27" s="195">
        <v>4</v>
      </c>
      <c r="AA27" s="196">
        <v>10</v>
      </c>
      <c r="AB27" s="186" t="s">
        <v>808</v>
      </c>
      <c r="AC27" s="187">
        <v>4</v>
      </c>
      <c r="AD27" s="188">
        <v>15</v>
      </c>
      <c r="AE27" s="202"/>
      <c r="AF27" s="203"/>
      <c r="AG27" s="204"/>
      <c r="AH27" s="260"/>
      <c r="AI27" s="192"/>
      <c r="AJ27" s="193"/>
      <c r="AK27" s="714"/>
      <c r="AL27" s="714"/>
      <c r="AM27" s="692"/>
      <c r="AN27" s="689"/>
      <c r="AO27" s="692"/>
    </row>
    <row r="28" spans="1:46" ht="50.1" customHeight="1" thickBot="1" x14ac:dyDescent="0.3">
      <c r="A28" s="664"/>
      <c r="B28" s="683"/>
      <c r="C28" s="690"/>
      <c r="D28" s="244"/>
      <c r="E28" s="245"/>
      <c r="F28" s="237"/>
      <c r="G28" s="712"/>
      <c r="H28" s="712"/>
      <c r="I28" s="712"/>
      <c r="J28" s="261" t="s">
        <v>811</v>
      </c>
      <c r="K28" s="262">
        <v>5</v>
      </c>
      <c r="L28" s="263">
        <v>5</v>
      </c>
      <c r="M28" s="206"/>
      <c r="N28" s="264"/>
      <c r="O28" s="208"/>
      <c r="P28" s="238" t="s">
        <v>809</v>
      </c>
      <c r="Q28" s="239">
        <v>4</v>
      </c>
      <c r="R28" s="240">
        <v>10</v>
      </c>
      <c r="S28" s="677"/>
      <c r="T28" s="680"/>
      <c r="U28" s="120"/>
      <c r="V28" s="664"/>
      <c r="W28" s="683"/>
      <c r="X28" s="674"/>
      <c r="Y28" s="265"/>
      <c r="Z28" s="236"/>
      <c r="AA28" s="266"/>
      <c r="AB28" s="261" t="s">
        <v>811</v>
      </c>
      <c r="AC28" s="262">
        <v>5</v>
      </c>
      <c r="AD28" s="263">
        <v>10</v>
      </c>
      <c r="AE28" s="206"/>
      <c r="AF28" s="207"/>
      <c r="AG28" s="208"/>
      <c r="AH28" s="267"/>
      <c r="AI28" s="268"/>
      <c r="AJ28" s="269"/>
      <c r="AK28" s="714"/>
      <c r="AL28" s="714"/>
      <c r="AM28" s="692"/>
      <c r="AN28" s="689"/>
      <c r="AO28" s="692"/>
    </row>
    <row r="29" spans="1:46" ht="50.1" customHeight="1" thickBot="1" x14ac:dyDescent="0.3">
      <c r="A29" s="664"/>
      <c r="B29" s="159"/>
      <c r="C29" s="225" t="s">
        <v>813</v>
      </c>
      <c r="D29" s="270">
        <f>(E23*F23)+(E24*F24)+(E25*F25)+(E26*F26)+(E27*F27)+(E28*F28)</f>
        <v>120</v>
      </c>
      <c r="E29" s="271">
        <f>SUM(E23:E28)</f>
        <v>10</v>
      </c>
      <c r="F29" s="272">
        <f>SUM(F23:F28)</f>
        <v>45</v>
      </c>
      <c r="G29" s="129">
        <f>(H23*I23)+(H24*I24)+(H25*I25)+(H26*I26)+(H27*I27)</f>
        <v>0</v>
      </c>
      <c r="H29" s="130">
        <f>SUM(H23:H27)</f>
        <v>0</v>
      </c>
      <c r="I29" s="131">
        <f>SUM(I23:I27)</f>
        <v>0</v>
      </c>
      <c r="J29" s="270">
        <f>(K23*L23)+(K24*L24)+(K25*L25)+(K26*L26)+(K27*L27)+(K28*L28)</f>
        <v>335</v>
      </c>
      <c r="K29" s="271">
        <f>SUM(K23:K28)</f>
        <v>25</v>
      </c>
      <c r="L29" s="272">
        <f>SUM(L23:L28)</f>
        <v>80</v>
      </c>
      <c r="M29" s="129">
        <f>(N23*O23)+(N24*O24)+(N25*O25)+(N26*O26)+(N27*O27)+(N28*O28)</f>
        <v>180</v>
      </c>
      <c r="N29" s="130">
        <f>SUM(N23:N28)</f>
        <v>8</v>
      </c>
      <c r="O29" s="131">
        <f>SUM(O23:O28)</f>
        <v>50</v>
      </c>
      <c r="P29" s="270">
        <f>(Q23*R23)+(Q24*R24)+(Q25*R25)+(Q26*R26)+(Q27*R27)+(Q28*R28)</f>
        <v>320</v>
      </c>
      <c r="Q29" s="271">
        <f>SUM(Q23:Q28)</f>
        <v>24</v>
      </c>
      <c r="R29" s="272">
        <f>SUM(R23:R28)</f>
        <v>75</v>
      </c>
      <c r="S29" s="128"/>
      <c r="T29" s="246">
        <f>D29+G29+J29+M29+P29</f>
        <v>955</v>
      </c>
      <c r="U29" s="120"/>
      <c r="V29" s="664"/>
      <c r="W29" s="212"/>
      <c r="X29" s="225" t="s">
        <v>813</v>
      </c>
      <c r="Y29" s="129">
        <f>(Z23*AA23)+(Z24*AA24)+(Z25*AA25)+(Z26*AA26)+(Z27*AA27)+(Z28*AA28)</f>
        <v>290</v>
      </c>
      <c r="Z29" s="130">
        <f>SUM(Z23:Z28)</f>
        <v>21</v>
      </c>
      <c r="AA29" s="131">
        <f>SUM(AA23:AA28)</f>
        <v>65</v>
      </c>
      <c r="AB29" s="129">
        <f>(AC23*AD23)+(AC24*AD24)+(AC25*AD25)+(AC26*AD26)+(AC27*AD27)</f>
        <v>280</v>
      </c>
      <c r="AC29" s="130">
        <f>SUM(AC23:AC27)</f>
        <v>20</v>
      </c>
      <c r="AD29" s="131">
        <f>SUM(AD23:AD27)</f>
        <v>65</v>
      </c>
      <c r="AE29" s="129">
        <f>(AF23*AG23)+(AF24*AG24)+(AF25*AG25)+(AF26*AG26)+(AF27*AG27)+(AF28*AG28)</f>
        <v>180</v>
      </c>
      <c r="AF29" s="130">
        <f>SUM(AF23:AF28)</f>
        <v>8</v>
      </c>
      <c r="AG29" s="131">
        <f>SUM(AG23:AG28)</f>
        <v>50</v>
      </c>
      <c r="AH29" s="129">
        <f>(AI23*AJ23)+(AI24*AJ24)+(AI25*AJ25)+(AI26*AJ26)+(AI27*AJ27)+(AI28*AJ28)</f>
        <v>250</v>
      </c>
      <c r="AI29" s="130">
        <f>SUM(AI23:AI28)</f>
        <v>13</v>
      </c>
      <c r="AJ29" s="225">
        <f>SUM(AJ23:AJ28)</f>
        <v>55</v>
      </c>
      <c r="AK29" s="273">
        <f>(AL23*AM23)+(AL24*AM24)+(AL25*AM25)+(AL26*AM26)+(AL27*AM27)+(AL28*AM28)</f>
        <v>0</v>
      </c>
      <c r="AL29" s="274">
        <f>SUM(AL23:AL28)</f>
        <v>0</v>
      </c>
      <c r="AM29" s="274">
        <f>SUM(AM23:AM28)</f>
        <v>0</v>
      </c>
      <c r="AN29" s="275"/>
      <c r="AO29" s="276">
        <f>Y29+AB29+AE29+AH29+AK29</f>
        <v>1000</v>
      </c>
    </row>
    <row r="30" spans="1:46" ht="50.1" customHeight="1" thickBot="1" x14ac:dyDescent="0.3">
      <c r="A30" s="664"/>
      <c r="B30" s="121" t="s">
        <v>780</v>
      </c>
      <c r="C30" s="122" t="s">
        <v>781</v>
      </c>
      <c r="D30" s="666" t="s">
        <v>782</v>
      </c>
      <c r="E30" s="667"/>
      <c r="F30" s="668"/>
      <c r="G30" s="666" t="s">
        <v>783</v>
      </c>
      <c r="H30" s="667"/>
      <c r="I30" s="668"/>
      <c r="J30" s="666" t="s">
        <v>784</v>
      </c>
      <c r="K30" s="667"/>
      <c r="L30" s="668"/>
      <c r="M30" s="666" t="s">
        <v>785</v>
      </c>
      <c r="N30" s="667"/>
      <c r="O30" s="668"/>
      <c r="P30" s="666" t="s">
        <v>786</v>
      </c>
      <c r="Q30" s="667"/>
      <c r="R30" s="668"/>
      <c r="S30" s="125" t="s">
        <v>780</v>
      </c>
      <c r="T30" s="126" t="s">
        <v>781</v>
      </c>
      <c r="U30" s="120"/>
      <c r="V30" s="664"/>
      <c r="W30" s="129" t="s">
        <v>780</v>
      </c>
      <c r="X30" s="225" t="s">
        <v>781</v>
      </c>
      <c r="Y30" s="666" t="s">
        <v>782</v>
      </c>
      <c r="Z30" s="667"/>
      <c r="AA30" s="668"/>
      <c r="AB30" s="666" t="s">
        <v>783</v>
      </c>
      <c r="AC30" s="667"/>
      <c r="AD30" s="668"/>
      <c r="AE30" s="666" t="s">
        <v>784</v>
      </c>
      <c r="AF30" s="667"/>
      <c r="AG30" s="668"/>
      <c r="AH30" s="666" t="s">
        <v>785</v>
      </c>
      <c r="AI30" s="667"/>
      <c r="AJ30" s="668"/>
      <c r="AK30" s="697" t="s">
        <v>786</v>
      </c>
      <c r="AL30" s="698"/>
      <c r="AM30" s="699"/>
      <c r="AN30" s="277" t="s">
        <v>780</v>
      </c>
      <c r="AO30" s="272" t="s">
        <v>781</v>
      </c>
    </row>
    <row r="31" spans="1:46" ht="29.25" customHeight="1" thickBot="1" x14ac:dyDescent="0.3">
      <c r="A31" s="664"/>
      <c r="B31" s="121"/>
      <c r="C31" s="122"/>
      <c r="D31" s="666" t="s">
        <v>816</v>
      </c>
      <c r="E31" s="667"/>
      <c r="F31" s="668"/>
      <c r="G31" s="666" t="s">
        <v>788</v>
      </c>
      <c r="H31" s="667"/>
      <c r="I31" s="668"/>
      <c r="J31" s="666" t="s">
        <v>789</v>
      </c>
      <c r="K31" s="667"/>
      <c r="L31" s="668"/>
      <c r="M31" s="666" t="s">
        <v>791</v>
      </c>
      <c r="N31" s="667"/>
      <c r="O31" s="668"/>
      <c r="P31" s="666" t="s">
        <v>814</v>
      </c>
      <c r="Q31" s="667"/>
      <c r="R31" s="668"/>
      <c r="S31" s="125"/>
      <c r="T31" s="124"/>
      <c r="U31" s="120"/>
      <c r="V31" s="664"/>
      <c r="W31" s="121"/>
      <c r="X31" s="122"/>
      <c r="Y31" s="666" t="s">
        <v>787</v>
      </c>
      <c r="Z31" s="667"/>
      <c r="AA31" s="668"/>
      <c r="AB31" s="666" t="s">
        <v>790</v>
      </c>
      <c r="AC31" s="667"/>
      <c r="AD31" s="668"/>
      <c r="AE31" s="666" t="s">
        <v>791</v>
      </c>
      <c r="AF31" s="667"/>
      <c r="AG31" s="668"/>
      <c r="AH31" s="666" t="s">
        <v>814</v>
      </c>
      <c r="AI31" s="667"/>
      <c r="AJ31" s="668"/>
      <c r="AK31" s="660"/>
      <c r="AL31" s="661"/>
      <c r="AM31" s="662"/>
      <c r="AN31" s="125"/>
      <c r="AO31" s="126"/>
    </row>
    <row r="32" spans="1:46" ht="50.1" customHeight="1" x14ac:dyDescent="0.25">
      <c r="A32" s="664"/>
      <c r="B32" s="681" t="s">
        <v>800</v>
      </c>
      <c r="C32" s="688" t="s">
        <v>800</v>
      </c>
      <c r="D32" s="138" t="s">
        <v>798</v>
      </c>
      <c r="E32" s="139">
        <v>1</v>
      </c>
      <c r="F32" s="140">
        <v>10</v>
      </c>
      <c r="G32" s="715" t="s">
        <v>795</v>
      </c>
      <c r="H32" s="710"/>
      <c r="I32" s="716"/>
      <c r="J32" s="135" t="s">
        <v>797</v>
      </c>
      <c r="K32" s="136">
        <v>3</v>
      </c>
      <c r="L32" s="278">
        <v>10</v>
      </c>
      <c r="M32" s="135" t="s">
        <v>797</v>
      </c>
      <c r="N32" s="136">
        <v>3</v>
      </c>
      <c r="O32" s="137">
        <v>10</v>
      </c>
      <c r="P32" s="132" t="s">
        <v>796</v>
      </c>
      <c r="Q32" s="133">
        <v>5</v>
      </c>
      <c r="R32" s="134">
        <v>30</v>
      </c>
      <c r="S32" s="688" t="s">
        <v>800</v>
      </c>
      <c r="T32" s="691" t="s">
        <v>800</v>
      </c>
      <c r="U32" s="120"/>
      <c r="V32" s="664"/>
      <c r="W32" s="669" t="s">
        <v>794</v>
      </c>
      <c r="X32" s="694" t="s">
        <v>795</v>
      </c>
      <c r="Y32" s="132" t="s">
        <v>796</v>
      </c>
      <c r="Z32" s="133">
        <v>5</v>
      </c>
      <c r="AA32" s="134">
        <v>30</v>
      </c>
      <c r="AB32" s="135" t="s">
        <v>797</v>
      </c>
      <c r="AC32" s="136">
        <v>3</v>
      </c>
      <c r="AD32" s="137">
        <v>10</v>
      </c>
      <c r="AE32" s="141" t="s">
        <v>799</v>
      </c>
      <c r="AF32" s="142">
        <v>3</v>
      </c>
      <c r="AG32" s="143">
        <v>10</v>
      </c>
      <c r="AH32" s="132" t="s">
        <v>796</v>
      </c>
      <c r="AI32" s="133">
        <v>5</v>
      </c>
      <c r="AJ32" s="134">
        <v>30</v>
      </c>
      <c r="AK32" s="681" t="s">
        <v>800</v>
      </c>
      <c r="AL32" s="713"/>
      <c r="AM32" s="691"/>
      <c r="AN32" s="688" t="s">
        <v>800</v>
      </c>
      <c r="AO32" s="691" t="s">
        <v>800</v>
      </c>
    </row>
    <row r="33" spans="1:41" ht="50.1" customHeight="1" x14ac:dyDescent="0.25">
      <c r="A33" s="664"/>
      <c r="B33" s="682"/>
      <c r="C33" s="689"/>
      <c r="D33" s="172" t="s">
        <v>801</v>
      </c>
      <c r="E33" s="173">
        <v>2</v>
      </c>
      <c r="F33" s="174">
        <v>10</v>
      </c>
      <c r="G33" s="717"/>
      <c r="H33" s="711"/>
      <c r="I33" s="718"/>
      <c r="J33" s="169" t="s">
        <v>799</v>
      </c>
      <c r="K33" s="170">
        <v>3</v>
      </c>
      <c r="L33" s="279">
        <v>20</v>
      </c>
      <c r="M33" s="795" t="s">
        <v>802</v>
      </c>
      <c r="N33" s="181">
        <v>6</v>
      </c>
      <c r="O33" s="182">
        <v>20</v>
      </c>
      <c r="P33" s="163" t="s">
        <v>804</v>
      </c>
      <c r="Q33" s="164">
        <v>4</v>
      </c>
      <c r="R33" s="165">
        <v>10</v>
      </c>
      <c r="S33" s="689"/>
      <c r="T33" s="692"/>
      <c r="U33" s="120"/>
      <c r="V33" s="664"/>
      <c r="W33" s="670"/>
      <c r="X33" s="695"/>
      <c r="Y33" s="160" t="s">
        <v>803</v>
      </c>
      <c r="Z33" s="161">
        <v>4</v>
      </c>
      <c r="AA33" s="162">
        <v>10</v>
      </c>
      <c r="AB33" s="169" t="s">
        <v>799</v>
      </c>
      <c r="AC33" s="170">
        <v>3</v>
      </c>
      <c r="AD33" s="171">
        <v>10</v>
      </c>
      <c r="AE33" s="186" t="s">
        <v>808</v>
      </c>
      <c r="AF33" s="187">
        <v>4</v>
      </c>
      <c r="AG33" s="188">
        <v>15</v>
      </c>
      <c r="AH33" s="163" t="s">
        <v>804</v>
      </c>
      <c r="AI33" s="164">
        <v>4</v>
      </c>
      <c r="AJ33" s="165">
        <v>10</v>
      </c>
      <c r="AK33" s="682"/>
      <c r="AL33" s="714"/>
      <c r="AM33" s="692"/>
      <c r="AN33" s="689"/>
      <c r="AO33" s="692"/>
    </row>
    <row r="34" spans="1:41" ht="50.1" customHeight="1" x14ac:dyDescent="0.25">
      <c r="A34" s="664"/>
      <c r="B34" s="682"/>
      <c r="C34" s="689"/>
      <c r="D34" s="205" t="s">
        <v>797</v>
      </c>
      <c r="E34" s="255">
        <v>3</v>
      </c>
      <c r="F34" s="256">
        <v>10</v>
      </c>
      <c r="G34" s="717"/>
      <c r="H34" s="711"/>
      <c r="I34" s="718"/>
      <c r="J34" s="160" t="s">
        <v>803</v>
      </c>
      <c r="K34" s="161">
        <v>4</v>
      </c>
      <c r="L34" s="280">
        <v>10</v>
      </c>
      <c r="M34" s="175" t="s">
        <v>805</v>
      </c>
      <c r="N34" s="189">
        <v>4</v>
      </c>
      <c r="O34" s="190">
        <v>15</v>
      </c>
      <c r="P34" s="186" t="s">
        <v>808</v>
      </c>
      <c r="Q34" s="187">
        <v>4</v>
      </c>
      <c r="R34" s="188">
        <v>15</v>
      </c>
      <c r="S34" s="689"/>
      <c r="T34" s="692"/>
      <c r="U34" s="120"/>
      <c r="V34" s="664"/>
      <c r="W34" s="670"/>
      <c r="X34" s="695"/>
      <c r="Y34" s="178" t="s">
        <v>806</v>
      </c>
      <c r="Z34" s="179">
        <v>6</v>
      </c>
      <c r="AA34" s="180">
        <v>20</v>
      </c>
      <c r="AB34" s="163" t="s">
        <v>804</v>
      </c>
      <c r="AC34" s="164">
        <v>4</v>
      </c>
      <c r="AD34" s="165">
        <v>10</v>
      </c>
      <c r="AE34" s="194" t="s">
        <v>809</v>
      </c>
      <c r="AF34" s="195">
        <v>4</v>
      </c>
      <c r="AG34" s="196">
        <v>10</v>
      </c>
      <c r="AH34" s="175" t="s">
        <v>805</v>
      </c>
      <c r="AI34" s="189">
        <v>4</v>
      </c>
      <c r="AJ34" s="190">
        <v>15</v>
      </c>
      <c r="AK34" s="682"/>
      <c r="AL34" s="714"/>
      <c r="AM34" s="692"/>
      <c r="AN34" s="689"/>
      <c r="AO34" s="692"/>
    </row>
    <row r="35" spans="1:41" ht="50.1" customHeight="1" x14ac:dyDescent="0.25">
      <c r="A35" s="664"/>
      <c r="B35" s="682"/>
      <c r="C35" s="689"/>
      <c r="D35" s="186" t="s">
        <v>808</v>
      </c>
      <c r="E35" s="187">
        <v>4</v>
      </c>
      <c r="F35" s="188">
        <v>15</v>
      </c>
      <c r="G35" s="717"/>
      <c r="H35" s="711"/>
      <c r="I35" s="718"/>
      <c r="J35" s="178" t="s">
        <v>806</v>
      </c>
      <c r="K35" s="179">
        <v>6</v>
      </c>
      <c r="L35" s="281">
        <v>20</v>
      </c>
      <c r="M35" s="194" t="s">
        <v>809</v>
      </c>
      <c r="N35" s="195">
        <v>4</v>
      </c>
      <c r="O35" s="196">
        <v>10</v>
      </c>
      <c r="P35" s="200"/>
      <c r="Q35" s="176"/>
      <c r="R35" s="201"/>
      <c r="S35" s="689"/>
      <c r="T35" s="692"/>
      <c r="U35" s="120"/>
      <c r="V35" s="664"/>
      <c r="W35" s="670"/>
      <c r="X35" s="695"/>
      <c r="Y35" s="186" t="s">
        <v>808</v>
      </c>
      <c r="Z35" s="187">
        <v>4</v>
      </c>
      <c r="AA35" s="188">
        <v>5</v>
      </c>
      <c r="AB35" s="795" t="s">
        <v>802</v>
      </c>
      <c r="AC35" s="181">
        <v>6</v>
      </c>
      <c r="AD35" s="182">
        <v>20</v>
      </c>
      <c r="AE35" s="200"/>
      <c r="AF35" s="176"/>
      <c r="AG35" s="201"/>
      <c r="AH35" s="200"/>
      <c r="AI35" s="176"/>
      <c r="AJ35" s="201"/>
      <c r="AK35" s="682"/>
      <c r="AL35" s="714"/>
      <c r="AM35" s="692"/>
      <c r="AN35" s="689"/>
      <c r="AO35" s="692"/>
    </row>
    <row r="36" spans="1:41" ht="50.1" customHeight="1" x14ac:dyDescent="0.25">
      <c r="A36" s="664"/>
      <c r="B36" s="682"/>
      <c r="C36" s="689"/>
      <c r="D36" s="191"/>
      <c r="E36" s="192"/>
      <c r="F36" s="193"/>
      <c r="G36" s="717"/>
      <c r="H36" s="711"/>
      <c r="I36" s="718"/>
      <c r="J36" s="186" t="s">
        <v>808</v>
      </c>
      <c r="K36" s="187">
        <v>4</v>
      </c>
      <c r="L36" s="282">
        <v>15</v>
      </c>
      <c r="M36" s="202"/>
      <c r="N36" s="203"/>
      <c r="O36" s="204"/>
      <c r="P36" s="191"/>
      <c r="Q36" s="192"/>
      <c r="R36" s="193"/>
      <c r="S36" s="689"/>
      <c r="T36" s="692"/>
      <c r="U36" s="120"/>
      <c r="V36" s="664"/>
      <c r="W36" s="670"/>
      <c r="X36" s="695"/>
      <c r="Y36" s="197" t="s">
        <v>811</v>
      </c>
      <c r="Z36" s="198">
        <v>5</v>
      </c>
      <c r="AA36" s="199">
        <v>10</v>
      </c>
      <c r="AB36" s="194" t="s">
        <v>809</v>
      </c>
      <c r="AC36" s="195">
        <v>4</v>
      </c>
      <c r="AD36" s="196">
        <v>10</v>
      </c>
      <c r="AE36" s="191"/>
      <c r="AF36" s="192"/>
      <c r="AG36" s="193"/>
      <c r="AH36" s="283"/>
      <c r="AI36" s="284"/>
      <c r="AJ36" s="285"/>
      <c r="AK36" s="682"/>
      <c r="AL36" s="714"/>
      <c r="AM36" s="692"/>
      <c r="AN36" s="689"/>
      <c r="AO36" s="692"/>
    </row>
    <row r="37" spans="1:41" ht="50.1" customHeight="1" thickBot="1" x14ac:dyDescent="0.3">
      <c r="A37" s="665"/>
      <c r="B37" s="683"/>
      <c r="C37" s="690"/>
      <c r="D37" s="244"/>
      <c r="E37" s="245"/>
      <c r="F37" s="237"/>
      <c r="G37" s="719"/>
      <c r="H37" s="712"/>
      <c r="I37" s="720"/>
      <c r="J37" s="261" t="s">
        <v>811</v>
      </c>
      <c r="K37" s="262">
        <v>5</v>
      </c>
      <c r="L37" s="286">
        <v>5</v>
      </c>
      <c r="M37" s="202"/>
      <c r="N37" s="203"/>
      <c r="O37" s="204"/>
      <c r="P37" s="287"/>
      <c r="Q37" s="268"/>
      <c r="R37" s="269"/>
      <c r="S37" s="690"/>
      <c r="T37" s="693"/>
      <c r="U37" s="120"/>
      <c r="V37" s="665"/>
      <c r="W37" s="671"/>
      <c r="X37" s="696"/>
      <c r="Y37" s="206"/>
      <c r="Z37" s="207"/>
      <c r="AA37" s="208"/>
      <c r="AB37" s="206"/>
      <c r="AC37" s="207"/>
      <c r="AD37" s="208"/>
      <c r="AE37" s="209"/>
      <c r="AF37" s="210"/>
      <c r="AG37" s="211"/>
      <c r="AH37" s="265"/>
      <c r="AI37" s="236"/>
      <c r="AJ37" s="266"/>
      <c r="AK37" s="683"/>
      <c r="AL37" s="721"/>
      <c r="AM37" s="693"/>
      <c r="AN37" s="690"/>
      <c r="AO37" s="693"/>
    </row>
    <row r="38" spans="1:41" ht="50.1" customHeight="1" thickBot="1" x14ac:dyDescent="0.3">
      <c r="A38" s="288"/>
      <c r="B38" s="159"/>
      <c r="C38" s="225" t="s">
        <v>813</v>
      </c>
      <c r="D38" s="270">
        <f>(E32*F32)+(E33*F33)+(E34*F34)+(E35*F35)+(E36*F36)+(E37*F37)</f>
        <v>120</v>
      </c>
      <c r="E38" s="271">
        <f>SUM(E32:E37)</f>
        <v>10</v>
      </c>
      <c r="F38" s="272">
        <f>SUM(F32:F37)</f>
        <v>45</v>
      </c>
      <c r="G38" s="129">
        <f>(H32*I32)+(H33*I33)+(H34*I34)+(H35*I35)+(H36*I36)</f>
        <v>0</v>
      </c>
      <c r="H38" s="130">
        <f>SUM(H32:H36)</f>
        <v>0</v>
      </c>
      <c r="I38" s="131">
        <f>SUM(I32:I36)</f>
        <v>0</v>
      </c>
      <c r="J38" s="270">
        <f>(K32*L32)+(K33*L33)+(K34*L34)+(K35*L35)+(K36*L36)+(K37*L37)</f>
        <v>335</v>
      </c>
      <c r="K38" s="271">
        <f>SUM(K32:K37)</f>
        <v>25</v>
      </c>
      <c r="L38" s="272">
        <f>SUM(L32:L37)</f>
        <v>80</v>
      </c>
      <c r="M38" s="129">
        <f>(N32*O32)+(N33*O33)+(N34*O34)+(N35*O35)+(N36*O36)+(N37*O37)</f>
        <v>250</v>
      </c>
      <c r="N38" s="130">
        <f>SUM(N32:N37)</f>
        <v>17</v>
      </c>
      <c r="O38" s="131">
        <f>SUM(O32:O37)</f>
        <v>55</v>
      </c>
      <c r="P38" s="270">
        <f>(Q32*R32)+(Q33*R33)+(Q34*R34)+(Q35*R35)+(Q36*R36)+(Q37*R37)</f>
        <v>250</v>
      </c>
      <c r="Q38" s="271">
        <f>SUM(Q32:Q37)</f>
        <v>13</v>
      </c>
      <c r="R38" s="272">
        <f>SUM(R32:R37)</f>
        <v>55</v>
      </c>
      <c r="S38" s="128"/>
      <c r="T38" s="246">
        <f>D38+G38+J38+M38+P38</f>
        <v>955</v>
      </c>
      <c r="U38" s="120"/>
      <c r="V38" s="288"/>
      <c r="W38" s="212"/>
      <c r="X38" s="225" t="s">
        <v>813</v>
      </c>
      <c r="Y38" s="129">
        <f>(Z32*AA32)+(Z33*AA33)+(Z34*AA34)+(Z35*AA35)+(Z36*AA36)+(Z37*AA37)</f>
        <v>380</v>
      </c>
      <c r="Z38" s="130">
        <f>SUM(Z32:Z37)</f>
        <v>24</v>
      </c>
      <c r="AA38" s="131">
        <f>SUM(AA32:AA37)</f>
        <v>75</v>
      </c>
      <c r="AB38" s="129">
        <f>(AC32*AD32)+(AC33*AD33)+(AC34*AD34)+(AC35*AD35)+(AC36*AD36)</f>
        <v>260</v>
      </c>
      <c r="AC38" s="130">
        <f>SUM(AC32:AC36)</f>
        <v>20</v>
      </c>
      <c r="AD38" s="131">
        <f>SUM(AD32:AD36)</f>
        <v>60</v>
      </c>
      <c r="AE38" s="129">
        <f>(AF32*AG32)+(AF33*AG33)+(AF34*AG34)+(AF35*AG35)+(AF36*AG36)+(AF37*AG37)</f>
        <v>130</v>
      </c>
      <c r="AF38" s="130">
        <f>SUM(AF32:AF37)</f>
        <v>11</v>
      </c>
      <c r="AG38" s="131">
        <f>SUM(AG32:AG37)</f>
        <v>35</v>
      </c>
      <c r="AH38" s="129">
        <f>(AI32*AJ32)+(AI33*AJ33)+(AI34*AJ34)+(AI35*AJ35)+(AI36*AJ36)+(AI37*AJ37)</f>
        <v>250</v>
      </c>
      <c r="AI38" s="130">
        <f>SUM(AI32:AI37)</f>
        <v>13</v>
      </c>
      <c r="AJ38" s="225">
        <f>SUM(AJ32:AJ37)</f>
        <v>55</v>
      </c>
      <c r="AK38" s="273">
        <f>(AL32*AM32)+(AL33*AM33)+(AL34*AM34)+(AL35*AM35)+(AL36*AM36)+(AL37*AM37)</f>
        <v>0</v>
      </c>
      <c r="AL38" s="274">
        <f>SUM(AL32:AL37)</f>
        <v>0</v>
      </c>
      <c r="AM38" s="274">
        <f>SUM(AM32:AM37)</f>
        <v>0</v>
      </c>
      <c r="AN38" s="275"/>
      <c r="AO38" s="276">
        <f>Y38+AB38+AE38+AH38+AK38</f>
        <v>1020</v>
      </c>
    </row>
    <row r="39" spans="1:41" ht="20.100000000000001" customHeight="1" thickBot="1" x14ac:dyDescent="0.3">
      <c r="A39" s="289"/>
      <c r="B39" s="722"/>
      <c r="C39" s="722"/>
      <c r="D39" s="722"/>
      <c r="E39" s="722"/>
      <c r="F39" s="722"/>
      <c r="G39" s="722"/>
      <c r="H39" s="722"/>
      <c r="I39" s="722"/>
      <c r="J39" s="722"/>
      <c r="K39" s="722"/>
      <c r="L39" s="722"/>
      <c r="M39" s="723"/>
      <c r="N39" s="723"/>
      <c r="O39" s="723"/>
      <c r="P39" s="722"/>
      <c r="Q39" s="722"/>
      <c r="R39" s="722"/>
      <c r="S39" s="722"/>
      <c r="T39" s="722"/>
      <c r="U39" s="120"/>
      <c r="V39" s="120"/>
    </row>
    <row r="40" spans="1:41" ht="50.1" customHeight="1" thickBot="1" x14ac:dyDescent="0.3">
      <c r="A40" s="663" t="s">
        <v>779</v>
      </c>
      <c r="B40" s="121" t="s">
        <v>780</v>
      </c>
      <c r="C40" s="122" t="s">
        <v>781</v>
      </c>
      <c r="D40" s="666" t="s">
        <v>782</v>
      </c>
      <c r="E40" s="667"/>
      <c r="F40" s="668"/>
      <c r="G40" s="666" t="s">
        <v>783</v>
      </c>
      <c r="H40" s="667"/>
      <c r="I40" s="668"/>
      <c r="J40" s="666" t="s">
        <v>784</v>
      </c>
      <c r="K40" s="667"/>
      <c r="L40" s="668"/>
      <c r="M40" s="666" t="s">
        <v>785</v>
      </c>
      <c r="N40" s="667"/>
      <c r="O40" s="668"/>
      <c r="P40" s="666" t="s">
        <v>786</v>
      </c>
      <c r="Q40" s="667"/>
      <c r="R40" s="668"/>
      <c r="S40" s="125" t="s">
        <v>780</v>
      </c>
      <c r="T40" s="126" t="s">
        <v>781</v>
      </c>
      <c r="U40" s="120"/>
      <c r="V40" s="120"/>
    </row>
    <row r="41" spans="1:41" ht="50.1" customHeight="1" thickBot="1" x14ac:dyDescent="0.3">
      <c r="A41" s="664"/>
      <c r="B41" s="121"/>
      <c r="C41" s="122" t="s">
        <v>816</v>
      </c>
      <c r="D41" s="666" t="s">
        <v>788</v>
      </c>
      <c r="E41" s="667"/>
      <c r="F41" s="668"/>
      <c r="G41" s="666" t="s">
        <v>789</v>
      </c>
      <c r="H41" s="667"/>
      <c r="I41" s="668"/>
      <c r="J41" s="666" t="s">
        <v>790</v>
      </c>
      <c r="K41" s="667"/>
      <c r="L41" s="668"/>
      <c r="M41" s="666" t="s">
        <v>791</v>
      </c>
      <c r="N41" s="667"/>
      <c r="O41" s="668"/>
      <c r="P41" s="666" t="s">
        <v>814</v>
      </c>
      <c r="Q41" s="667"/>
      <c r="R41" s="668"/>
      <c r="S41" s="125"/>
      <c r="T41" s="124"/>
      <c r="U41" s="120"/>
      <c r="V41" s="120"/>
    </row>
    <row r="42" spans="1:41" ht="50.1" customHeight="1" x14ac:dyDescent="0.25">
      <c r="A42" s="664"/>
      <c r="B42" s="681" t="s">
        <v>800</v>
      </c>
      <c r="C42" s="672" t="s">
        <v>795</v>
      </c>
      <c r="D42" s="141" t="s">
        <v>799</v>
      </c>
      <c r="E42" s="290">
        <v>3</v>
      </c>
      <c r="F42" s="291">
        <v>10</v>
      </c>
      <c r="G42" s="138" t="s">
        <v>798</v>
      </c>
      <c r="H42" s="139">
        <v>1</v>
      </c>
      <c r="I42" s="140">
        <v>10</v>
      </c>
      <c r="J42" s="135" t="s">
        <v>797</v>
      </c>
      <c r="K42" s="136">
        <v>3</v>
      </c>
      <c r="L42" s="137">
        <v>10</v>
      </c>
      <c r="M42" s="135" t="s">
        <v>797</v>
      </c>
      <c r="N42" s="136">
        <v>3</v>
      </c>
      <c r="O42" s="278">
        <v>10</v>
      </c>
      <c r="P42" s="132" t="s">
        <v>796</v>
      </c>
      <c r="Q42" s="133">
        <v>5</v>
      </c>
      <c r="R42" s="134">
        <v>30</v>
      </c>
      <c r="S42" s="688" t="s">
        <v>800</v>
      </c>
      <c r="T42" s="672" t="s">
        <v>795</v>
      </c>
      <c r="U42" s="120"/>
      <c r="V42" s="120"/>
      <c r="Y42" s="158"/>
      <c r="Z42" s="158"/>
      <c r="AA42" s="158"/>
    </row>
    <row r="43" spans="1:41" ht="50.1" customHeight="1" x14ac:dyDescent="0.25">
      <c r="A43" s="664"/>
      <c r="B43" s="682"/>
      <c r="C43" s="673"/>
      <c r="D43" s="163" t="s">
        <v>804</v>
      </c>
      <c r="E43" s="254">
        <v>4</v>
      </c>
      <c r="F43" s="292">
        <v>10</v>
      </c>
      <c r="G43" s="166" t="s">
        <v>796</v>
      </c>
      <c r="H43" s="167">
        <v>5</v>
      </c>
      <c r="I43" s="168">
        <v>30</v>
      </c>
      <c r="J43" s="169" t="s">
        <v>799</v>
      </c>
      <c r="K43" s="170">
        <v>3</v>
      </c>
      <c r="L43" s="171">
        <v>10</v>
      </c>
      <c r="M43" s="795" t="s">
        <v>802</v>
      </c>
      <c r="N43" s="181">
        <v>6</v>
      </c>
      <c r="O43" s="293">
        <v>20</v>
      </c>
      <c r="P43" s="163" t="s">
        <v>804</v>
      </c>
      <c r="Q43" s="164">
        <v>4</v>
      </c>
      <c r="R43" s="165">
        <v>10</v>
      </c>
      <c r="S43" s="689"/>
      <c r="T43" s="673"/>
      <c r="U43" s="120"/>
      <c r="V43" s="120"/>
      <c r="Y43" s="158"/>
      <c r="Z43" s="158"/>
      <c r="AA43" s="158"/>
    </row>
    <row r="44" spans="1:41" ht="50.1" customHeight="1" x14ac:dyDescent="0.25">
      <c r="A44" s="664"/>
      <c r="B44" s="682"/>
      <c r="C44" s="673"/>
      <c r="D44" s="795" t="s">
        <v>802</v>
      </c>
      <c r="E44" s="294">
        <v>6</v>
      </c>
      <c r="F44" s="295">
        <v>20</v>
      </c>
      <c r="G44" s="183" t="s">
        <v>807</v>
      </c>
      <c r="H44" s="184">
        <v>2</v>
      </c>
      <c r="I44" s="185">
        <v>10</v>
      </c>
      <c r="J44" s="160" t="s">
        <v>803</v>
      </c>
      <c r="K44" s="161">
        <v>4</v>
      </c>
      <c r="L44" s="162">
        <v>10</v>
      </c>
      <c r="M44" s="175" t="s">
        <v>805</v>
      </c>
      <c r="N44" s="189">
        <v>4</v>
      </c>
      <c r="O44" s="296">
        <v>15</v>
      </c>
      <c r="P44" s="186" t="s">
        <v>808</v>
      </c>
      <c r="Q44" s="187">
        <v>3</v>
      </c>
      <c r="R44" s="188">
        <v>15</v>
      </c>
      <c r="S44" s="689"/>
      <c r="T44" s="673"/>
      <c r="U44" s="120"/>
      <c r="V44" s="120"/>
      <c r="Y44" s="158"/>
      <c r="Z44" s="158"/>
      <c r="AA44" s="158"/>
    </row>
    <row r="45" spans="1:41" ht="50.1" customHeight="1" x14ac:dyDescent="0.25">
      <c r="A45" s="664"/>
      <c r="B45" s="682"/>
      <c r="C45" s="673"/>
      <c r="D45" s="175" t="s">
        <v>805</v>
      </c>
      <c r="E45" s="297">
        <v>4</v>
      </c>
      <c r="F45" s="298">
        <v>15</v>
      </c>
      <c r="G45" s="202"/>
      <c r="H45" s="203"/>
      <c r="I45" s="204"/>
      <c r="J45" s="178" t="s">
        <v>806</v>
      </c>
      <c r="K45" s="179">
        <v>6</v>
      </c>
      <c r="L45" s="180">
        <v>20</v>
      </c>
      <c r="M45" s="194" t="s">
        <v>809</v>
      </c>
      <c r="N45" s="195">
        <v>4</v>
      </c>
      <c r="O45" s="299">
        <v>10</v>
      </c>
      <c r="P45" s="200"/>
      <c r="Q45" s="176"/>
      <c r="R45" s="201"/>
      <c r="S45" s="689"/>
      <c r="T45" s="673"/>
      <c r="U45" s="120"/>
      <c r="V45" s="120"/>
      <c r="Y45" s="158"/>
      <c r="Z45" s="158"/>
      <c r="AA45" s="158"/>
    </row>
    <row r="46" spans="1:41" ht="50.1" customHeight="1" x14ac:dyDescent="0.25">
      <c r="A46" s="664"/>
      <c r="B46" s="682"/>
      <c r="C46" s="673"/>
      <c r="D46" s="194" t="s">
        <v>809</v>
      </c>
      <c r="E46" s="300">
        <v>4</v>
      </c>
      <c r="F46" s="301">
        <v>10</v>
      </c>
      <c r="G46" s="202"/>
      <c r="H46" s="203"/>
      <c r="I46" s="204"/>
      <c r="J46" s="186" t="s">
        <v>808</v>
      </c>
      <c r="K46" s="187">
        <v>4</v>
      </c>
      <c r="L46" s="188">
        <v>15</v>
      </c>
      <c r="M46" s="200"/>
      <c r="N46" s="302"/>
      <c r="O46" s="302"/>
      <c r="P46" s="233"/>
      <c r="Q46" s="234"/>
      <c r="R46" s="177"/>
      <c r="S46" s="689"/>
      <c r="T46" s="673"/>
      <c r="U46" s="120"/>
      <c r="V46" s="120"/>
      <c r="Y46" s="158"/>
      <c r="Z46" s="158"/>
      <c r="AA46" s="158"/>
    </row>
    <row r="47" spans="1:41" ht="50.1" customHeight="1" thickBot="1" x14ac:dyDescent="0.3">
      <c r="A47" s="664"/>
      <c r="B47" s="683"/>
      <c r="C47" s="674"/>
      <c r="D47" s="265"/>
      <c r="E47" s="303"/>
      <c r="F47" s="304"/>
      <c r="G47" s="206"/>
      <c r="H47" s="207"/>
      <c r="I47" s="208"/>
      <c r="J47" s="261" t="s">
        <v>811</v>
      </c>
      <c r="K47" s="262">
        <v>5</v>
      </c>
      <c r="L47" s="263">
        <v>10</v>
      </c>
      <c r="M47" s="206"/>
      <c r="N47" s="264"/>
      <c r="O47" s="264"/>
      <c r="P47" s="265"/>
      <c r="Q47" s="236"/>
      <c r="R47" s="266"/>
      <c r="S47" s="690"/>
      <c r="T47" s="674"/>
      <c r="Y47" s="158"/>
      <c r="Z47" s="158"/>
      <c r="AA47" s="158"/>
    </row>
    <row r="48" spans="1:41" ht="50.1" customHeight="1" thickBot="1" x14ac:dyDescent="0.3">
      <c r="A48" s="288"/>
      <c r="B48" s="305"/>
      <c r="C48" s="128" t="s">
        <v>813</v>
      </c>
      <c r="D48" s="270">
        <f>(E42*F42)+(E43*F43)+(E44*F44)+(E45*F45)+(E46*F46)+(E47*F47)</f>
        <v>290</v>
      </c>
      <c r="E48" s="271">
        <f>SUM(E42:E47)</f>
        <v>21</v>
      </c>
      <c r="F48" s="272">
        <f>SUM(F42:F47)</f>
        <v>65</v>
      </c>
      <c r="G48" s="129">
        <f>(H42*I42)+(H43*I43)+(H44*I44)+(H45*I45)+(H46*I46)</f>
        <v>180</v>
      </c>
      <c r="H48" s="130">
        <f>SUM(H42:H46)</f>
        <v>8</v>
      </c>
      <c r="I48" s="131">
        <f>SUM(I42:I46)</f>
        <v>50</v>
      </c>
      <c r="J48" s="270">
        <f>(K42*L42)+(K43*L43)+(K44*L44)+(K45*L45)+(K46*L46)+(K47*L47)</f>
        <v>330</v>
      </c>
      <c r="K48" s="271">
        <f>SUM(K42:K47)</f>
        <v>25</v>
      </c>
      <c r="L48" s="272">
        <f>SUM(L42:L47)</f>
        <v>75</v>
      </c>
      <c r="M48" s="129">
        <f>(N42*O42)+(N43*O43)+(N44*O44)+(N45*O45)+(N46*O46)+(N47*O47)</f>
        <v>250</v>
      </c>
      <c r="N48" s="130">
        <f>SUM(N42:N47)</f>
        <v>17</v>
      </c>
      <c r="O48" s="131">
        <f>SUM(O42:O47)</f>
        <v>55</v>
      </c>
      <c r="P48" s="270">
        <f>(Q42*R42)+(Q43*R43)+(Q44*R44)+(Q45*R45)+(Q46*R46)+(Q47*R47)</f>
        <v>235</v>
      </c>
      <c r="Q48" s="271">
        <f>SUM(Q42:Q47)</f>
        <v>12</v>
      </c>
      <c r="R48" s="272">
        <f>SUM(R42:R47)</f>
        <v>55</v>
      </c>
      <c r="S48" s="128"/>
      <c r="T48" s="246">
        <f>D48+G48+J48+M48+P48</f>
        <v>1285</v>
      </c>
    </row>
    <row r="49" spans="1:20" ht="50.1" customHeight="1" x14ac:dyDescent="0.25">
      <c r="A49" s="289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</row>
    <row r="50" spans="1:20" ht="50.1" customHeight="1" x14ac:dyDescent="0.25">
      <c r="A50" s="289"/>
      <c r="B50" s="306"/>
      <c r="C50" s="306"/>
      <c r="D50" s="158"/>
      <c r="E50" s="158"/>
      <c r="F50" s="158"/>
      <c r="G50" s="307"/>
      <c r="H50" s="307"/>
      <c r="I50" s="307"/>
      <c r="J50" s="158"/>
      <c r="K50" s="158"/>
      <c r="L50" s="158"/>
      <c r="M50" s="158"/>
      <c r="N50" s="158"/>
      <c r="O50" s="158"/>
      <c r="P50" s="158"/>
      <c r="Q50" s="158"/>
      <c r="R50" s="158"/>
      <c r="S50" s="306"/>
      <c r="T50" s="306"/>
    </row>
    <row r="51" spans="1:20" ht="50.1" customHeight="1" x14ac:dyDescent="0.25">
      <c r="A51" s="289"/>
      <c r="B51" s="306"/>
      <c r="C51" s="306"/>
      <c r="D51" s="158"/>
      <c r="E51" s="158"/>
      <c r="F51" s="158"/>
      <c r="G51" s="307"/>
      <c r="H51" s="307"/>
      <c r="I51" s="307"/>
      <c r="J51" s="158"/>
      <c r="K51" s="158"/>
      <c r="L51" s="158"/>
      <c r="M51" s="158"/>
      <c r="N51" s="158"/>
      <c r="O51" s="158"/>
      <c r="P51" s="158"/>
      <c r="Q51" s="158"/>
      <c r="R51" s="158"/>
      <c r="S51" s="306"/>
      <c r="T51" s="306"/>
    </row>
    <row r="52" spans="1:20" ht="50.1" customHeight="1" x14ac:dyDescent="0.25">
      <c r="A52" s="289"/>
      <c r="B52" s="306"/>
      <c r="C52" s="306"/>
      <c r="D52" s="158"/>
      <c r="E52" s="158"/>
      <c r="F52" s="158"/>
      <c r="G52" s="307"/>
      <c r="H52" s="307"/>
      <c r="I52" s="307"/>
      <c r="J52" s="158"/>
      <c r="K52" s="158"/>
      <c r="L52" s="158"/>
      <c r="M52" s="158"/>
      <c r="N52" s="158"/>
      <c r="O52" s="158"/>
      <c r="P52" s="158"/>
      <c r="Q52" s="158"/>
      <c r="R52" s="158"/>
      <c r="S52" s="306"/>
      <c r="T52" s="306"/>
    </row>
    <row r="53" spans="1:20" ht="50.1" customHeight="1" x14ac:dyDescent="0.25">
      <c r="A53" s="289"/>
      <c r="B53" s="306"/>
      <c r="C53" s="306"/>
      <c r="D53" s="158"/>
      <c r="E53" s="158"/>
      <c r="F53" s="158"/>
      <c r="G53" s="307"/>
      <c r="H53" s="307"/>
      <c r="I53" s="307"/>
      <c r="J53" s="158"/>
      <c r="K53" s="158"/>
      <c r="L53" s="158"/>
      <c r="M53" s="158"/>
      <c r="N53" s="158"/>
      <c r="O53" s="158"/>
      <c r="P53" s="158"/>
      <c r="Q53" s="158"/>
      <c r="R53" s="158"/>
      <c r="S53" s="306"/>
      <c r="T53" s="306"/>
    </row>
    <row r="54" spans="1:20" ht="20.100000000000001" customHeight="1" x14ac:dyDescent="0.25">
      <c r="A54" s="289"/>
      <c r="B54" s="306"/>
      <c r="C54" s="306"/>
      <c r="D54" s="308"/>
      <c r="E54" s="308"/>
      <c r="F54" s="308"/>
      <c r="G54" s="307"/>
      <c r="H54" s="307"/>
      <c r="I54" s="307"/>
      <c r="J54" s="158"/>
      <c r="K54" s="158"/>
      <c r="L54" s="158"/>
      <c r="P54" s="308"/>
      <c r="Q54" s="308"/>
      <c r="R54" s="308"/>
      <c r="S54" s="306"/>
      <c r="T54" s="306"/>
    </row>
    <row r="55" spans="1:20" ht="50.1" customHeight="1" x14ac:dyDescent="0.25">
      <c r="A55" s="289"/>
      <c r="B55" s="306"/>
      <c r="C55" s="306"/>
      <c r="D55" s="120"/>
      <c r="E55" s="120"/>
      <c r="F55" s="120"/>
      <c r="G55" s="307"/>
      <c r="H55" s="307"/>
      <c r="I55" s="307"/>
      <c r="J55" s="158"/>
      <c r="K55" s="158"/>
      <c r="L55" s="158"/>
      <c r="P55" s="309"/>
      <c r="Q55" s="309"/>
      <c r="R55" s="309"/>
      <c r="S55" s="306"/>
      <c r="T55" s="306"/>
    </row>
    <row r="56" spans="1:20" ht="50.1" customHeight="1" x14ac:dyDescent="0.25"/>
    <row r="57" spans="1:20" ht="50.1" customHeight="1" x14ac:dyDescent="0.25"/>
    <row r="58" spans="1:20" ht="50.1" customHeight="1" x14ac:dyDescent="0.25"/>
    <row r="59" spans="1:20" ht="50.1" customHeight="1" x14ac:dyDescent="0.25"/>
    <row r="60" spans="1:20" ht="50.1" customHeight="1" x14ac:dyDescent="0.25"/>
    <row r="61" spans="1:20" ht="50.1" customHeight="1" x14ac:dyDescent="0.25"/>
    <row r="62" spans="1:20" ht="50.1" customHeight="1" x14ac:dyDescent="0.25"/>
    <row r="63" spans="1:20" ht="50.1" customHeight="1" x14ac:dyDescent="0.25"/>
    <row r="64" spans="1:20" ht="50.1" customHeight="1" x14ac:dyDescent="0.25"/>
    <row r="65" ht="50.1" customHeight="1" x14ac:dyDescent="0.25"/>
    <row r="66" ht="50.1" customHeight="1" x14ac:dyDescent="0.25"/>
    <row r="67" ht="50.1" customHeight="1" x14ac:dyDescent="0.25"/>
    <row r="68" ht="50.1" customHeight="1" x14ac:dyDescent="0.25"/>
  </sheetData>
  <mergeCells count="139">
    <mergeCell ref="AN32:AN37"/>
    <mergeCell ref="AO32:AO37"/>
    <mergeCell ref="B39:T39"/>
    <mergeCell ref="A40:A47"/>
    <mergeCell ref="D40:F40"/>
    <mergeCell ref="G40:I40"/>
    <mergeCell ref="J40:L40"/>
    <mergeCell ref="M40:O40"/>
    <mergeCell ref="B42:B47"/>
    <mergeCell ref="C42:C47"/>
    <mergeCell ref="S42:S47"/>
    <mergeCell ref="T42:T47"/>
    <mergeCell ref="P40:R40"/>
    <mergeCell ref="D41:F41"/>
    <mergeCell ref="G41:I41"/>
    <mergeCell ref="J41:L41"/>
    <mergeCell ref="M41:O41"/>
    <mergeCell ref="P41:R41"/>
    <mergeCell ref="AK31:AM31"/>
    <mergeCell ref="B32:B37"/>
    <mergeCell ref="C32:C37"/>
    <mergeCell ref="G32:I37"/>
    <mergeCell ref="S32:S37"/>
    <mergeCell ref="T32:T37"/>
    <mergeCell ref="W32:W37"/>
    <mergeCell ref="X32:X37"/>
    <mergeCell ref="AK32:AM37"/>
    <mergeCell ref="D31:F31"/>
    <mergeCell ref="G31:I31"/>
    <mergeCell ref="J31:L31"/>
    <mergeCell ref="M31:O31"/>
    <mergeCell ref="P31:R31"/>
    <mergeCell ref="Y31:AA31"/>
    <mergeCell ref="AB31:AD31"/>
    <mergeCell ref="AE31:AG31"/>
    <mergeCell ref="AH31:AJ31"/>
    <mergeCell ref="AN23:AN28"/>
    <mergeCell ref="AO23:AO28"/>
    <mergeCell ref="D30:F30"/>
    <mergeCell ref="G30:I30"/>
    <mergeCell ref="J30:L30"/>
    <mergeCell ref="M30:O30"/>
    <mergeCell ref="P30:R30"/>
    <mergeCell ref="Y30:AA30"/>
    <mergeCell ref="AB30:AD30"/>
    <mergeCell ref="AE30:AG30"/>
    <mergeCell ref="AH30:AJ30"/>
    <mergeCell ref="AK30:AM30"/>
    <mergeCell ref="AE22:AG22"/>
    <mergeCell ref="AH22:AJ22"/>
    <mergeCell ref="AK22:AM22"/>
    <mergeCell ref="B23:B28"/>
    <mergeCell ref="C23:C28"/>
    <mergeCell ref="G23:I28"/>
    <mergeCell ref="S23:S28"/>
    <mergeCell ref="T23:T28"/>
    <mergeCell ref="W23:W28"/>
    <mergeCell ref="D22:F22"/>
    <mergeCell ref="G22:I22"/>
    <mergeCell ref="J22:L22"/>
    <mergeCell ref="M22:O22"/>
    <mergeCell ref="P22:R22"/>
    <mergeCell ref="X23:X28"/>
    <mergeCell ref="AK23:AM28"/>
    <mergeCell ref="AN13:AN18"/>
    <mergeCell ref="AO13:AO18"/>
    <mergeCell ref="B20:T20"/>
    <mergeCell ref="W20:AO20"/>
    <mergeCell ref="A21:A37"/>
    <mergeCell ref="D21:F21"/>
    <mergeCell ref="G21:I21"/>
    <mergeCell ref="J21:L21"/>
    <mergeCell ref="M21:O21"/>
    <mergeCell ref="P21:R21"/>
    <mergeCell ref="A2:A18"/>
    <mergeCell ref="D2:F2"/>
    <mergeCell ref="G2:I2"/>
    <mergeCell ref="J2:L2"/>
    <mergeCell ref="M2:O2"/>
    <mergeCell ref="P2:R2"/>
    <mergeCell ref="Y22:AA22"/>
    <mergeCell ref="V21:V37"/>
    <mergeCell ref="Y21:AA21"/>
    <mergeCell ref="AB21:AD21"/>
    <mergeCell ref="AE21:AG21"/>
    <mergeCell ref="AH21:AJ21"/>
    <mergeCell ref="AK21:AM21"/>
    <mergeCell ref="AB22:AD22"/>
    <mergeCell ref="B13:B18"/>
    <mergeCell ref="C13:C18"/>
    <mergeCell ref="S13:S18"/>
    <mergeCell ref="T13:T18"/>
    <mergeCell ref="W13:W18"/>
    <mergeCell ref="X13:X18"/>
    <mergeCell ref="D12:F12"/>
    <mergeCell ref="G12:I12"/>
    <mergeCell ref="J12:L12"/>
    <mergeCell ref="M12:O12"/>
    <mergeCell ref="P12:R12"/>
    <mergeCell ref="AN4:AN9"/>
    <mergeCell ref="AO4:AO9"/>
    <mergeCell ref="D11:F11"/>
    <mergeCell ref="G11:I11"/>
    <mergeCell ref="J11:L11"/>
    <mergeCell ref="M11:O11"/>
    <mergeCell ref="P11:R11"/>
    <mergeCell ref="Y11:AA11"/>
    <mergeCell ref="AB11:AD11"/>
    <mergeCell ref="AE11:AG11"/>
    <mergeCell ref="B4:B9"/>
    <mergeCell ref="C4:C9"/>
    <mergeCell ref="S4:S9"/>
    <mergeCell ref="T4:T9"/>
    <mergeCell ref="W4:W9"/>
    <mergeCell ref="X4:X9"/>
    <mergeCell ref="P3:R3"/>
    <mergeCell ref="Y3:AA3"/>
    <mergeCell ref="AB3:AD3"/>
    <mergeCell ref="D3:F3"/>
    <mergeCell ref="G3:I3"/>
    <mergeCell ref="J3:L3"/>
    <mergeCell ref="M3:O3"/>
    <mergeCell ref="U2:U6"/>
    <mergeCell ref="AE3:AG3"/>
    <mergeCell ref="AH3:AJ3"/>
    <mergeCell ref="AK3:AM3"/>
    <mergeCell ref="V2:V18"/>
    <mergeCell ref="Y2:AA2"/>
    <mergeCell ref="AB2:AD2"/>
    <mergeCell ref="AE2:AG2"/>
    <mergeCell ref="AH2:AJ2"/>
    <mergeCell ref="AK2:AM2"/>
    <mergeCell ref="AH11:AJ11"/>
    <mergeCell ref="AK11:AM11"/>
    <mergeCell ref="AB12:AD12"/>
    <mergeCell ref="AE12:AG12"/>
    <mergeCell ref="AH12:AJ12"/>
    <mergeCell ref="AK12:AM12"/>
    <mergeCell ref="Y12:AA12"/>
  </mergeCells>
  <pageMargins left="0.25" right="0.25" top="0.75" bottom="0.75" header="0.3" footer="0.3"/>
  <pageSetup paperSize="8" scale="45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0146-5BCE-4D99-98F2-56A4EB81B87B}">
  <sheetPr>
    <pageSetUpPr fitToPage="1"/>
  </sheetPr>
  <dimension ref="A1:AT49"/>
  <sheetViews>
    <sheetView topLeftCell="A36" zoomScale="80" zoomScaleNormal="80" workbookViewId="0">
      <selection activeCell="Y4" sqref="Y4"/>
    </sheetView>
  </sheetViews>
  <sheetFormatPr baseColWidth="10" defaultRowHeight="50.1" customHeight="1" x14ac:dyDescent="0.25"/>
  <cols>
    <col min="1" max="4" width="11" style="313"/>
    <col min="5" max="6" width="0" style="313" hidden="1" customWidth="1"/>
    <col min="7" max="7" width="11" style="313"/>
    <col min="8" max="9" width="0" style="313" hidden="1" customWidth="1"/>
    <col min="10" max="10" width="11" style="313"/>
    <col min="11" max="12" width="0" style="313" hidden="1" customWidth="1"/>
    <col min="13" max="13" width="11" style="313"/>
    <col min="14" max="15" width="0" style="313" hidden="1" customWidth="1"/>
    <col min="16" max="16" width="11" style="313"/>
    <col min="17" max="18" width="0" style="313" hidden="1" customWidth="1"/>
    <col min="19" max="25" width="11" style="313"/>
    <col min="26" max="27" width="0" style="313" hidden="1" customWidth="1"/>
    <col min="28" max="28" width="11" style="313"/>
    <col min="29" max="30" width="0" style="313" hidden="1" customWidth="1"/>
    <col min="31" max="31" width="11" style="313"/>
    <col min="32" max="33" width="0" style="313" hidden="1" customWidth="1"/>
    <col min="34" max="34" width="11" style="313"/>
    <col min="35" max="36" width="0" style="313" hidden="1" customWidth="1"/>
    <col min="37" max="37" width="11" style="313"/>
    <col min="38" max="39" width="0" style="313" hidden="1" customWidth="1"/>
    <col min="40" max="16384" width="11" style="313"/>
  </cols>
  <sheetData>
    <row r="1" spans="1:46" ht="50.1" customHeight="1" thickBot="1" x14ac:dyDescent="0.3">
      <c r="A1" s="311"/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1"/>
      <c r="AP1" s="311"/>
      <c r="AQ1" s="311"/>
      <c r="AR1" s="311"/>
      <c r="AS1" s="311"/>
      <c r="AT1" s="312"/>
    </row>
    <row r="2" spans="1:46" ht="50.1" customHeight="1" thickBot="1" x14ac:dyDescent="0.3">
      <c r="A2" s="727" t="s">
        <v>779</v>
      </c>
      <c r="B2" s="314" t="s">
        <v>780</v>
      </c>
      <c r="C2" s="315" t="s">
        <v>781</v>
      </c>
      <c r="D2" s="730" t="s">
        <v>782</v>
      </c>
      <c r="E2" s="731"/>
      <c r="F2" s="732"/>
      <c r="G2" s="730" t="s">
        <v>783</v>
      </c>
      <c r="H2" s="731"/>
      <c r="I2" s="732"/>
      <c r="J2" s="730" t="s">
        <v>784</v>
      </c>
      <c r="K2" s="731"/>
      <c r="L2" s="732"/>
      <c r="M2" s="730" t="s">
        <v>785</v>
      </c>
      <c r="N2" s="731"/>
      <c r="O2" s="732"/>
      <c r="P2" s="730" t="s">
        <v>786</v>
      </c>
      <c r="Q2" s="731"/>
      <c r="R2" s="732"/>
      <c r="S2" s="318" t="s">
        <v>780</v>
      </c>
      <c r="T2" s="319" t="s">
        <v>781</v>
      </c>
      <c r="U2" s="684" t="s">
        <v>840</v>
      </c>
      <c r="V2" s="727" t="s">
        <v>779</v>
      </c>
      <c r="W2" s="314" t="s">
        <v>780</v>
      </c>
      <c r="X2" s="315" t="s">
        <v>781</v>
      </c>
      <c r="Y2" s="730" t="s">
        <v>782</v>
      </c>
      <c r="Z2" s="731"/>
      <c r="AA2" s="732"/>
      <c r="AB2" s="730" t="s">
        <v>783</v>
      </c>
      <c r="AC2" s="731"/>
      <c r="AD2" s="732"/>
      <c r="AE2" s="730" t="s">
        <v>784</v>
      </c>
      <c r="AF2" s="731"/>
      <c r="AG2" s="732"/>
      <c r="AH2" s="730" t="s">
        <v>785</v>
      </c>
      <c r="AI2" s="731"/>
      <c r="AJ2" s="732"/>
      <c r="AK2" s="730" t="s">
        <v>786</v>
      </c>
      <c r="AL2" s="731"/>
      <c r="AM2" s="732"/>
      <c r="AN2" s="318" t="s">
        <v>780</v>
      </c>
      <c r="AO2" s="319" t="s">
        <v>781</v>
      </c>
      <c r="AP2" s="311"/>
      <c r="AQ2" s="311"/>
      <c r="AR2" s="311"/>
      <c r="AS2" s="311"/>
      <c r="AT2" s="312"/>
    </row>
    <row r="3" spans="1:46" ht="50.1" customHeight="1" thickBot="1" x14ac:dyDescent="0.3">
      <c r="A3" s="728"/>
      <c r="B3" s="314"/>
      <c r="C3" s="315"/>
      <c r="D3" s="730" t="s">
        <v>787</v>
      </c>
      <c r="E3" s="731"/>
      <c r="F3" s="732"/>
      <c r="G3" s="730" t="s">
        <v>787</v>
      </c>
      <c r="H3" s="731"/>
      <c r="I3" s="732"/>
      <c r="J3" s="730" t="s">
        <v>787</v>
      </c>
      <c r="K3" s="731"/>
      <c r="L3" s="732"/>
      <c r="M3" s="730" t="s">
        <v>787</v>
      </c>
      <c r="N3" s="731"/>
      <c r="O3" s="732"/>
      <c r="P3" s="730" t="s">
        <v>787</v>
      </c>
      <c r="Q3" s="731"/>
      <c r="R3" s="732"/>
      <c r="S3" s="318"/>
      <c r="T3" s="317"/>
      <c r="U3" s="684"/>
      <c r="V3" s="728"/>
      <c r="W3" s="314"/>
      <c r="X3" s="315"/>
      <c r="Y3" s="724" t="s">
        <v>788</v>
      </c>
      <c r="Z3" s="725"/>
      <c r="AA3" s="726"/>
      <c r="AB3" s="724" t="s">
        <v>789</v>
      </c>
      <c r="AC3" s="725"/>
      <c r="AD3" s="726"/>
      <c r="AE3" s="724" t="s">
        <v>787</v>
      </c>
      <c r="AF3" s="725"/>
      <c r="AG3" s="726"/>
      <c r="AH3" s="724" t="s">
        <v>790</v>
      </c>
      <c r="AI3" s="725"/>
      <c r="AJ3" s="726"/>
      <c r="AK3" s="724" t="s">
        <v>791</v>
      </c>
      <c r="AL3" s="725"/>
      <c r="AM3" s="726"/>
      <c r="AN3" s="318"/>
      <c r="AO3" s="317"/>
      <c r="AP3" s="311"/>
      <c r="AQ3" s="311"/>
      <c r="AR3" s="322" t="s">
        <v>792</v>
      </c>
      <c r="AS3" s="323" t="s">
        <v>10</v>
      </c>
      <c r="AT3" s="324" t="s">
        <v>793</v>
      </c>
    </row>
    <row r="4" spans="1:46" ht="50.1" customHeight="1" x14ac:dyDescent="0.25">
      <c r="A4" s="728"/>
      <c r="B4" s="733" t="s">
        <v>794</v>
      </c>
      <c r="C4" s="736" t="s">
        <v>795</v>
      </c>
      <c r="D4" s="325" t="s">
        <v>796</v>
      </c>
      <c r="E4" s="326">
        <v>5</v>
      </c>
      <c r="F4" s="327">
        <v>30</v>
      </c>
      <c r="G4" s="328" t="s">
        <v>797</v>
      </c>
      <c r="H4" s="329">
        <v>3</v>
      </c>
      <c r="I4" s="330">
        <v>10</v>
      </c>
      <c r="J4" s="331" t="s">
        <v>798</v>
      </c>
      <c r="K4" s="332">
        <v>1</v>
      </c>
      <c r="L4" s="333">
        <v>10</v>
      </c>
      <c r="M4" s="325" t="s">
        <v>796</v>
      </c>
      <c r="N4" s="326">
        <v>5</v>
      </c>
      <c r="O4" s="327">
        <v>30</v>
      </c>
      <c r="P4" s="334" t="s">
        <v>799</v>
      </c>
      <c r="Q4" s="335">
        <v>3</v>
      </c>
      <c r="R4" s="336">
        <v>10</v>
      </c>
      <c r="S4" s="739" t="s">
        <v>794</v>
      </c>
      <c r="T4" s="736" t="s">
        <v>795</v>
      </c>
      <c r="U4" s="684"/>
      <c r="V4" s="728"/>
      <c r="W4" s="742" t="s">
        <v>800</v>
      </c>
      <c r="X4" s="736" t="s">
        <v>795</v>
      </c>
      <c r="Y4" s="337" t="s">
        <v>801</v>
      </c>
      <c r="Z4" s="338">
        <v>2</v>
      </c>
      <c r="AA4" s="339">
        <v>10</v>
      </c>
      <c r="AB4" s="340" t="s">
        <v>796</v>
      </c>
      <c r="AC4" s="341">
        <v>5</v>
      </c>
      <c r="AD4" s="342">
        <v>30</v>
      </c>
      <c r="AE4" s="343" t="s">
        <v>798</v>
      </c>
      <c r="AF4" s="344">
        <v>1</v>
      </c>
      <c r="AG4" s="345">
        <v>10</v>
      </c>
      <c r="AH4" s="340" t="s">
        <v>796</v>
      </c>
      <c r="AI4" s="341">
        <v>5</v>
      </c>
      <c r="AJ4" s="342">
        <v>30</v>
      </c>
      <c r="AK4" s="346" t="s">
        <v>797</v>
      </c>
      <c r="AL4" s="347">
        <v>3</v>
      </c>
      <c r="AM4" s="348">
        <v>10</v>
      </c>
      <c r="AN4" s="745" t="s">
        <v>794</v>
      </c>
      <c r="AO4" s="748" t="s">
        <v>800</v>
      </c>
      <c r="AP4" s="311"/>
      <c r="AQ4" s="311"/>
      <c r="AR4" s="791" t="s">
        <v>802</v>
      </c>
      <c r="AS4" s="349">
        <v>6</v>
      </c>
      <c r="AT4" s="350">
        <v>45</v>
      </c>
    </row>
    <row r="5" spans="1:46" ht="50.1" customHeight="1" x14ac:dyDescent="0.25">
      <c r="A5" s="728"/>
      <c r="B5" s="734"/>
      <c r="C5" s="737"/>
      <c r="D5" s="352" t="s">
        <v>803</v>
      </c>
      <c r="E5" s="353">
        <v>4</v>
      </c>
      <c r="F5" s="354">
        <v>10</v>
      </c>
      <c r="G5" s="355" t="s">
        <v>804</v>
      </c>
      <c r="H5" s="356">
        <v>4</v>
      </c>
      <c r="I5" s="357">
        <v>10</v>
      </c>
      <c r="J5" s="358" t="s">
        <v>796</v>
      </c>
      <c r="K5" s="359">
        <v>5</v>
      </c>
      <c r="L5" s="360">
        <v>30</v>
      </c>
      <c r="M5" s="352" t="s">
        <v>803</v>
      </c>
      <c r="N5" s="353">
        <v>4</v>
      </c>
      <c r="O5" s="354">
        <v>10</v>
      </c>
      <c r="P5" s="355" t="s">
        <v>804</v>
      </c>
      <c r="Q5" s="356">
        <v>4</v>
      </c>
      <c r="R5" s="357">
        <v>10</v>
      </c>
      <c r="S5" s="740"/>
      <c r="T5" s="737"/>
      <c r="U5" s="684"/>
      <c r="V5" s="728"/>
      <c r="W5" s="743"/>
      <c r="X5" s="737"/>
      <c r="Y5" s="361" t="s">
        <v>799</v>
      </c>
      <c r="Z5" s="362">
        <v>3</v>
      </c>
      <c r="AA5" s="363">
        <v>10</v>
      </c>
      <c r="AB5" s="352" t="s">
        <v>803</v>
      </c>
      <c r="AC5" s="353">
        <v>4</v>
      </c>
      <c r="AD5" s="354">
        <v>10</v>
      </c>
      <c r="AE5" s="364" t="s">
        <v>801</v>
      </c>
      <c r="AF5" s="365">
        <v>2</v>
      </c>
      <c r="AG5" s="366">
        <v>10</v>
      </c>
      <c r="AH5" s="352" t="s">
        <v>803</v>
      </c>
      <c r="AI5" s="353">
        <v>4</v>
      </c>
      <c r="AJ5" s="354">
        <v>10</v>
      </c>
      <c r="AK5" s="355" t="s">
        <v>804</v>
      </c>
      <c r="AL5" s="356">
        <v>4</v>
      </c>
      <c r="AM5" s="367">
        <v>10</v>
      </c>
      <c r="AN5" s="746"/>
      <c r="AO5" s="749"/>
      <c r="AP5" s="311"/>
      <c r="AQ5" s="311"/>
      <c r="AR5" s="368" t="s">
        <v>805</v>
      </c>
      <c r="AS5" s="369">
        <v>4</v>
      </c>
      <c r="AT5" s="370">
        <v>25</v>
      </c>
    </row>
    <row r="6" spans="1:46" ht="50.1" customHeight="1" x14ac:dyDescent="0.25">
      <c r="A6" s="728"/>
      <c r="B6" s="734"/>
      <c r="C6" s="737"/>
      <c r="D6" s="371" t="s">
        <v>806</v>
      </c>
      <c r="E6" s="372">
        <v>6</v>
      </c>
      <c r="F6" s="373">
        <v>45</v>
      </c>
      <c r="G6" s="792" t="s">
        <v>802</v>
      </c>
      <c r="H6" s="374">
        <v>6</v>
      </c>
      <c r="I6" s="375">
        <v>45</v>
      </c>
      <c r="J6" s="376" t="s">
        <v>807</v>
      </c>
      <c r="K6" s="377">
        <v>2</v>
      </c>
      <c r="L6" s="378">
        <v>10</v>
      </c>
      <c r="M6" s="371" t="s">
        <v>806</v>
      </c>
      <c r="N6" s="372">
        <v>6</v>
      </c>
      <c r="O6" s="373">
        <v>45</v>
      </c>
      <c r="P6" s="792" t="s">
        <v>802</v>
      </c>
      <c r="Q6" s="374">
        <v>6</v>
      </c>
      <c r="R6" s="375">
        <v>45</v>
      </c>
      <c r="S6" s="740"/>
      <c r="T6" s="737"/>
      <c r="U6" s="684"/>
      <c r="V6" s="728"/>
      <c r="W6" s="743"/>
      <c r="X6" s="737"/>
      <c r="Y6" s="355" t="s">
        <v>804</v>
      </c>
      <c r="Z6" s="356">
        <v>4</v>
      </c>
      <c r="AA6" s="357">
        <v>10</v>
      </c>
      <c r="AB6" s="371" t="s">
        <v>806</v>
      </c>
      <c r="AC6" s="372">
        <v>6</v>
      </c>
      <c r="AD6" s="373">
        <v>45</v>
      </c>
      <c r="AE6" s="361" t="s">
        <v>799</v>
      </c>
      <c r="AF6" s="362">
        <v>3</v>
      </c>
      <c r="AG6" s="363">
        <v>10</v>
      </c>
      <c r="AH6" s="792" t="s">
        <v>802</v>
      </c>
      <c r="AI6" s="374">
        <v>6</v>
      </c>
      <c r="AJ6" s="375">
        <v>45</v>
      </c>
      <c r="AK6" s="379" t="s">
        <v>808</v>
      </c>
      <c r="AL6" s="380">
        <v>4</v>
      </c>
      <c r="AM6" s="381">
        <v>25</v>
      </c>
      <c r="AN6" s="746"/>
      <c r="AO6" s="749"/>
      <c r="AP6" s="311"/>
      <c r="AQ6" s="311"/>
      <c r="AR6" s="355" t="s">
        <v>804</v>
      </c>
      <c r="AS6" s="369">
        <v>4</v>
      </c>
      <c r="AT6" s="370">
        <v>10</v>
      </c>
    </row>
    <row r="7" spans="1:46" ht="50.1" customHeight="1" x14ac:dyDescent="0.25">
      <c r="A7" s="728"/>
      <c r="B7" s="734"/>
      <c r="C7" s="737"/>
      <c r="D7" s="379" t="s">
        <v>808</v>
      </c>
      <c r="E7" s="380">
        <v>4</v>
      </c>
      <c r="F7" s="382">
        <v>25</v>
      </c>
      <c r="G7" s="368" t="s">
        <v>805</v>
      </c>
      <c r="H7" s="383">
        <v>4</v>
      </c>
      <c r="I7" s="384">
        <v>25</v>
      </c>
      <c r="J7" s="385"/>
      <c r="K7" s="386"/>
      <c r="L7" s="387"/>
      <c r="M7" s="368" t="s">
        <v>805</v>
      </c>
      <c r="N7" s="383">
        <v>4</v>
      </c>
      <c r="O7" s="384">
        <v>25</v>
      </c>
      <c r="P7" s="379" t="s">
        <v>808</v>
      </c>
      <c r="Q7" s="380">
        <v>4</v>
      </c>
      <c r="R7" s="382">
        <v>25</v>
      </c>
      <c r="S7" s="740"/>
      <c r="T7" s="737"/>
      <c r="U7" s="684"/>
      <c r="V7" s="728"/>
      <c r="W7" s="743"/>
      <c r="X7" s="737"/>
      <c r="Y7" s="792" t="s">
        <v>802</v>
      </c>
      <c r="Z7" s="374">
        <v>6</v>
      </c>
      <c r="AA7" s="375">
        <v>45</v>
      </c>
      <c r="AB7" s="379" t="s">
        <v>808</v>
      </c>
      <c r="AC7" s="380">
        <v>4</v>
      </c>
      <c r="AD7" s="382">
        <v>25</v>
      </c>
      <c r="AE7" s="376" t="s">
        <v>807</v>
      </c>
      <c r="AF7" s="377">
        <v>2</v>
      </c>
      <c r="AG7" s="378">
        <v>10</v>
      </c>
      <c r="AH7" s="368" t="s">
        <v>805</v>
      </c>
      <c r="AI7" s="383">
        <v>4</v>
      </c>
      <c r="AJ7" s="384">
        <v>25</v>
      </c>
      <c r="AK7" s="388" t="s">
        <v>809</v>
      </c>
      <c r="AL7" s="389">
        <v>4</v>
      </c>
      <c r="AM7" s="390">
        <v>10</v>
      </c>
      <c r="AN7" s="746"/>
      <c r="AO7" s="749"/>
      <c r="AP7" s="311"/>
      <c r="AQ7" s="311"/>
      <c r="AR7" s="388" t="s">
        <v>810</v>
      </c>
      <c r="AS7" s="369">
        <v>5</v>
      </c>
      <c r="AT7" s="370">
        <v>10</v>
      </c>
    </row>
    <row r="8" spans="1:46" ht="50.1" customHeight="1" x14ac:dyDescent="0.25">
      <c r="A8" s="728"/>
      <c r="B8" s="734"/>
      <c r="C8" s="737"/>
      <c r="D8" s="391" t="s">
        <v>811</v>
      </c>
      <c r="E8" s="392">
        <v>4</v>
      </c>
      <c r="F8" s="393">
        <v>10</v>
      </c>
      <c r="G8" s="388" t="s">
        <v>809</v>
      </c>
      <c r="H8" s="389">
        <v>5</v>
      </c>
      <c r="I8" s="394">
        <v>10</v>
      </c>
      <c r="J8" s="385"/>
      <c r="K8" s="386"/>
      <c r="L8" s="387"/>
      <c r="M8" s="391" t="s">
        <v>811</v>
      </c>
      <c r="N8" s="392">
        <v>4</v>
      </c>
      <c r="O8" s="393">
        <v>10</v>
      </c>
      <c r="P8" s="388" t="s">
        <v>809</v>
      </c>
      <c r="Q8" s="389">
        <v>5</v>
      </c>
      <c r="R8" s="394">
        <v>10</v>
      </c>
      <c r="S8" s="740"/>
      <c r="T8" s="737"/>
      <c r="U8" s="684"/>
      <c r="V8" s="728"/>
      <c r="W8" s="743"/>
      <c r="X8" s="737"/>
      <c r="Y8" s="368" t="s">
        <v>805</v>
      </c>
      <c r="Z8" s="383">
        <v>4</v>
      </c>
      <c r="AA8" s="384">
        <v>25</v>
      </c>
      <c r="AB8" s="391" t="s">
        <v>811</v>
      </c>
      <c r="AC8" s="392">
        <v>5</v>
      </c>
      <c r="AD8" s="393">
        <v>10</v>
      </c>
      <c r="AE8" s="395"/>
      <c r="AF8" s="369"/>
      <c r="AG8" s="396"/>
      <c r="AH8" s="391" t="s">
        <v>811</v>
      </c>
      <c r="AI8" s="392">
        <v>5</v>
      </c>
      <c r="AJ8" s="393">
        <v>10</v>
      </c>
      <c r="AK8" s="397"/>
      <c r="AL8" s="398"/>
      <c r="AM8" s="399"/>
      <c r="AN8" s="746"/>
      <c r="AO8" s="749"/>
      <c r="AP8" s="311"/>
      <c r="AQ8" s="311"/>
      <c r="AR8" s="400" t="s">
        <v>797</v>
      </c>
      <c r="AS8" s="369">
        <v>3</v>
      </c>
      <c r="AT8" s="370">
        <v>10</v>
      </c>
    </row>
    <row r="9" spans="1:46" ht="50.1" customHeight="1" thickBot="1" x14ac:dyDescent="0.3">
      <c r="A9" s="728"/>
      <c r="B9" s="735"/>
      <c r="C9" s="738"/>
      <c r="D9" s="401"/>
      <c r="E9" s="402"/>
      <c r="F9" s="403"/>
      <c r="G9" s="401"/>
      <c r="H9" s="402"/>
      <c r="I9" s="403"/>
      <c r="J9" s="404"/>
      <c r="K9" s="405"/>
      <c r="L9" s="406"/>
      <c r="M9" s="401"/>
      <c r="N9" s="402"/>
      <c r="O9" s="403"/>
      <c r="P9" s="401"/>
      <c r="Q9" s="402"/>
      <c r="R9" s="403"/>
      <c r="S9" s="741"/>
      <c r="T9" s="738"/>
      <c r="U9" s="312"/>
      <c r="V9" s="728"/>
      <c r="W9" s="744"/>
      <c r="X9" s="738"/>
      <c r="Y9" s="408" t="s">
        <v>809</v>
      </c>
      <c r="Z9" s="409">
        <v>4</v>
      </c>
      <c r="AA9" s="410">
        <v>10</v>
      </c>
      <c r="AB9" s="411"/>
      <c r="AC9" s="412"/>
      <c r="AD9" s="413"/>
      <c r="AE9" s="414"/>
      <c r="AF9" s="415"/>
      <c r="AG9" s="416"/>
      <c r="AH9" s="411"/>
      <c r="AI9" s="412"/>
      <c r="AJ9" s="413"/>
      <c r="AK9" s="411"/>
      <c r="AL9" s="412"/>
      <c r="AM9" s="417"/>
      <c r="AN9" s="747"/>
      <c r="AO9" s="750"/>
      <c r="AP9" s="311"/>
      <c r="AQ9" s="311"/>
      <c r="AR9" s="358" t="s">
        <v>812</v>
      </c>
      <c r="AS9" s="369">
        <v>5</v>
      </c>
      <c r="AT9" s="370">
        <v>30</v>
      </c>
    </row>
    <row r="10" spans="1:46" ht="50.1" customHeight="1" thickBot="1" x14ac:dyDescent="0.3">
      <c r="A10" s="728"/>
      <c r="B10" s="351"/>
      <c r="C10" s="315" t="s">
        <v>813</v>
      </c>
      <c r="D10" s="314">
        <f>(E4*F4)+(E5*F5)+(E6*F6)+(E7*F7)+(E8*F8)+(E9*F9)</f>
        <v>600</v>
      </c>
      <c r="E10" s="418">
        <f>SUM(E4:E9)</f>
        <v>23</v>
      </c>
      <c r="F10" s="319">
        <f>SUM(F4:F9)</f>
        <v>120</v>
      </c>
      <c r="G10" s="314">
        <f>(H4*I4)+(H5*I5)+(H6*I6)+(H7*I7)+(H8*I8)</f>
        <v>490</v>
      </c>
      <c r="H10" s="418">
        <f>SUM(H4:H8)</f>
        <v>22</v>
      </c>
      <c r="I10" s="319">
        <f>SUM(I4:I8)</f>
        <v>100</v>
      </c>
      <c r="J10" s="314">
        <f>(K4*L4)+(K5*L5)+(K6*L6)+(K7*L7)+(K8*L8)+(K9*L9)</f>
        <v>180</v>
      </c>
      <c r="K10" s="418">
        <f>SUM(K4:K9)</f>
        <v>8</v>
      </c>
      <c r="L10" s="319">
        <f>SUM(L4:L9)</f>
        <v>50</v>
      </c>
      <c r="M10" s="314">
        <f>(N4*O4)+(N5*O5)+(N6*O6)+(N7*O7)+(N8*O8)+(N9*O9)</f>
        <v>600</v>
      </c>
      <c r="N10" s="418">
        <f>SUM(N4:N9)</f>
        <v>23</v>
      </c>
      <c r="O10" s="319">
        <f>SUM(O4:O9)</f>
        <v>120</v>
      </c>
      <c r="P10" s="314">
        <f>(Q4*R4)+(Q5*R5)+(Q6*R6)+(Q7*R7)+(Q8*R8)+(Q9*R9)</f>
        <v>490</v>
      </c>
      <c r="Q10" s="418">
        <f>SUM(Q4:Q9)</f>
        <v>22</v>
      </c>
      <c r="R10" s="319">
        <f>SUM(R4:R9)</f>
        <v>100</v>
      </c>
      <c r="S10" s="316"/>
      <c r="T10" s="419">
        <f>D10+G10+J10+M10+P10</f>
        <v>2360</v>
      </c>
      <c r="U10" s="312"/>
      <c r="V10" s="728"/>
      <c r="W10" s="420"/>
      <c r="X10" s="421" t="s">
        <v>813</v>
      </c>
      <c r="Y10" s="314">
        <f>(Z4*AA4)+(Z5*AA5)+(Z6*AA6)+(Z7*AA7)+(Z8*AA8)+(Z9*AA9)</f>
        <v>500</v>
      </c>
      <c r="Z10" s="418">
        <f>SUM(Z4:Z9)</f>
        <v>23</v>
      </c>
      <c r="AA10" s="319">
        <f>SUM(AA4:AA9)</f>
        <v>110</v>
      </c>
      <c r="AB10" s="314">
        <f>(AC4*AD4)+(AC5*AD5)+(AC6*AD6)+(AC7*AD7)+(AC8*AD8)</f>
        <v>610</v>
      </c>
      <c r="AC10" s="418">
        <f>SUM(AC4:AC8)</f>
        <v>24</v>
      </c>
      <c r="AD10" s="319">
        <f>SUM(AD4:AD8)</f>
        <v>120</v>
      </c>
      <c r="AE10" s="314">
        <f>(AF4*AG4)+(AF5*AG5)+(AF6*AG6)+(AF7*AG7)+(AF8*AG8)+(AF9*AG9)</f>
        <v>80</v>
      </c>
      <c r="AF10" s="418">
        <f>SUM(AF4:AF9)</f>
        <v>8</v>
      </c>
      <c r="AG10" s="319">
        <f>SUM(AG4:AG9)</f>
        <v>40</v>
      </c>
      <c r="AH10" s="314">
        <f>(AI4*AJ4)+(AI5*AJ5)+(AI6*AJ6)+(AI7*AJ7)+(AI8*AJ8)+(AI9*AJ9)</f>
        <v>610</v>
      </c>
      <c r="AI10" s="418">
        <f>SUM(AI4:AI9)</f>
        <v>24</v>
      </c>
      <c r="AJ10" s="319">
        <f>SUM(AJ4:AJ9)</f>
        <v>120</v>
      </c>
      <c r="AK10" s="314">
        <f>(AL4*AM4)+(AL5*AM5)+(AL6*AM6)+(AL7*AM7)+(AL8*AM8)+(AL9*AM9)</f>
        <v>210</v>
      </c>
      <c r="AL10" s="418">
        <f>SUM(AL4:AL9)</f>
        <v>15</v>
      </c>
      <c r="AM10" s="319">
        <f>SUM(AM4:AM9)</f>
        <v>55</v>
      </c>
      <c r="AN10" s="422"/>
      <c r="AO10" s="423">
        <f>Y10+AB10+AE10+AH10+AK10</f>
        <v>2010</v>
      </c>
      <c r="AP10" s="311"/>
      <c r="AQ10" s="311"/>
      <c r="AR10" s="376" t="s">
        <v>807</v>
      </c>
      <c r="AS10" s="369">
        <v>2</v>
      </c>
      <c r="AT10" s="370">
        <v>10</v>
      </c>
    </row>
    <row r="11" spans="1:46" ht="50.1" customHeight="1" thickBot="1" x14ac:dyDescent="0.3">
      <c r="A11" s="728"/>
      <c r="B11" s="322" t="s">
        <v>780</v>
      </c>
      <c r="C11" s="421" t="s">
        <v>781</v>
      </c>
      <c r="D11" s="724" t="s">
        <v>782</v>
      </c>
      <c r="E11" s="725"/>
      <c r="F11" s="726"/>
      <c r="G11" s="724" t="s">
        <v>783</v>
      </c>
      <c r="H11" s="725"/>
      <c r="I11" s="726"/>
      <c r="J11" s="724" t="s">
        <v>784</v>
      </c>
      <c r="K11" s="725"/>
      <c r="L11" s="726"/>
      <c r="M11" s="724" t="s">
        <v>785</v>
      </c>
      <c r="N11" s="725"/>
      <c r="O11" s="726"/>
      <c r="P11" s="730" t="s">
        <v>786</v>
      </c>
      <c r="Q11" s="731"/>
      <c r="R11" s="731"/>
      <c r="S11" s="323" t="s">
        <v>780</v>
      </c>
      <c r="T11" s="324" t="s">
        <v>781</v>
      </c>
      <c r="U11" s="312"/>
      <c r="V11" s="728"/>
      <c r="W11" s="322" t="s">
        <v>780</v>
      </c>
      <c r="X11" s="421" t="s">
        <v>781</v>
      </c>
      <c r="Y11" s="730" t="s">
        <v>782</v>
      </c>
      <c r="Z11" s="731"/>
      <c r="AA11" s="732"/>
      <c r="AB11" s="730" t="s">
        <v>783</v>
      </c>
      <c r="AC11" s="731"/>
      <c r="AD11" s="732"/>
      <c r="AE11" s="730" t="s">
        <v>784</v>
      </c>
      <c r="AF11" s="731"/>
      <c r="AG11" s="732"/>
      <c r="AH11" s="730" t="s">
        <v>785</v>
      </c>
      <c r="AI11" s="731"/>
      <c r="AJ11" s="732"/>
      <c r="AK11" s="730" t="s">
        <v>786</v>
      </c>
      <c r="AL11" s="731"/>
      <c r="AM11" s="732"/>
      <c r="AN11" s="424" t="s">
        <v>780</v>
      </c>
      <c r="AO11" s="324" t="s">
        <v>781</v>
      </c>
      <c r="AP11" s="311"/>
      <c r="AQ11" s="311"/>
      <c r="AR11" s="371" t="s">
        <v>806</v>
      </c>
      <c r="AS11" s="369">
        <v>6</v>
      </c>
      <c r="AT11" s="370">
        <v>45</v>
      </c>
    </row>
    <row r="12" spans="1:46" ht="50.1" customHeight="1" thickBot="1" x14ac:dyDescent="0.3">
      <c r="A12" s="728"/>
      <c r="B12" s="425"/>
      <c r="C12" s="426"/>
      <c r="D12" s="760" t="s">
        <v>787</v>
      </c>
      <c r="E12" s="761"/>
      <c r="F12" s="762"/>
      <c r="G12" s="760" t="s">
        <v>787</v>
      </c>
      <c r="H12" s="761"/>
      <c r="I12" s="762"/>
      <c r="J12" s="760" t="s">
        <v>790</v>
      </c>
      <c r="K12" s="761"/>
      <c r="L12" s="762"/>
      <c r="M12" s="760" t="s">
        <v>791</v>
      </c>
      <c r="N12" s="761"/>
      <c r="O12" s="761"/>
      <c r="P12" s="763" t="s">
        <v>814</v>
      </c>
      <c r="Q12" s="764"/>
      <c r="R12" s="765"/>
      <c r="S12" s="429"/>
      <c r="T12" s="428"/>
      <c r="U12" s="312"/>
      <c r="V12" s="728"/>
      <c r="W12" s="314"/>
      <c r="X12" s="315"/>
      <c r="Y12" s="724" t="s">
        <v>787</v>
      </c>
      <c r="Z12" s="725"/>
      <c r="AA12" s="726"/>
      <c r="AB12" s="724" t="s">
        <v>787</v>
      </c>
      <c r="AC12" s="725"/>
      <c r="AD12" s="726"/>
      <c r="AE12" s="724" t="s">
        <v>787</v>
      </c>
      <c r="AF12" s="725"/>
      <c r="AG12" s="726"/>
      <c r="AH12" s="724" t="s">
        <v>790</v>
      </c>
      <c r="AI12" s="725"/>
      <c r="AJ12" s="726"/>
      <c r="AK12" s="724" t="s">
        <v>791</v>
      </c>
      <c r="AL12" s="725"/>
      <c r="AM12" s="726"/>
      <c r="AN12" s="318"/>
      <c r="AO12" s="319"/>
      <c r="AP12" s="311"/>
      <c r="AQ12" s="311"/>
      <c r="AR12" s="379" t="s">
        <v>808</v>
      </c>
      <c r="AS12" s="369">
        <v>4</v>
      </c>
      <c r="AT12" s="370">
        <v>25</v>
      </c>
    </row>
    <row r="13" spans="1:46" ht="50.1" customHeight="1" x14ac:dyDescent="0.25">
      <c r="A13" s="728"/>
      <c r="B13" s="733" t="s">
        <v>794</v>
      </c>
      <c r="C13" s="736" t="s">
        <v>795</v>
      </c>
      <c r="D13" s="325" t="s">
        <v>796</v>
      </c>
      <c r="E13" s="326">
        <v>5</v>
      </c>
      <c r="F13" s="327">
        <v>30</v>
      </c>
      <c r="G13" s="328" t="s">
        <v>797</v>
      </c>
      <c r="H13" s="329">
        <v>3</v>
      </c>
      <c r="I13" s="330">
        <v>10</v>
      </c>
      <c r="J13" s="331" t="s">
        <v>798</v>
      </c>
      <c r="K13" s="332">
        <v>1</v>
      </c>
      <c r="L13" s="333">
        <v>10</v>
      </c>
      <c r="M13" s="328" t="s">
        <v>797</v>
      </c>
      <c r="N13" s="329">
        <v>3</v>
      </c>
      <c r="O13" s="330">
        <v>10</v>
      </c>
      <c r="P13" s="340" t="s">
        <v>796</v>
      </c>
      <c r="Q13" s="341">
        <v>5</v>
      </c>
      <c r="R13" s="342">
        <v>30</v>
      </c>
      <c r="S13" s="751" t="s">
        <v>800</v>
      </c>
      <c r="T13" s="754" t="s">
        <v>800</v>
      </c>
      <c r="U13" s="312"/>
      <c r="V13" s="728"/>
      <c r="W13" s="733" t="s">
        <v>794</v>
      </c>
      <c r="X13" s="757" t="s">
        <v>795</v>
      </c>
      <c r="Y13" s="325" t="s">
        <v>796</v>
      </c>
      <c r="Z13" s="326">
        <v>5</v>
      </c>
      <c r="AA13" s="327">
        <v>30</v>
      </c>
      <c r="AB13" s="328" t="s">
        <v>797</v>
      </c>
      <c r="AC13" s="329">
        <v>3</v>
      </c>
      <c r="AD13" s="330">
        <v>10</v>
      </c>
      <c r="AE13" s="331" t="s">
        <v>798</v>
      </c>
      <c r="AF13" s="332">
        <v>1</v>
      </c>
      <c r="AG13" s="333">
        <v>10</v>
      </c>
      <c r="AH13" s="325" t="s">
        <v>796</v>
      </c>
      <c r="AI13" s="326">
        <v>5</v>
      </c>
      <c r="AJ13" s="327">
        <v>30</v>
      </c>
      <c r="AK13" s="328" t="s">
        <v>797</v>
      </c>
      <c r="AL13" s="329">
        <v>3</v>
      </c>
      <c r="AM13" s="330">
        <v>10</v>
      </c>
      <c r="AN13" s="739" t="s">
        <v>794</v>
      </c>
      <c r="AO13" s="754" t="s">
        <v>800</v>
      </c>
      <c r="AP13" s="311"/>
      <c r="AQ13" s="311"/>
      <c r="AR13" s="352" t="s">
        <v>803</v>
      </c>
      <c r="AS13" s="369">
        <v>4</v>
      </c>
      <c r="AT13" s="370">
        <v>10</v>
      </c>
    </row>
    <row r="14" spans="1:46" ht="50.1" customHeight="1" x14ac:dyDescent="0.25">
      <c r="A14" s="728"/>
      <c r="B14" s="734"/>
      <c r="C14" s="737"/>
      <c r="D14" s="352" t="s">
        <v>803</v>
      </c>
      <c r="E14" s="353">
        <v>4</v>
      </c>
      <c r="F14" s="354">
        <v>10</v>
      </c>
      <c r="G14" s="361" t="s">
        <v>799</v>
      </c>
      <c r="H14" s="362">
        <v>3</v>
      </c>
      <c r="I14" s="363">
        <v>10</v>
      </c>
      <c r="J14" s="358" t="s">
        <v>796</v>
      </c>
      <c r="K14" s="359">
        <v>5</v>
      </c>
      <c r="L14" s="360">
        <v>30</v>
      </c>
      <c r="M14" s="361" t="s">
        <v>799</v>
      </c>
      <c r="N14" s="362">
        <v>3</v>
      </c>
      <c r="O14" s="363">
        <v>10</v>
      </c>
      <c r="P14" s="355" t="s">
        <v>804</v>
      </c>
      <c r="Q14" s="356">
        <v>4</v>
      </c>
      <c r="R14" s="357">
        <v>10</v>
      </c>
      <c r="S14" s="752"/>
      <c r="T14" s="755"/>
      <c r="U14" s="312"/>
      <c r="V14" s="728"/>
      <c r="W14" s="734"/>
      <c r="X14" s="758"/>
      <c r="Y14" s="352" t="s">
        <v>803</v>
      </c>
      <c r="Z14" s="353">
        <v>4</v>
      </c>
      <c r="AA14" s="354">
        <v>10</v>
      </c>
      <c r="AB14" s="361" t="s">
        <v>799</v>
      </c>
      <c r="AC14" s="362">
        <v>3</v>
      </c>
      <c r="AD14" s="363">
        <v>10</v>
      </c>
      <c r="AE14" s="358" t="s">
        <v>796</v>
      </c>
      <c r="AF14" s="359">
        <v>5</v>
      </c>
      <c r="AG14" s="360">
        <v>30</v>
      </c>
      <c r="AH14" s="352" t="s">
        <v>803</v>
      </c>
      <c r="AI14" s="353">
        <v>4</v>
      </c>
      <c r="AJ14" s="354">
        <v>10</v>
      </c>
      <c r="AK14" s="355" t="s">
        <v>804</v>
      </c>
      <c r="AL14" s="356">
        <v>4</v>
      </c>
      <c r="AM14" s="357">
        <v>10</v>
      </c>
      <c r="AN14" s="740"/>
      <c r="AO14" s="755"/>
      <c r="AP14" s="311"/>
      <c r="AQ14" s="311"/>
      <c r="AR14" s="391" t="s">
        <v>815</v>
      </c>
      <c r="AS14" s="369">
        <v>5</v>
      </c>
      <c r="AT14" s="370">
        <v>10</v>
      </c>
    </row>
    <row r="15" spans="1:46" ht="50.1" customHeight="1" x14ac:dyDescent="0.25">
      <c r="A15" s="728"/>
      <c r="B15" s="734"/>
      <c r="C15" s="737"/>
      <c r="D15" s="371" t="s">
        <v>806</v>
      </c>
      <c r="E15" s="372">
        <v>6</v>
      </c>
      <c r="F15" s="373">
        <v>45</v>
      </c>
      <c r="G15" s="355" t="s">
        <v>804</v>
      </c>
      <c r="H15" s="356">
        <v>4</v>
      </c>
      <c r="I15" s="357">
        <v>10</v>
      </c>
      <c r="J15" s="376" t="s">
        <v>807</v>
      </c>
      <c r="K15" s="377">
        <v>2</v>
      </c>
      <c r="L15" s="378">
        <v>10</v>
      </c>
      <c r="M15" s="352" t="s">
        <v>803</v>
      </c>
      <c r="N15" s="353">
        <v>4</v>
      </c>
      <c r="O15" s="354">
        <v>10</v>
      </c>
      <c r="P15" s="368" t="s">
        <v>805</v>
      </c>
      <c r="Q15" s="383">
        <v>4</v>
      </c>
      <c r="R15" s="384">
        <v>25</v>
      </c>
      <c r="S15" s="752"/>
      <c r="T15" s="755"/>
      <c r="U15" s="312"/>
      <c r="V15" s="728"/>
      <c r="W15" s="734"/>
      <c r="X15" s="758"/>
      <c r="Y15" s="371" t="s">
        <v>806</v>
      </c>
      <c r="Z15" s="372">
        <v>6</v>
      </c>
      <c r="AA15" s="373">
        <v>45</v>
      </c>
      <c r="AB15" s="355" t="s">
        <v>804</v>
      </c>
      <c r="AC15" s="356">
        <v>4</v>
      </c>
      <c r="AD15" s="357">
        <v>10</v>
      </c>
      <c r="AE15" s="376" t="s">
        <v>807</v>
      </c>
      <c r="AF15" s="377">
        <v>2</v>
      </c>
      <c r="AG15" s="378">
        <v>10</v>
      </c>
      <c r="AH15" s="371" t="s">
        <v>806</v>
      </c>
      <c r="AI15" s="372">
        <v>6</v>
      </c>
      <c r="AJ15" s="373">
        <v>45</v>
      </c>
      <c r="AK15" s="379" t="s">
        <v>808</v>
      </c>
      <c r="AL15" s="380">
        <v>4</v>
      </c>
      <c r="AM15" s="382">
        <v>25</v>
      </c>
      <c r="AN15" s="740"/>
      <c r="AO15" s="755"/>
      <c r="AP15" s="311"/>
      <c r="AQ15" s="311"/>
      <c r="AR15" s="361" t="s">
        <v>799</v>
      </c>
      <c r="AS15" s="369">
        <v>3</v>
      </c>
      <c r="AT15" s="370">
        <v>10</v>
      </c>
    </row>
    <row r="16" spans="1:46" ht="50.1" customHeight="1" x14ac:dyDescent="0.25">
      <c r="A16" s="728"/>
      <c r="B16" s="734"/>
      <c r="C16" s="737"/>
      <c r="D16" s="379" t="s">
        <v>808</v>
      </c>
      <c r="E16" s="380">
        <v>4</v>
      </c>
      <c r="F16" s="382">
        <v>25</v>
      </c>
      <c r="G16" s="792" t="s">
        <v>802</v>
      </c>
      <c r="H16" s="374">
        <v>6</v>
      </c>
      <c r="I16" s="375">
        <v>45</v>
      </c>
      <c r="J16" s="385"/>
      <c r="K16" s="386"/>
      <c r="L16" s="387"/>
      <c r="M16" s="792" t="s">
        <v>817</v>
      </c>
      <c r="N16" s="374">
        <v>6</v>
      </c>
      <c r="O16" s="375">
        <v>30</v>
      </c>
      <c r="P16" s="388" t="s">
        <v>809</v>
      </c>
      <c r="Q16" s="389">
        <v>4</v>
      </c>
      <c r="R16" s="394">
        <v>10</v>
      </c>
      <c r="S16" s="752"/>
      <c r="T16" s="755"/>
      <c r="U16" s="312"/>
      <c r="V16" s="728"/>
      <c r="W16" s="734"/>
      <c r="X16" s="758"/>
      <c r="Y16" s="379" t="s">
        <v>808</v>
      </c>
      <c r="Z16" s="380">
        <v>4</v>
      </c>
      <c r="AA16" s="382">
        <v>25</v>
      </c>
      <c r="AB16" s="792" t="s">
        <v>802</v>
      </c>
      <c r="AC16" s="374">
        <v>6</v>
      </c>
      <c r="AD16" s="375">
        <v>45</v>
      </c>
      <c r="AE16" s="385"/>
      <c r="AF16" s="386"/>
      <c r="AG16" s="387"/>
      <c r="AH16" s="368" t="s">
        <v>805</v>
      </c>
      <c r="AI16" s="383">
        <v>4</v>
      </c>
      <c r="AJ16" s="384">
        <v>25</v>
      </c>
      <c r="AK16" s="388" t="s">
        <v>809</v>
      </c>
      <c r="AL16" s="389">
        <v>4</v>
      </c>
      <c r="AM16" s="394">
        <v>10</v>
      </c>
      <c r="AN16" s="740"/>
      <c r="AO16" s="755"/>
      <c r="AP16" s="311"/>
      <c r="AQ16" s="311"/>
      <c r="AR16" s="430" t="s">
        <v>798</v>
      </c>
      <c r="AS16" s="369">
        <v>1</v>
      </c>
      <c r="AT16" s="370">
        <v>10</v>
      </c>
    </row>
    <row r="17" spans="1:46" ht="50.1" customHeight="1" thickBot="1" x14ac:dyDescent="0.3">
      <c r="A17" s="728"/>
      <c r="B17" s="734"/>
      <c r="C17" s="737"/>
      <c r="D17" s="391" t="s">
        <v>811</v>
      </c>
      <c r="E17" s="392">
        <v>5</v>
      </c>
      <c r="F17" s="393">
        <v>10</v>
      </c>
      <c r="G17" s="368" t="s">
        <v>805</v>
      </c>
      <c r="H17" s="383">
        <v>4</v>
      </c>
      <c r="I17" s="384">
        <v>25</v>
      </c>
      <c r="J17" s="385"/>
      <c r="K17" s="386"/>
      <c r="L17" s="387"/>
      <c r="M17" s="379" t="s">
        <v>808</v>
      </c>
      <c r="N17" s="380">
        <v>4</v>
      </c>
      <c r="O17" s="382">
        <v>25</v>
      </c>
      <c r="P17" s="431"/>
      <c r="Q17" s="432"/>
      <c r="R17" s="370"/>
      <c r="S17" s="752"/>
      <c r="T17" s="755"/>
      <c r="U17" s="312"/>
      <c r="V17" s="728"/>
      <c r="W17" s="734"/>
      <c r="X17" s="758"/>
      <c r="Y17" s="391" t="s">
        <v>811</v>
      </c>
      <c r="Z17" s="392">
        <v>5</v>
      </c>
      <c r="AA17" s="393">
        <v>10</v>
      </c>
      <c r="AB17" s="368" t="s">
        <v>805</v>
      </c>
      <c r="AC17" s="383">
        <v>4</v>
      </c>
      <c r="AD17" s="384">
        <v>25</v>
      </c>
      <c r="AE17" s="385"/>
      <c r="AF17" s="386"/>
      <c r="AG17" s="387"/>
      <c r="AH17" s="391" t="s">
        <v>811</v>
      </c>
      <c r="AI17" s="392">
        <v>5</v>
      </c>
      <c r="AJ17" s="393">
        <v>10</v>
      </c>
      <c r="AK17" s="397"/>
      <c r="AL17" s="398"/>
      <c r="AM17" s="433"/>
      <c r="AN17" s="740"/>
      <c r="AO17" s="755"/>
      <c r="AP17" s="311"/>
      <c r="AQ17" s="311"/>
      <c r="AR17" s="434" t="s">
        <v>801</v>
      </c>
      <c r="AS17" s="435">
        <v>2</v>
      </c>
      <c r="AT17" s="436">
        <v>10</v>
      </c>
    </row>
    <row r="18" spans="1:46" ht="50.1" customHeight="1" thickBot="1" x14ac:dyDescent="0.3">
      <c r="A18" s="729"/>
      <c r="B18" s="735"/>
      <c r="C18" s="738"/>
      <c r="D18" s="401"/>
      <c r="E18" s="402"/>
      <c r="F18" s="403"/>
      <c r="G18" s="437" t="s">
        <v>809</v>
      </c>
      <c r="H18" s="438">
        <v>4</v>
      </c>
      <c r="I18" s="439">
        <v>10</v>
      </c>
      <c r="J18" s="404"/>
      <c r="K18" s="405"/>
      <c r="L18" s="406"/>
      <c r="M18" s="391" t="s">
        <v>811</v>
      </c>
      <c r="N18" s="392">
        <v>5</v>
      </c>
      <c r="O18" s="393">
        <v>10</v>
      </c>
      <c r="P18" s="440"/>
      <c r="Q18" s="441"/>
      <c r="R18" s="436"/>
      <c r="S18" s="753"/>
      <c r="T18" s="756"/>
      <c r="U18" s="312"/>
      <c r="V18" s="729"/>
      <c r="W18" s="735"/>
      <c r="X18" s="759"/>
      <c r="Y18" s="401"/>
      <c r="Z18" s="402"/>
      <c r="AA18" s="403"/>
      <c r="AB18" s="437" t="s">
        <v>809</v>
      </c>
      <c r="AC18" s="438">
        <v>4</v>
      </c>
      <c r="AD18" s="439">
        <v>10</v>
      </c>
      <c r="AE18" s="404"/>
      <c r="AF18" s="405"/>
      <c r="AG18" s="406"/>
      <c r="AH18" s="401"/>
      <c r="AI18" s="402"/>
      <c r="AJ18" s="403"/>
      <c r="AK18" s="401"/>
      <c r="AL18" s="402"/>
      <c r="AM18" s="403"/>
      <c r="AN18" s="741"/>
      <c r="AO18" s="756"/>
      <c r="AP18" s="311"/>
      <c r="AQ18" s="311"/>
      <c r="AR18" s="311"/>
      <c r="AS18" s="311"/>
      <c r="AT18" s="312"/>
    </row>
    <row r="19" spans="1:46" ht="50.1" customHeight="1" thickBot="1" x14ac:dyDescent="0.3">
      <c r="A19" s="320"/>
      <c r="B19" s="351"/>
      <c r="C19" s="421" t="s">
        <v>813</v>
      </c>
      <c r="D19" s="322">
        <f>(E13*F13)+(E14*F14)+(E16*F16)+(E17*F17)+(E18*F18)</f>
        <v>340</v>
      </c>
      <c r="E19" s="323">
        <f>SUM(E13:E18)</f>
        <v>24</v>
      </c>
      <c r="F19" s="324">
        <f>SUM(F13:F18)</f>
        <v>120</v>
      </c>
      <c r="G19" s="322">
        <f>(H13*I13)+(H14*I14)+(H16*I16)+(H17*I17)</f>
        <v>430</v>
      </c>
      <c r="H19" s="323">
        <f>SUM(H13:H17)</f>
        <v>20</v>
      </c>
      <c r="I19" s="324">
        <f>SUM(I13:I17)</f>
        <v>100</v>
      </c>
      <c r="J19" s="322">
        <f>(K13*L13)+(K14*L14)+(K16*L16)+(K17*L17)+(K18*L18)</f>
        <v>160</v>
      </c>
      <c r="K19" s="323">
        <f>SUM(K13:K18)</f>
        <v>8</v>
      </c>
      <c r="L19" s="324">
        <f>SUM(L13:L18)</f>
        <v>50</v>
      </c>
      <c r="M19" s="322">
        <f>(N13*O13)+(N14*O14)+(N15*O15)+(N16*O16)+(N17*O17)+(N18*O18)</f>
        <v>430</v>
      </c>
      <c r="N19" s="323">
        <f>SUM(N13:N18)</f>
        <v>25</v>
      </c>
      <c r="O19" s="324">
        <f>SUM(O13:O18)</f>
        <v>95</v>
      </c>
      <c r="P19" s="322">
        <f>(Q13*R13)+(Q14*R14)+(Q16*R16)+(Q17*R17)+(Q18*R18)</f>
        <v>230</v>
      </c>
      <c r="Q19" s="323">
        <f>SUM(Q13:Q18)</f>
        <v>17</v>
      </c>
      <c r="R19" s="324">
        <f>SUM(R13:R18)</f>
        <v>75</v>
      </c>
      <c r="S19" s="321"/>
      <c r="T19" s="443">
        <f>D19+G19+J19+M19+P19</f>
        <v>1590</v>
      </c>
      <c r="U19" s="312"/>
      <c r="V19" s="444"/>
      <c r="W19" s="445"/>
      <c r="X19" s="421" t="s">
        <v>813</v>
      </c>
      <c r="Y19" s="322">
        <f>(Z13*AA13)+(Z14*AA14)+(Z16*AA16)+(Z17*AA17)+(Z18*AA18)</f>
        <v>340</v>
      </c>
      <c r="Z19" s="323">
        <f>SUM(Z13:Z18)</f>
        <v>24</v>
      </c>
      <c r="AA19" s="324">
        <f>SUM(AA13:AA18)</f>
        <v>120</v>
      </c>
      <c r="AB19" s="322">
        <f>(AC13*AD13)+(AC14*AD14)+(AC16*AD16)+(AC17*AD17)</f>
        <v>430</v>
      </c>
      <c r="AC19" s="323">
        <f>SUM(AC13:AC17)</f>
        <v>20</v>
      </c>
      <c r="AD19" s="324">
        <f>SUM(AD13:AD17)</f>
        <v>100</v>
      </c>
      <c r="AE19" s="322">
        <f>(AF13*AG13)+(AF14*AG14)+(AF16*AG16)+(AF17*AG17)+(AF18*AG18)</f>
        <v>160</v>
      </c>
      <c r="AF19" s="323">
        <f>SUM(AF13:AF18)</f>
        <v>8</v>
      </c>
      <c r="AG19" s="324">
        <f>SUM(AG13:AG18)</f>
        <v>50</v>
      </c>
      <c r="AH19" s="322">
        <f>(AI13*AJ13)+(AI14*AJ14)+(AI16*AJ16)+(AI17*AJ17)+(AI18*AJ18)</f>
        <v>340</v>
      </c>
      <c r="AI19" s="323">
        <f>SUM(AI13:AI18)</f>
        <v>24</v>
      </c>
      <c r="AJ19" s="324">
        <f>SUM(AJ13:AJ18)</f>
        <v>120</v>
      </c>
      <c r="AK19" s="322">
        <f>(AL13*AM13)+(AL14*AM14)+(AL16*AM16)+(AL17*AM17)+(AL18*AM18)</f>
        <v>110</v>
      </c>
      <c r="AL19" s="323">
        <f>SUM(AL13:AL18)</f>
        <v>15</v>
      </c>
      <c r="AM19" s="324">
        <f>SUM(AM13:AM18)</f>
        <v>55</v>
      </c>
      <c r="AN19" s="446"/>
      <c r="AO19" s="423">
        <f>Y19+AB19+AE19+AH19+AK19</f>
        <v>1380</v>
      </c>
      <c r="AP19" s="311"/>
      <c r="AQ19" s="311"/>
      <c r="AR19" s="311"/>
      <c r="AS19" s="311"/>
      <c r="AT19" s="312"/>
    </row>
    <row r="20" spans="1:46" ht="50.1" customHeight="1" thickBot="1" x14ac:dyDescent="0.3">
      <c r="A20" s="320"/>
      <c r="B20" s="766"/>
      <c r="C20" s="767"/>
      <c r="D20" s="767"/>
      <c r="E20" s="767"/>
      <c r="F20" s="767"/>
      <c r="G20" s="767"/>
      <c r="H20" s="767"/>
      <c r="I20" s="767"/>
      <c r="J20" s="767"/>
      <c r="K20" s="767"/>
      <c r="L20" s="767"/>
      <c r="M20" s="767"/>
      <c r="N20" s="767"/>
      <c r="O20" s="767"/>
      <c r="P20" s="767"/>
      <c r="Q20" s="767"/>
      <c r="R20" s="767"/>
      <c r="S20" s="767"/>
      <c r="T20" s="768"/>
      <c r="U20" s="312"/>
      <c r="V20" s="447"/>
      <c r="W20" s="769"/>
      <c r="X20" s="770"/>
      <c r="Y20" s="771"/>
      <c r="Z20" s="771"/>
      <c r="AA20" s="771"/>
      <c r="AB20" s="771"/>
      <c r="AC20" s="771"/>
      <c r="AD20" s="771"/>
      <c r="AE20" s="771"/>
      <c r="AF20" s="771"/>
      <c r="AG20" s="771"/>
      <c r="AH20" s="771"/>
      <c r="AI20" s="771"/>
      <c r="AJ20" s="771"/>
      <c r="AK20" s="771"/>
      <c r="AL20" s="771"/>
      <c r="AM20" s="771"/>
      <c r="AN20" s="770"/>
      <c r="AO20" s="772"/>
      <c r="AP20" s="311"/>
      <c r="AQ20" s="311"/>
      <c r="AR20" s="311"/>
      <c r="AS20" s="311"/>
      <c r="AT20" s="312"/>
    </row>
    <row r="21" spans="1:46" ht="50.1" customHeight="1" thickBot="1" x14ac:dyDescent="0.3">
      <c r="A21" s="727" t="s">
        <v>779</v>
      </c>
      <c r="B21" s="314" t="s">
        <v>780</v>
      </c>
      <c r="C21" s="315" t="s">
        <v>781</v>
      </c>
      <c r="D21" s="730" t="s">
        <v>782</v>
      </c>
      <c r="E21" s="731"/>
      <c r="F21" s="732"/>
      <c r="G21" s="730" t="s">
        <v>783</v>
      </c>
      <c r="H21" s="731"/>
      <c r="I21" s="732"/>
      <c r="J21" s="730" t="s">
        <v>784</v>
      </c>
      <c r="K21" s="731"/>
      <c r="L21" s="732"/>
      <c r="M21" s="730" t="s">
        <v>785</v>
      </c>
      <c r="N21" s="731"/>
      <c r="O21" s="732"/>
      <c r="P21" s="730" t="s">
        <v>786</v>
      </c>
      <c r="Q21" s="731"/>
      <c r="R21" s="732"/>
      <c r="S21" s="318" t="s">
        <v>780</v>
      </c>
      <c r="T21" s="319" t="s">
        <v>781</v>
      </c>
      <c r="U21" s="312"/>
      <c r="V21" s="727" t="s">
        <v>779</v>
      </c>
      <c r="W21" s="322" t="s">
        <v>780</v>
      </c>
      <c r="X21" s="421" t="s">
        <v>781</v>
      </c>
      <c r="Y21" s="730" t="s">
        <v>782</v>
      </c>
      <c r="Z21" s="731"/>
      <c r="AA21" s="732"/>
      <c r="AB21" s="730" t="s">
        <v>783</v>
      </c>
      <c r="AC21" s="731"/>
      <c r="AD21" s="732"/>
      <c r="AE21" s="730" t="s">
        <v>784</v>
      </c>
      <c r="AF21" s="731"/>
      <c r="AG21" s="732"/>
      <c r="AH21" s="730" t="s">
        <v>785</v>
      </c>
      <c r="AI21" s="731"/>
      <c r="AJ21" s="732"/>
      <c r="AK21" s="730" t="s">
        <v>786</v>
      </c>
      <c r="AL21" s="731"/>
      <c r="AM21" s="732"/>
      <c r="AN21" s="424" t="s">
        <v>780</v>
      </c>
      <c r="AO21" s="324" t="s">
        <v>781</v>
      </c>
      <c r="AP21" s="311"/>
      <c r="AQ21" s="311"/>
      <c r="AR21" s="311"/>
      <c r="AS21" s="311"/>
      <c r="AT21" s="312"/>
    </row>
    <row r="22" spans="1:46" ht="50.1" customHeight="1" thickBot="1" x14ac:dyDescent="0.3">
      <c r="A22" s="728"/>
      <c r="B22" s="314"/>
      <c r="C22" s="315"/>
      <c r="D22" s="730" t="s">
        <v>816</v>
      </c>
      <c r="E22" s="731"/>
      <c r="F22" s="732"/>
      <c r="G22" s="730" t="s">
        <v>788</v>
      </c>
      <c r="H22" s="731"/>
      <c r="I22" s="732"/>
      <c r="J22" s="730" t="s">
        <v>789</v>
      </c>
      <c r="K22" s="731"/>
      <c r="L22" s="732"/>
      <c r="M22" s="730" t="s">
        <v>787</v>
      </c>
      <c r="N22" s="731"/>
      <c r="O22" s="732"/>
      <c r="P22" s="730" t="s">
        <v>787</v>
      </c>
      <c r="Q22" s="731"/>
      <c r="R22" s="732"/>
      <c r="S22" s="318"/>
      <c r="T22" s="317"/>
      <c r="U22" s="312"/>
      <c r="V22" s="728"/>
      <c r="W22" s="314"/>
      <c r="X22" s="315"/>
      <c r="Y22" s="730" t="s">
        <v>788</v>
      </c>
      <c r="Z22" s="731"/>
      <c r="AA22" s="732"/>
      <c r="AB22" s="730" t="s">
        <v>789</v>
      </c>
      <c r="AC22" s="731"/>
      <c r="AD22" s="732"/>
      <c r="AE22" s="730" t="s">
        <v>791</v>
      </c>
      <c r="AF22" s="731"/>
      <c r="AG22" s="732"/>
      <c r="AH22" s="730" t="s">
        <v>814</v>
      </c>
      <c r="AI22" s="731"/>
      <c r="AJ22" s="732"/>
      <c r="AK22" s="724"/>
      <c r="AL22" s="725"/>
      <c r="AM22" s="726"/>
      <c r="AN22" s="318"/>
      <c r="AO22" s="319"/>
      <c r="AP22" s="311"/>
      <c r="AQ22" s="311"/>
      <c r="AR22" s="311"/>
      <c r="AS22" s="311"/>
      <c r="AT22" s="312"/>
    </row>
    <row r="23" spans="1:46" ht="50.1" customHeight="1" x14ac:dyDescent="0.25">
      <c r="A23" s="728"/>
      <c r="B23" s="742" t="s">
        <v>800</v>
      </c>
      <c r="C23" s="754" t="s">
        <v>800</v>
      </c>
      <c r="D23" s="331" t="s">
        <v>798</v>
      </c>
      <c r="E23" s="332">
        <v>1</v>
      </c>
      <c r="F23" s="333">
        <v>10</v>
      </c>
      <c r="G23" s="773" t="s">
        <v>795</v>
      </c>
      <c r="H23" s="773"/>
      <c r="I23" s="773"/>
      <c r="J23" s="328" t="s">
        <v>797</v>
      </c>
      <c r="K23" s="329">
        <v>3</v>
      </c>
      <c r="L23" s="330">
        <v>10</v>
      </c>
      <c r="M23" s="331" t="s">
        <v>798</v>
      </c>
      <c r="N23" s="448">
        <v>1</v>
      </c>
      <c r="O23" s="333">
        <v>10</v>
      </c>
      <c r="P23" s="328" t="s">
        <v>797</v>
      </c>
      <c r="Q23" s="329">
        <v>3</v>
      </c>
      <c r="R23" s="330">
        <v>10</v>
      </c>
      <c r="S23" s="739" t="s">
        <v>794</v>
      </c>
      <c r="T23" s="736" t="s">
        <v>795</v>
      </c>
      <c r="U23" s="312"/>
      <c r="V23" s="728"/>
      <c r="W23" s="742" t="s">
        <v>800</v>
      </c>
      <c r="X23" s="736" t="s">
        <v>795</v>
      </c>
      <c r="Y23" s="334" t="s">
        <v>799</v>
      </c>
      <c r="Z23" s="335">
        <v>3</v>
      </c>
      <c r="AA23" s="336">
        <v>10</v>
      </c>
      <c r="AB23" s="328" t="s">
        <v>797</v>
      </c>
      <c r="AC23" s="329">
        <v>3</v>
      </c>
      <c r="AD23" s="330">
        <v>10</v>
      </c>
      <c r="AE23" s="331" t="s">
        <v>798</v>
      </c>
      <c r="AF23" s="332">
        <v>1</v>
      </c>
      <c r="AG23" s="333">
        <v>10</v>
      </c>
      <c r="AH23" s="449" t="s">
        <v>796</v>
      </c>
      <c r="AI23" s="326">
        <v>5</v>
      </c>
      <c r="AJ23" s="327">
        <v>30</v>
      </c>
      <c r="AK23" s="751" t="s">
        <v>800</v>
      </c>
      <c r="AL23" s="751"/>
      <c r="AM23" s="751"/>
      <c r="AN23" s="776" t="s">
        <v>800</v>
      </c>
      <c r="AO23" s="779" t="s">
        <v>800</v>
      </c>
      <c r="AP23" s="311"/>
      <c r="AQ23" s="311"/>
      <c r="AR23" s="311"/>
      <c r="AS23" s="311"/>
      <c r="AT23" s="312"/>
    </row>
    <row r="24" spans="1:46" ht="50.1" customHeight="1" x14ac:dyDescent="0.25">
      <c r="A24" s="728"/>
      <c r="B24" s="743"/>
      <c r="C24" s="755"/>
      <c r="D24" s="364" t="s">
        <v>801</v>
      </c>
      <c r="E24" s="365">
        <v>2</v>
      </c>
      <c r="F24" s="366">
        <v>10</v>
      </c>
      <c r="G24" s="774"/>
      <c r="H24" s="774"/>
      <c r="I24" s="774"/>
      <c r="J24" s="361" t="s">
        <v>799</v>
      </c>
      <c r="K24" s="362">
        <v>3</v>
      </c>
      <c r="L24" s="363">
        <v>10</v>
      </c>
      <c r="M24" s="358" t="s">
        <v>796</v>
      </c>
      <c r="N24" s="450">
        <v>5</v>
      </c>
      <c r="O24" s="360">
        <v>30</v>
      </c>
      <c r="P24" s="361" t="s">
        <v>799</v>
      </c>
      <c r="Q24" s="362">
        <v>3</v>
      </c>
      <c r="R24" s="363">
        <v>10</v>
      </c>
      <c r="S24" s="740"/>
      <c r="T24" s="737"/>
      <c r="U24" s="312"/>
      <c r="V24" s="728"/>
      <c r="W24" s="743"/>
      <c r="X24" s="737"/>
      <c r="Y24" s="355" t="s">
        <v>804</v>
      </c>
      <c r="Z24" s="356">
        <v>4</v>
      </c>
      <c r="AA24" s="357">
        <v>10</v>
      </c>
      <c r="AB24" s="361" t="s">
        <v>799</v>
      </c>
      <c r="AC24" s="362">
        <v>3</v>
      </c>
      <c r="AD24" s="363">
        <v>10</v>
      </c>
      <c r="AE24" s="358" t="s">
        <v>796</v>
      </c>
      <c r="AF24" s="359">
        <v>5</v>
      </c>
      <c r="AG24" s="360">
        <v>30</v>
      </c>
      <c r="AH24" s="451" t="s">
        <v>804</v>
      </c>
      <c r="AI24" s="356">
        <v>4</v>
      </c>
      <c r="AJ24" s="357">
        <v>10</v>
      </c>
      <c r="AK24" s="752"/>
      <c r="AL24" s="752"/>
      <c r="AM24" s="752"/>
      <c r="AN24" s="777"/>
      <c r="AO24" s="780"/>
      <c r="AP24" s="311"/>
      <c r="AQ24" s="311"/>
      <c r="AR24" s="311"/>
      <c r="AS24" s="311"/>
      <c r="AT24" s="312"/>
    </row>
    <row r="25" spans="1:46" ht="50.1" customHeight="1" x14ac:dyDescent="0.25">
      <c r="A25" s="728"/>
      <c r="B25" s="743"/>
      <c r="C25" s="755"/>
      <c r="D25" s="400" t="s">
        <v>797</v>
      </c>
      <c r="E25" s="452">
        <v>3</v>
      </c>
      <c r="F25" s="453">
        <v>10</v>
      </c>
      <c r="G25" s="774"/>
      <c r="H25" s="774"/>
      <c r="I25" s="774"/>
      <c r="J25" s="352" t="s">
        <v>803</v>
      </c>
      <c r="K25" s="353">
        <v>4</v>
      </c>
      <c r="L25" s="354">
        <v>10</v>
      </c>
      <c r="M25" s="376" t="s">
        <v>807</v>
      </c>
      <c r="N25" s="454">
        <v>2</v>
      </c>
      <c r="O25" s="378">
        <v>10</v>
      </c>
      <c r="P25" s="355" t="s">
        <v>804</v>
      </c>
      <c r="Q25" s="356">
        <v>4</v>
      </c>
      <c r="R25" s="357">
        <v>10</v>
      </c>
      <c r="S25" s="740"/>
      <c r="T25" s="737"/>
      <c r="U25" s="312"/>
      <c r="V25" s="728"/>
      <c r="W25" s="743"/>
      <c r="X25" s="737"/>
      <c r="Y25" s="792" t="s">
        <v>802</v>
      </c>
      <c r="Z25" s="374">
        <v>6</v>
      </c>
      <c r="AA25" s="375">
        <v>45</v>
      </c>
      <c r="AB25" s="352" t="s">
        <v>803</v>
      </c>
      <c r="AC25" s="353">
        <v>4</v>
      </c>
      <c r="AD25" s="354">
        <v>10</v>
      </c>
      <c r="AE25" s="376" t="s">
        <v>807</v>
      </c>
      <c r="AF25" s="377">
        <v>2</v>
      </c>
      <c r="AG25" s="378">
        <v>10</v>
      </c>
      <c r="AH25" s="368" t="s">
        <v>805</v>
      </c>
      <c r="AI25" s="383">
        <v>4</v>
      </c>
      <c r="AJ25" s="384">
        <v>25</v>
      </c>
      <c r="AK25" s="752"/>
      <c r="AL25" s="752"/>
      <c r="AM25" s="752"/>
      <c r="AN25" s="777"/>
      <c r="AO25" s="780"/>
      <c r="AP25" s="311"/>
      <c r="AQ25" s="311"/>
      <c r="AR25" s="311"/>
      <c r="AS25" s="311"/>
      <c r="AT25" s="312"/>
    </row>
    <row r="26" spans="1:46" ht="50.1" customHeight="1" x14ac:dyDescent="0.25">
      <c r="A26" s="728"/>
      <c r="B26" s="743"/>
      <c r="C26" s="755"/>
      <c r="D26" s="379" t="s">
        <v>808</v>
      </c>
      <c r="E26" s="380">
        <v>4</v>
      </c>
      <c r="F26" s="382">
        <v>25</v>
      </c>
      <c r="G26" s="774"/>
      <c r="H26" s="774"/>
      <c r="I26" s="774"/>
      <c r="J26" s="371" t="s">
        <v>806</v>
      </c>
      <c r="K26" s="372">
        <v>6</v>
      </c>
      <c r="L26" s="373">
        <v>45</v>
      </c>
      <c r="M26" s="397"/>
      <c r="N26" s="399"/>
      <c r="O26" s="433"/>
      <c r="P26" s="792" t="s">
        <v>802</v>
      </c>
      <c r="Q26" s="374">
        <v>6</v>
      </c>
      <c r="R26" s="375">
        <v>45</v>
      </c>
      <c r="S26" s="740"/>
      <c r="T26" s="737"/>
      <c r="U26" s="312"/>
      <c r="V26" s="728"/>
      <c r="W26" s="743"/>
      <c r="X26" s="737"/>
      <c r="Y26" s="368" t="s">
        <v>805</v>
      </c>
      <c r="Z26" s="383">
        <v>4</v>
      </c>
      <c r="AA26" s="384">
        <v>25</v>
      </c>
      <c r="AB26" s="371" t="s">
        <v>806</v>
      </c>
      <c r="AC26" s="372">
        <v>6</v>
      </c>
      <c r="AD26" s="373">
        <v>45</v>
      </c>
      <c r="AE26" s="395"/>
      <c r="AF26" s="369"/>
      <c r="AG26" s="396"/>
      <c r="AH26" s="455"/>
      <c r="AI26" s="369"/>
      <c r="AJ26" s="396"/>
      <c r="AK26" s="752"/>
      <c r="AL26" s="752"/>
      <c r="AM26" s="752"/>
      <c r="AN26" s="777"/>
      <c r="AO26" s="780"/>
      <c r="AP26" s="311"/>
      <c r="AQ26" s="311"/>
      <c r="AR26" s="311"/>
      <c r="AS26" s="311"/>
      <c r="AT26" s="312"/>
    </row>
    <row r="27" spans="1:46" ht="50.1" customHeight="1" x14ac:dyDescent="0.25">
      <c r="A27" s="728"/>
      <c r="B27" s="743"/>
      <c r="C27" s="755"/>
      <c r="D27" s="385"/>
      <c r="E27" s="386"/>
      <c r="F27" s="387"/>
      <c r="G27" s="774"/>
      <c r="H27" s="774"/>
      <c r="I27" s="774"/>
      <c r="J27" s="379" t="s">
        <v>808</v>
      </c>
      <c r="K27" s="380">
        <v>4</v>
      </c>
      <c r="L27" s="382">
        <v>25</v>
      </c>
      <c r="M27" s="397"/>
      <c r="N27" s="399"/>
      <c r="O27" s="433"/>
      <c r="P27" s="368" t="s">
        <v>805</v>
      </c>
      <c r="Q27" s="383">
        <v>4</v>
      </c>
      <c r="R27" s="384">
        <v>25</v>
      </c>
      <c r="S27" s="740"/>
      <c r="T27" s="737"/>
      <c r="U27" s="312"/>
      <c r="V27" s="728"/>
      <c r="W27" s="743"/>
      <c r="X27" s="737"/>
      <c r="Y27" s="388" t="s">
        <v>809</v>
      </c>
      <c r="Z27" s="389">
        <v>4</v>
      </c>
      <c r="AA27" s="394">
        <v>10</v>
      </c>
      <c r="AB27" s="379" t="s">
        <v>808</v>
      </c>
      <c r="AC27" s="380">
        <v>4</v>
      </c>
      <c r="AD27" s="382">
        <v>25</v>
      </c>
      <c r="AE27" s="397"/>
      <c r="AF27" s="398"/>
      <c r="AG27" s="433"/>
      <c r="AH27" s="456"/>
      <c r="AI27" s="386"/>
      <c r="AJ27" s="387"/>
      <c r="AK27" s="752"/>
      <c r="AL27" s="752"/>
      <c r="AM27" s="752"/>
      <c r="AN27" s="777"/>
      <c r="AO27" s="780"/>
      <c r="AP27" s="311"/>
      <c r="AQ27" s="311"/>
      <c r="AR27" s="311"/>
      <c r="AS27" s="311"/>
      <c r="AT27" s="312"/>
    </row>
    <row r="28" spans="1:46" ht="50.1" customHeight="1" thickBot="1" x14ac:dyDescent="0.3">
      <c r="A28" s="728"/>
      <c r="B28" s="744"/>
      <c r="C28" s="756"/>
      <c r="D28" s="440"/>
      <c r="E28" s="441"/>
      <c r="F28" s="436"/>
      <c r="G28" s="775"/>
      <c r="H28" s="775"/>
      <c r="I28" s="775"/>
      <c r="J28" s="457" t="s">
        <v>811</v>
      </c>
      <c r="K28" s="458">
        <v>5</v>
      </c>
      <c r="L28" s="459">
        <v>5</v>
      </c>
      <c r="M28" s="401"/>
      <c r="N28" s="460"/>
      <c r="O28" s="403"/>
      <c r="P28" s="437" t="s">
        <v>809</v>
      </c>
      <c r="Q28" s="438">
        <v>4</v>
      </c>
      <c r="R28" s="439">
        <v>10</v>
      </c>
      <c r="S28" s="741"/>
      <c r="T28" s="738"/>
      <c r="U28" s="312"/>
      <c r="V28" s="728"/>
      <c r="W28" s="744"/>
      <c r="X28" s="738"/>
      <c r="Y28" s="461"/>
      <c r="Z28" s="435"/>
      <c r="AA28" s="462"/>
      <c r="AB28" s="457" t="s">
        <v>811</v>
      </c>
      <c r="AC28" s="458">
        <v>5</v>
      </c>
      <c r="AD28" s="459">
        <v>10</v>
      </c>
      <c r="AE28" s="401"/>
      <c r="AF28" s="402"/>
      <c r="AG28" s="403"/>
      <c r="AH28" s="463"/>
      <c r="AI28" s="464"/>
      <c r="AJ28" s="465"/>
      <c r="AK28" s="752"/>
      <c r="AL28" s="752"/>
      <c r="AM28" s="752"/>
      <c r="AN28" s="778"/>
      <c r="AO28" s="781"/>
      <c r="AP28" s="311"/>
      <c r="AQ28" s="311"/>
      <c r="AR28" s="311"/>
      <c r="AS28" s="311"/>
      <c r="AT28" s="312"/>
    </row>
    <row r="29" spans="1:46" ht="50.1" customHeight="1" thickBot="1" x14ac:dyDescent="0.3">
      <c r="A29" s="728"/>
      <c r="B29" s="351"/>
      <c r="C29" s="421" t="s">
        <v>813</v>
      </c>
      <c r="D29" s="466">
        <f>(E23*F23)+(E24*F24)+(E25*F25)+(E26*F26)+(E27*F27)+(E28*F28)</f>
        <v>160</v>
      </c>
      <c r="E29" s="467">
        <f>SUM(E23:E28)</f>
        <v>10</v>
      </c>
      <c r="F29" s="468">
        <f>SUM(F23:F28)</f>
        <v>55</v>
      </c>
      <c r="G29" s="322">
        <f>(H23*I23)+(H24*I24)+(H25*I25)+(H26*I26)+(H27*I27)</f>
        <v>0</v>
      </c>
      <c r="H29" s="323">
        <f>SUM(H23:H27)</f>
        <v>0</v>
      </c>
      <c r="I29" s="324">
        <f>SUM(I23:I27)</f>
        <v>0</v>
      </c>
      <c r="J29" s="466">
        <f>(K23*L23)+(K24*L24)+(K25*L25)+(K26*L26)+(K27*L27)+(K28*L28)</f>
        <v>495</v>
      </c>
      <c r="K29" s="467">
        <f>SUM(K23:K28)</f>
        <v>25</v>
      </c>
      <c r="L29" s="468">
        <f>SUM(L23:L28)</f>
        <v>105</v>
      </c>
      <c r="M29" s="322">
        <f>(N23*O23)+(N24*O24)+(N25*O25)+(N26*O26)+(N27*O27)+(N28*O28)</f>
        <v>180</v>
      </c>
      <c r="N29" s="323">
        <f>SUM(N23:N28)</f>
        <v>8</v>
      </c>
      <c r="O29" s="324">
        <f>SUM(O23:O28)</f>
        <v>50</v>
      </c>
      <c r="P29" s="466">
        <f>(Q23*R23)+(Q24*R24)+(Q25*R25)+(Q26*R26)+(Q27*R27)+(Q28*R28)</f>
        <v>510</v>
      </c>
      <c r="Q29" s="467">
        <f>SUM(Q23:Q28)</f>
        <v>24</v>
      </c>
      <c r="R29" s="468">
        <f>SUM(R23:R28)</f>
        <v>110</v>
      </c>
      <c r="S29" s="321"/>
      <c r="T29" s="443">
        <f>D29+G29+J29+M29+P29</f>
        <v>1345</v>
      </c>
      <c r="U29" s="312"/>
      <c r="V29" s="728"/>
      <c r="W29" s="407"/>
      <c r="X29" s="421" t="s">
        <v>813</v>
      </c>
      <c r="Y29" s="322">
        <f>(Z23*AA23)+(Z24*AA24)+(Z25*AA25)+(Z26*AA26)+(Z27*AA27)+(Z28*AA28)</f>
        <v>480</v>
      </c>
      <c r="Z29" s="323">
        <f>SUM(Z23:Z28)</f>
        <v>21</v>
      </c>
      <c r="AA29" s="324">
        <f>SUM(AA23:AA28)</f>
        <v>100</v>
      </c>
      <c r="AB29" s="322">
        <f>(AC23*AD23)+(AC24*AD24)+(AC25*AD25)+(AC26*AD26)+(AC27*AD27)</f>
        <v>470</v>
      </c>
      <c r="AC29" s="323">
        <f>SUM(AC23:AC27)</f>
        <v>20</v>
      </c>
      <c r="AD29" s="324">
        <f>SUM(AD23:AD27)</f>
        <v>100</v>
      </c>
      <c r="AE29" s="322">
        <f>(AF23*AG23)+(AF24*AG24)+(AF25*AG25)+(AF26*AG26)+(AF27*AG27)+(AF28*AG28)</f>
        <v>180</v>
      </c>
      <c r="AF29" s="323">
        <f>SUM(AF23:AF28)</f>
        <v>8</v>
      </c>
      <c r="AG29" s="324">
        <f>SUM(AG23:AG28)</f>
        <v>50</v>
      </c>
      <c r="AH29" s="322">
        <f>(AI23*AJ23)+(AI24*AJ24)+(AI25*AJ25)+(AI26*AJ26)+(AI27*AJ27)+(AI28*AJ28)</f>
        <v>290</v>
      </c>
      <c r="AI29" s="323">
        <f>SUM(AI23:AI28)</f>
        <v>13</v>
      </c>
      <c r="AJ29" s="421">
        <f>SUM(AJ23:AJ28)</f>
        <v>65</v>
      </c>
      <c r="AK29" s="469">
        <f>(AL23*AM23)+(AL24*AM24)+(AL25*AM25)+(AL26*AM26)+(AL27*AM27)+(AL28*AM28)</f>
        <v>0</v>
      </c>
      <c r="AL29" s="470">
        <f>SUM(AL23:AL28)</f>
        <v>0</v>
      </c>
      <c r="AM29" s="470">
        <f>SUM(AM23:AM28)</f>
        <v>0</v>
      </c>
      <c r="AN29" s="471"/>
      <c r="AO29" s="442">
        <f>Y29+AB29+AE29+AH29+AK29</f>
        <v>1420</v>
      </c>
      <c r="AP29" s="311"/>
      <c r="AQ29" s="311"/>
      <c r="AR29" s="311"/>
      <c r="AS29" s="311"/>
      <c r="AT29" s="312"/>
    </row>
    <row r="30" spans="1:46" ht="50.1" customHeight="1" thickBot="1" x14ac:dyDescent="0.3">
      <c r="A30" s="728"/>
      <c r="B30" s="314" t="s">
        <v>780</v>
      </c>
      <c r="C30" s="315" t="s">
        <v>781</v>
      </c>
      <c r="D30" s="730" t="s">
        <v>782</v>
      </c>
      <c r="E30" s="731"/>
      <c r="F30" s="732"/>
      <c r="G30" s="730" t="s">
        <v>783</v>
      </c>
      <c r="H30" s="731"/>
      <c r="I30" s="732"/>
      <c r="J30" s="730" t="s">
        <v>784</v>
      </c>
      <c r="K30" s="731"/>
      <c r="L30" s="732"/>
      <c r="M30" s="730" t="s">
        <v>785</v>
      </c>
      <c r="N30" s="731"/>
      <c r="O30" s="732"/>
      <c r="P30" s="730" t="s">
        <v>786</v>
      </c>
      <c r="Q30" s="731"/>
      <c r="R30" s="732"/>
      <c r="S30" s="318" t="s">
        <v>780</v>
      </c>
      <c r="T30" s="319" t="s">
        <v>781</v>
      </c>
      <c r="U30" s="312"/>
      <c r="V30" s="728"/>
      <c r="W30" s="322" t="s">
        <v>780</v>
      </c>
      <c r="X30" s="421" t="s">
        <v>781</v>
      </c>
      <c r="Y30" s="730" t="s">
        <v>782</v>
      </c>
      <c r="Z30" s="731"/>
      <c r="AA30" s="732"/>
      <c r="AB30" s="730" t="s">
        <v>783</v>
      </c>
      <c r="AC30" s="731"/>
      <c r="AD30" s="732"/>
      <c r="AE30" s="730" t="s">
        <v>784</v>
      </c>
      <c r="AF30" s="731"/>
      <c r="AG30" s="732"/>
      <c r="AH30" s="730" t="s">
        <v>785</v>
      </c>
      <c r="AI30" s="731"/>
      <c r="AJ30" s="732"/>
      <c r="AK30" s="760" t="s">
        <v>786</v>
      </c>
      <c r="AL30" s="761"/>
      <c r="AM30" s="762"/>
      <c r="AN30" s="472" t="s">
        <v>780</v>
      </c>
      <c r="AO30" s="468" t="s">
        <v>781</v>
      </c>
      <c r="AP30" s="311"/>
      <c r="AQ30" s="311"/>
      <c r="AR30" s="311"/>
      <c r="AS30" s="311"/>
      <c r="AT30" s="312"/>
    </row>
    <row r="31" spans="1:46" ht="50.1" customHeight="1" thickBot="1" x14ac:dyDescent="0.3">
      <c r="A31" s="728"/>
      <c r="B31" s="314"/>
      <c r="C31" s="315"/>
      <c r="D31" s="730" t="s">
        <v>816</v>
      </c>
      <c r="E31" s="731"/>
      <c r="F31" s="732"/>
      <c r="G31" s="730" t="s">
        <v>788</v>
      </c>
      <c r="H31" s="731"/>
      <c r="I31" s="732"/>
      <c r="J31" s="730" t="s">
        <v>789</v>
      </c>
      <c r="K31" s="731"/>
      <c r="L31" s="732"/>
      <c r="M31" s="730" t="s">
        <v>791</v>
      </c>
      <c r="N31" s="731"/>
      <c r="O31" s="732"/>
      <c r="P31" s="730" t="s">
        <v>814</v>
      </c>
      <c r="Q31" s="731"/>
      <c r="R31" s="732"/>
      <c r="S31" s="318"/>
      <c r="T31" s="317"/>
      <c r="U31" s="312"/>
      <c r="V31" s="728"/>
      <c r="W31" s="314"/>
      <c r="X31" s="315"/>
      <c r="Y31" s="730" t="s">
        <v>787</v>
      </c>
      <c r="Z31" s="731"/>
      <c r="AA31" s="732"/>
      <c r="AB31" s="730" t="s">
        <v>790</v>
      </c>
      <c r="AC31" s="731"/>
      <c r="AD31" s="732"/>
      <c r="AE31" s="730" t="s">
        <v>791</v>
      </c>
      <c r="AF31" s="731"/>
      <c r="AG31" s="732"/>
      <c r="AH31" s="730" t="s">
        <v>814</v>
      </c>
      <c r="AI31" s="731"/>
      <c r="AJ31" s="732"/>
      <c r="AK31" s="724"/>
      <c r="AL31" s="725"/>
      <c r="AM31" s="726"/>
      <c r="AN31" s="318"/>
      <c r="AO31" s="319"/>
      <c r="AP31" s="311"/>
      <c r="AQ31" s="311"/>
      <c r="AR31" s="311"/>
      <c r="AS31" s="311"/>
      <c r="AT31" s="312"/>
    </row>
    <row r="32" spans="1:46" ht="50.1" customHeight="1" x14ac:dyDescent="0.25">
      <c r="A32" s="728"/>
      <c r="B32" s="742" t="s">
        <v>800</v>
      </c>
      <c r="C32" s="754" t="s">
        <v>800</v>
      </c>
      <c r="D32" s="331" t="s">
        <v>798</v>
      </c>
      <c r="E32" s="332">
        <v>1</v>
      </c>
      <c r="F32" s="333">
        <v>10</v>
      </c>
      <c r="G32" s="782" t="s">
        <v>795</v>
      </c>
      <c r="H32" s="773"/>
      <c r="I32" s="783"/>
      <c r="J32" s="328" t="s">
        <v>797</v>
      </c>
      <c r="K32" s="329">
        <v>3</v>
      </c>
      <c r="L32" s="473">
        <v>10</v>
      </c>
      <c r="M32" s="328" t="s">
        <v>797</v>
      </c>
      <c r="N32" s="329">
        <v>3</v>
      </c>
      <c r="O32" s="330">
        <v>10</v>
      </c>
      <c r="P32" s="325" t="s">
        <v>796</v>
      </c>
      <c r="Q32" s="326">
        <v>5</v>
      </c>
      <c r="R32" s="327">
        <v>30</v>
      </c>
      <c r="S32" s="751" t="s">
        <v>800</v>
      </c>
      <c r="T32" s="754" t="s">
        <v>800</v>
      </c>
      <c r="U32" s="312"/>
      <c r="V32" s="728"/>
      <c r="W32" s="733" t="s">
        <v>794</v>
      </c>
      <c r="X32" s="757" t="s">
        <v>795</v>
      </c>
      <c r="Y32" s="325" t="s">
        <v>796</v>
      </c>
      <c r="Z32" s="326">
        <v>5</v>
      </c>
      <c r="AA32" s="327">
        <v>30</v>
      </c>
      <c r="AB32" s="328" t="s">
        <v>797</v>
      </c>
      <c r="AC32" s="329">
        <v>3</v>
      </c>
      <c r="AD32" s="330">
        <v>10</v>
      </c>
      <c r="AE32" s="334" t="s">
        <v>799</v>
      </c>
      <c r="AF32" s="335">
        <v>3</v>
      </c>
      <c r="AG32" s="336">
        <v>10</v>
      </c>
      <c r="AH32" s="325" t="s">
        <v>796</v>
      </c>
      <c r="AI32" s="326">
        <v>5</v>
      </c>
      <c r="AJ32" s="327">
        <v>30</v>
      </c>
      <c r="AK32" s="742" t="s">
        <v>800</v>
      </c>
      <c r="AL32" s="751"/>
      <c r="AM32" s="751"/>
      <c r="AN32" s="776" t="s">
        <v>800</v>
      </c>
      <c r="AO32" s="779" t="s">
        <v>800</v>
      </c>
      <c r="AP32" s="311"/>
      <c r="AQ32" s="311"/>
      <c r="AR32" s="311"/>
      <c r="AS32" s="311"/>
      <c r="AT32" s="312"/>
    </row>
    <row r="33" spans="1:46" ht="50.1" customHeight="1" x14ac:dyDescent="0.25">
      <c r="A33" s="728"/>
      <c r="B33" s="743"/>
      <c r="C33" s="755"/>
      <c r="D33" s="364" t="s">
        <v>801</v>
      </c>
      <c r="E33" s="365">
        <v>2</v>
      </c>
      <c r="F33" s="366">
        <v>10</v>
      </c>
      <c r="G33" s="784"/>
      <c r="H33" s="774"/>
      <c r="I33" s="785"/>
      <c r="J33" s="361" t="s">
        <v>799</v>
      </c>
      <c r="K33" s="362">
        <v>3</v>
      </c>
      <c r="L33" s="474">
        <v>10</v>
      </c>
      <c r="M33" s="792" t="s">
        <v>802</v>
      </c>
      <c r="N33" s="374">
        <v>6</v>
      </c>
      <c r="O33" s="375">
        <v>45</v>
      </c>
      <c r="P33" s="355" t="s">
        <v>804</v>
      </c>
      <c r="Q33" s="356">
        <v>4</v>
      </c>
      <c r="R33" s="357">
        <v>10</v>
      </c>
      <c r="S33" s="752"/>
      <c r="T33" s="755"/>
      <c r="U33" s="312"/>
      <c r="V33" s="728"/>
      <c r="W33" s="734"/>
      <c r="X33" s="758"/>
      <c r="Y33" s="352" t="s">
        <v>803</v>
      </c>
      <c r="Z33" s="353">
        <v>4</v>
      </c>
      <c r="AA33" s="354">
        <v>10</v>
      </c>
      <c r="AB33" s="361" t="s">
        <v>799</v>
      </c>
      <c r="AC33" s="362">
        <v>3</v>
      </c>
      <c r="AD33" s="363">
        <v>10</v>
      </c>
      <c r="AE33" s="368" t="s">
        <v>805</v>
      </c>
      <c r="AF33" s="383">
        <v>4</v>
      </c>
      <c r="AG33" s="384">
        <v>25</v>
      </c>
      <c r="AH33" s="355" t="s">
        <v>804</v>
      </c>
      <c r="AI33" s="356">
        <v>4</v>
      </c>
      <c r="AJ33" s="357">
        <v>10</v>
      </c>
      <c r="AK33" s="743"/>
      <c r="AL33" s="752"/>
      <c r="AM33" s="752"/>
      <c r="AN33" s="777"/>
      <c r="AO33" s="780"/>
      <c r="AP33" s="311"/>
      <c r="AQ33" s="311"/>
      <c r="AR33" s="311"/>
      <c r="AS33" s="311"/>
      <c r="AT33" s="312"/>
    </row>
    <row r="34" spans="1:46" ht="50.1" customHeight="1" x14ac:dyDescent="0.25">
      <c r="A34" s="728"/>
      <c r="B34" s="743"/>
      <c r="C34" s="755"/>
      <c r="D34" s="400" t="s">
        <v>797</v>
      </c>
      <c r="E34" s="452">
        <v>3</v>
      </c>
      <c r="F34" s="453">
        <v>10</v>
      </c>
      <c r="G34" s="784"/>
      <c r="H34" s="774"/>
      <c r="I34" s="785"/>
      <c r="J34" s="352" t="s">
        <v>803</v>
      </c>
      <c r="K34" s="353">
        <v>4</v>
      </c>
      <c r="L34" s="475">
        <v>10</v>
      </c>
      <c r="M34" s="379" t="s">
        <v>808</v>
      </c>
      <c r="N34" s="380">
        <v>4</v>
      </c>
      <c r="O34" s="381">
        <v>25</v>
      </c>
      <c r="P34" s="368" t="s">
        <v>805</v>
      </c>
      <c r="Q34" s="383">
        <v>4</v>
      </c>
      <c r="R34" s="384">
        <v>25</v>
      </c>
      <c r="S34" s="752"/>
      <c r="T34" s="755"/>
      <c r="U34" s="312"/>
      <c r="V34" s="728"/>
      <c r="W34" s="734"/>
      <c r="X34" s="758"/>
      <c r="Y34" s="371" t="s">
        <v>806</v>
      </c>
      <c r="Z34" s="372">
        <v>6</v>
      </c>
      <c r="AA34" s="373">
        <v>45</v>
      </c>
      <c r="AB34" s="355" t="s">
        <v>804</v>
      </c>
      <c r="AC34" s="356">
        <v>4</v>
      </c>
      <c r="AD34" s="357">
        <v>10</v>
      </c>
      <c r="AE34" s="388" t="s">
        <v>809</v>
      </c>
      <c r="AF34" s="389">
        <v>4</v>
      </c>
      <c r="AG34" s="394">
        <v>10</v>
      </c>
      <c r="AH34" s="379" t="s">
        <v>808</v>
      </c>
      <c r="AI34" s="380">
        <v>4</v>
      </c>
      <c r="AJ34" s="382">
        <v>25</v>
      </c>
      <c r="AK34" s="743"/>
      <c r="AL34" s="752"/>
      <c r="AM34" s="752"/>
      <c r="AN34" s="777"/>
      <c r="AO34" s="780"/>
      <c r="AP34" s="311"/>
      <c r="AQ34" s="311"/>
      <c r="AR34" s="311"/>
      <c r="AS34" s="311"/>
      <c r="AT34" s="312"/>
    </row>
    <row r="35" spans="1:46" ht="50.1" customHeight="1" x14ac:dyDescent="0.25">
      <c r="A35" s="728"/>
      <c r="B35" s="743"/>
      <c r="C35" s="755"/>
      <c r="D35" s="379" t="s">
        <v>808</v>
      </c>
      <c r="E35" s="380">
        <v>4</v>
      </c>
      <c r="F35" s="381">
        <v>25</v>
      </c>
      <c r="G35" s="784"/>
      <c r="H35" s="774"/>
      <c r="I35" s="785"/>
      <c r="J35" s="371" t="s">
        <v>806</v>
      </c>
      <c r="K35" s="372">
        <v>6</v>
      </c>
      <c r="L35" s="476">
        <v>45</v>
      </c>
      <c r="M35" s="388" t="s">
        <v>809</v>
      </c>
      <c r="N35" s="389">
        <v>4</v>
      </c>
      <c r="O35" s="394">
        <v>10</v>
      </c>
      <c r="P35" s="395"/>
      <c r="Q35" s="369"/>
      <c r="R35" s="396"/>
      <c r="S35" s="752"/>
      <c r="T35" s="755"/>
      <c r="U35" s="312"/>
      <c r="V35" s="728"/>
      <c r="W35" s="734"/>
      <c r="X35" s="758"/>
      <c r="Y35" s="379" t="s">
        <v>808</v>
      </c>
      <c r="Z35" s="380">
        <v>4</v>
      </c>
      <c r="AA35" s="382">
        <v>5</v>
      </c>
      <c r="AB35" s="792" t="s">
        <v>802</v>
      </c>
      <c r="AC35" s="374">
        <v>6</v>
      </c>
      <c r="AD35" s="375">
        <v>45</v>
      </c>
      <c r="AE35" s="395"/>
      <c r="AF35" s="369"/>
      <c r="AG35" s="396"/>
      <c r="AH35" s="395"/>
      <c r="AI35" s="369"/>
      <c r="AJ35" s="396"/>
      <c r="AK35" s="743"/>
      <c r="AL35" s="752"/>
      <c r="AM35" s="752"/>
      <c r="AN35" s="777"/>
      <c r="AO35" s="780"/>
      <c r="AP35" s="311"/>
      <c r="AQ35" s="311"/>
      <c r="AR35" s="311"/>
      <c r="AS35" s="311"/>
      <c r="AT35" s="312"/>
    </row>
    <row r="36" spans="1:46" ht="50.1" customHeight="1" x14ac:dyDescent="0.25">
      <c r="A36" s="728"/>
      <c r="B36" s="743"/>
      <c r="C36" s="755"/>
      <c r="D36" s="385"/>
      <c r="E36" s="386"/>
      <c r="F36" s="387"/>
      <c r="G36" s="784"/>
      <c r="H36" s="774"/>
      <c r="I36" s="785"/>
      <c r="J36" s="368" t="s">
        <v>805</v>
      </c>
      <c r="K36" s="383">
        <v>4</v>
      </c>
      <c r="L36" s="384">
        <v>25</v>
      </c>
      <c r="M36" s="397"/>
      <c r="N36" s="398"/>
      <c r="O36" s="433"/>
      <c r="P36" s="385"/>
      <c r="Q36" s="386"/>
      <c r="R36" s="387"/>
      <c r="S36" s="752"/>
      <c r="T36" s="755"/>
      <c r="U36" s="312"/>
      <c r="V36" s="728"/>
      <c r="W36" s="734"/>
      <c r="X36" s="758"/>
      <c r="Y36" s="391" t="s">
        <v>811</v>
      </c>
      <c r="Z36" s="392">
        <v>5</v>
      </c>
      <c r="AA36" s="393">
        <v>10</v>
      </c>
      <c r="AB36" s="388" t="s">
        <v>809</v>
      </c>
      <c r="AC36" s="389">
        <v>4</v>
      </c>
      <c r="AD36" s="394">
        <v>10</v>
      </c>
      <c r="AE36" s="385"/>
      <c r="AF36" s="386"/>
      <c r="AG36" s="387"/>
      <c r="AH36" s="477"/>
      <c r="AI36" s="478"/>
      <c r="AJ36" s="479"/>
      <c r="AK36" s="743"/>
      <c r="AL36" s="752"/>
      <c r="AM36" s="752"/>
      <c r="AN36" s="777"/>
      <c r="AO36" s="780"/>
      <c r="AP36" s="311"/>
      <c r="AQ36" s="311"/>
      <c r="AR36" s="311"/>
      <c r="AS36" s="311"/>
      <c r="AT36" s="312"/>
    </row>
    <row r="37" spans="1:46" ht="50.1" customHeight="1" thickBot="1" x14ac:dyDescent="0.3">
      <c r="A37" s="729"/>
      <c r="B37" s="744"/>
      <c r="C37" s="756"/>
      <c r="D37" s="440"/>
      <c r="E37" s="441"/>
      <c r="F37" s="436"/>
      <c r="G37" s="786"/>
      <c r="H37" s="775"/>
      <c r="I37" s="787"/>
      <c r="J37" s="457" t="s">
        <v>811</v>
      </c>
      <c r="K37" s="458">
        <v>5</v>
      </c>
      <c r="L37" s="480">
        <v>5</v>
      </c>
      <c r="M37" s="397"/>
      <c r="N37" s="398"/>
      <c r="O37" s="433"/>
      <c r="P37" s="481"/>
      <c r="Q37" s="464"/>
      <c r="R37" s="465"/>
      <c r="S37" s="753"/>
      <c r="T37" s="756"/>
      <c r="U37" s="312"/>
      <c r="V37" s="729"/>
      <c r="W37" s="735"/>
      <c r="X37" s="759"/>
      <c r="Y37" s="401"/>
      <c r="Z37" s="402"/>
      <c r="AA37" s="403"/>
      <c r="AB37" s="401"/>
      <c r="AC37" s="402"/>
      <c r="AD37" s="403"/>
      <c r="AE37" s="404"/>
      <c r="AF37" s="405"/>
      <c r="AG37" s="406"/>
      <c r="AH37" s="461"/>
      <c r="AI37" s="435"/>
      <c r="AJ37" s="462"/>
      <c r="AK37" s="744"/>
      <c r="AL37" s="753"/>
      <c r="AM37" s="753"/>
      <c r="AN37" s="778"/>
      <c r="AO37" s="781"/>
      <c r="AP37" s="311"/>
      <c r="AQ37" s="311"/>
      <c r="AR37" s="311"/>
      <c r="AS37" s="311"/>
      <c r="AT37" s="312"/>
    </row>
    <row r="38" spans="1:46" ht="50.1" customHeight="1" thickBot="1" x14ac:dyDescent="0.3">
      <c r="A38" s="482"/>
      <c r="B38" s="351"/>
      <c r="C38" s="421" t="s">
        <v>813</v>
      </c>
      <c r="D38" s="466">
        <f>(E32*F32)+(E33*F33)+(E34*F34)+(E45*F45)+(E36*F36)+(E37*F37)</f>
        <v>160</v>
      </c>
      <c r="E38" s="467">
        <f>SUM(E32:E37)</f>
        <v>10</v>
      </c>
      <c r="F38" s="468">
        <f>SUM(F32:F37)</f>
        <v>55</v>
      </c>
      <c r="G38" s="322">
        <f>(H32*I32)+(H33*I33)+(H34*I34)+(H45*I45)+(H36*I36)</f>
        <v>0</v>
      </c>
      <c r="H38" s="323">
        <f>SUM(H32:H36)</f>
        <v>0</v>
      </c>
      <c r="I38" s="324">
        <f>SUM(I32:I36)</f>
        <v>0</v>
      </c>
      <c r="J38" s="466">
        <f>(K32*L32)+(K33*L33)+(K34*L34)+(K45*L45)+(K36*L36)+(K37*L37)</f>
        <v>495</v>
      </c>
      <c r="K38" s="467">
        <f>SUM(K32:K37)</f>
        <v>25</v>
      </c>
      <c r="L38" s="468">
        <f>SUM(L32:L37)</f>
        <v>105</v>
      </c>
      <c r="M38" s="322">
        <f>(N32*O32)+(N33*O33)+(N34*O34)+(N45*O45)+(N36*O36)+(N37*O37)</f>
        <v>440</v>
      </c>
      <c r="N38" s="323">
        <f>SUM(N32:N37)</f>
        <v>17</v>
      </c>
      <c r="O38" s="324">
        <f>SUM(O32:O37)</f>
        <v>90</v>
      </c>
      <c r="P38" s="466">
        <f>(Q32*R32)+(Q33*R33)+(Q34*R34)+(Q45*R45)+(Q36*R36)+(Q37*R37)</f>
        <v>290</v>
      </c>
      <c r="Q38" s="467">
        <f>SUM(Q32:Q37)</f>
        <v>13</v>
      </c>
      <c r="R38" s="468">
        <f>SUM(R32:R37)</f>
        <v>65</v>
      </c>
      <c r="S38" s="321"/>
      <c r="T38" s="443">
        <f>D38+G38+J38+M38+P38</f>
        <v>1385</v>
      </c>
      <c r="U38" s="312"/>
      <c r="V38" s="482"/>
      <c r="W38" s="407"/>
      <c r="X38" s="421" t="s">
        <v>813</v>
      </c>
      <c r="Y38" s="322">
        <f>(Z32*AA32)+(Z33*AA33)+(Z34*AA34)+(Z45*AA45)+(Z36*AA36)+(Z37*AA37)</f>
        <v>510</v>
      </c>
      <c r="Z38" s="323">
        <f>SUM(Z32:Z37)</f>
        <v>24</v>
      </c>
      <c r="AA38" s="324">
        <f>SUM(AA32:AA37)</f>
        <v>100</v>
      </c>
      <c r="AB38" s="322">
        <f>(AC32*AD32)+(AC33*AD33)+(AC34*AD34)+(AC45*AD45)+(AC36*AD36)</f>
        <v>140</v>
      </c>
      <c r="AC38" s="323">
        <f>SUM(AC32:AC36)</f>
        <v>20</v>
      </c>
      <c r="AD38" s="324">
        <f>SUM(AD32:AD36)</f>
        <v>85</v>
      </c>
      <c r="AE38" s="322">
        <f>(AF32*AG32)++(AF33*AG33)+(AF35*AG35)+(AF34*AG34)+(AF37*AG37)</f>
        <v>170</v>
      </c>
      <c r="AF38" s="323">
        <f>SUM(AF32:AF37)</f>
        <v>11</v>
      </c>
      <c r="AG38" s="324">
        <f>SUM(AG32:AG37)</f>
        <v>45</v>
      </c>
      <c r="AH38" s="322">
        <f>(AI32*AJ32)+(AI33*AJ33)+(AI34*AJ34)+(AI45*AJ45)+(AI36*AJ36)+(AI37*AJ37)</f>
        <v>290</v>
      </c>
      <c r="AI38" s="323">
        <f>SUM(AI32:AI37)</f>
        <v>13</v>
      </c>
      <c r="AJ38" s="421">
        <f>SUM(AJ32:AJ37)</f>
        <v>65</v>
      </c>
      <c r="AK38" s="469">
        <f>(AL32*AM32)+(AL33*AM33)+(AL34*AM34)+(AL45*AM45)+(AL36*AM36)+(AL37*AM37)</f>
        <v>0</v>
      </c>
      <c r="AL38" s="470">
        <f>SUM(AL32:AL37)</f>
        <v>0</v>
      </c>
      <c r="AM38" s="470">
        <f>SUM(AM32:AM37)</f>
        <v>0</v>
      </c>
      <c r="AN38" s="471"/>
      <c r="AO38" s="442">
        <f>Y38+AB38+AE38+AH38+AK38</f>
        <v>1110</v>
      </c>
      <c r="AP38" s="311"/>
      <c r="AQ38" s="311"/>
      <c r="AR38" s="311"/>
      <c r="AS38" s="311"/>
      <c r="AT38" s="312"/>
    </row>
    <row r="39" spans="1:46" ht="50.1" customHeight="1" thickBot="1" x14ac:dyDescent="0.3">
      <c r="A39" s="483"/>
      <c r="B39" s="766"/>
      <c r="C39" s="767"/>
      <c r="D39" s="767"/>
      <c r="E39" s="767"/>
      <c r="F39" s="767"/>
      <c r="G39" s="767"/>
      <c r="H39" s="767"/>
      <c r="I39" s="767"/>
      <c r="J39" s="767"/>
      <c r="K39" s="767"/>
      <c r="L39" s="767"/>
      <c r="M39" s="767"/>
      <c r="N39" s="767"/>
      <c r="O39" s="767"/>
      <c r="P39" s="767"/>
      <c r="Q39" s="767"/>
      <c r="R39" s="767"/>
      <c r="S39" s="767"/>
      <c r="T39" s="768"/>
      <c r="U39" s="312"/>
      <c r="V39" s="312"/>
      <c r="W39" s="311"/>
      <c r="X39" s="311"/>
      <c r="Y39" s="311"/>
      <c r="Z39" s="311"/>
      <c r="AA39" s="311"/>
      <c r="AB39" s="311"/>
      <c r="AC39" s="311"/>
      <c r="AD39" s="311"/>
      <c r="AE39" s="311"/>
      <c r="AF39" s="311"/>
      <c r="AG39" s="311"/>
      <c r="AH39" s="311"/>
      <c r="AI39" s="311"/>
      <c r="AJ39" s="311"/>
      <c r="AK39" s="311"/>
      <c r="AL39" s="311"/>
      <c r="AM39" s="311"/>
      <c r="AN39" s="311"/>
      <c r="AO39" s="311"/>
      <c r="AP39" s="311"/>
      <c r="AQ39" s="311"/>
      <c r="AR39" s="311"/>
      <c r="AS39" s="311"/>
      <c r="AT39" s="312"/>
    </row>
    <row r="40" spans="1:46" ht="50.1" customHeight="1" thickBot="1" x14ac:dyDescent="0.3">
      <c r="A40" s="727" t="s">
        <v>779</v>
      </c>
      <c r="B40" s="314" t="s">
        <v>780</v>
      </c>
      <c r="C40" s="315" t="s">
        <v>781</v>
      </c>
      <c r="D40" s="730" t="s">
        <v>782</v>
      </c>
      <c r="E40" s="731"/>
      <c r="F40" s="732"/>
      <c r="G40" s="730" t="s">
        <v>783</v>
      </c>
      <c r="H40" s="731"/>
      <c r="I40" s="732"/>
      <c r="J40" s="730" t="s">
        <v>784</v>
      </c>
      <c r="K40" s="731"/>
      <c r="L40" s="732"/>
      <c r="M40" s="730" t="s">
        <v>785</v>
      </c>
      <c r="N40" s="731"/>
      <c r="O40" s="732"/>
      <c r="P40" s="730" t="s">
        <v>786</v>
      </c>
      <c r="Q40" s="731"/>
      <c r="R40" s="732"/>
      <c r="S40" s="318" t="s">
        <v>780</v>
      </c>
      <c r="T40" s="319" t="s">
        <v>781</v>
      </c>
      <c r="U40" s="312"/>
      <c r="V40" s="312"/>
      <c r="W40" s="311"/>
      <c r="X40" s="311"/>
      <c r="Y40" s="311"/>
      <c r="Z40" s="311"/>
      <c r="AA40" s="311"/>
      <c r="AB40" s="311"/>
      <c r="AC40" s="311"/>
      <c r="AD40" s="311"/>
      <c r="AE40" s="311"/>
      <c r="AF40" s="311"/>
      <c r="AG40" s="311"/>
      <c r="AH40" s="311"/>
      <c r="AI40" s="311"/>
      <c r="AJ40" s="311"/>
      <c r="AK40" s="311"/>
      <c r="AL40" s="311"/>
      <c r="AM40" s="311"/>
      <c r="AN40" s="311"/>
      <c r="AO40" s="311"/>
      <c r="AP40" s="311"/>
      <c r="AQ40" s="311"/>
      <c r="AR40" s="311"/>
      <c r="AS40" s="311"/>
      <c r="AT40" s="312"/>
    </row>
    <row r="41" spans="1:46" ht="50.1" customHeight="1" thickBot="1" x14ac:dyDescent="0.3">
      <c r="A41" s="728"/>
      <c r="B41" s="314"/>
      <c r="C41" s="315" t="s">
        <v>816</v>
      </c>
      <c r="D41" s="730" t="s">
        <v>788</v>
      </c>
      <c r="E41" s="731"/>
      <c r="F41" s="732"/>
      <c r="G41" s="730" t="s">
        <v>789</v>
      </c>
      <c r="H41" s="731"/>
      <c r="I41" s="732"/>
      <c r="J41" s="730" t="s">
        <v>790</v>
      </c>
      <c r="K41" s="731"/>
      <c r="L41" s="732"/>
      <c r="M41" s="730" t="s">
        <v>791</v>
      </c>
      <c r="N41" s="731"/>
      <c r="O41" s="732"/>
      <c r="P41" s="730" t="s">
        <v>814</v>
      </c>
      <c r="Q41" s="731"/>
      <c r="R41" s="732"/>
      <c r="S41" s="318"/>
      <c r="T41" s="317"/>
      <c r="U41" s="312"/>
      <c r="V41" s="312"/>
      <c r="W41" s="311"/>
      <c r="X41" s="311"/>
      <c r="Y41" s="311"/>
      <c r="Z41" s="311"/>
      <c r="AA41" s="311"/>
      <c r="AB41" s="311"/>
      <c r="AC41" s="311"/>
      <c r="AD41" s="311"/>
      <c r="AE41" s="311"/>
      <c r="AF41" s="311"/>
      <c r="AG41" s="311"/>
      <c r="AH41" s="311"/>
      <c r="AI41" s="311"/>
      <c r="AJ41" s="311"/>
      <c r="AK41" s="311"/>
      <c r="AL41" s="311"/>
      <c r="AM41" s="311"/>
      <c r="AN41" s="311"/>
      <c r="AO41" s="311"/>
      <c r="AP41" s="311"/>
      <c r="AQ41" s="311"/>
      <c r="AR41" s="311"/>
      <c r="AS41" s="311"/>
      <c r="AT41" s="312"/>
    </row>
    <row r="42" spans="1:46" ht="50.1" customHeight="1" x14ac:dyDescent="0.25">
      <c r="A42" s="728"/>
      <c r="B42" s="742" t="s">
        <v>800</v>
      </c>
      <c r="C42" s="736" t="s">
        <v>795</v>
      </c>
      <c r="D42" s="334" t="s">
        <v>799</v>
      </c>
      <c r="E42" s="484">
        <v>3</v>
      </c>
      <c r="F42" s="485">
        <v>10</v>
      </c>
      <c r="G42" s="331" t="s">
        <v>798</v>
      </c>
      <c r="H42" s="332">
        <v>1</v>
      </c>
      <c r="I42" s="333">
        <v>10</v>
      </c>
      <c r="J42" s="328" t="s">
        <v>797</v>
      </c>
      <c r="K42" s="329">
        <v>3</v>
      </c>
      <c r="L42" s="330">
        <v>10</v>
      </c>
      <c r="M42" s="328" t="s">
        <v>797</v>
      </c>
      <c r="N42" s="329">
        <v>3</v>
      </c>
      <c r="O42" s="473">
        <v>10</v>
      </c>
      <c r="P42" s="325" t="s">
        <v>796</v>
      </c>
      <c r="Q42" s="326">
        <v>5</v>
      </c>
      <c r="R42" s="486">
        <v>30</v>
      </c>
      <c r="S42" s="776" t="s">
        <v>800</v>
      </c>
      <c r="T42" s="788" t="s">
        <v>795</v>
      </c>
      <c r="U42" s="312"/>
      <c r="V42" s="312"/>
      <c r="W42" s="311"/>
      <c r="X42" s="311"/>
      <c r="Y42" s="427"/>
      <c r="Z42" s="427"/>
      <c r="AA42" s="427"/>
      <c r="AB42" s="311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  <c r="AN42" s="311"/>
      <c r="AO42" s="311"/>
      <c r="AP42" s="311"/>
      <c r="AQ42" s="311"/>
      <c r="AR42" s="311"/>
      <c r="AS42" s="311"/>
      <c r="AT42" s="312"/>
    </row>
    <row r="43" spans="1:46" ht="50.1" customHeight="1" x14ac:dyDescent="0.25">
      <c r="A43" s="728"/>
      <c r="B43" s="743"/>
      <c r="C43" s="737"/>
      <c r="D43" s="355" t="s">
        <v>804</v>
      </c>
      <c r="E43" s="451">
        <v>4</v>
      </c>
      <c r="F43" s="487">
        <v>10</v>
      </c>
      <c r="G43" s="358" t="s">
        <v>796</v>
      </c>
      <c r="H43" s="359">
        <v>5</v>
      </c>
      <c r="I43" s="360">
        <v>30</v>
      </c>
      <c r="J43" s="361" t="s">
        <v>799</v>
      </c>
      <c r="K43" s="362">
        <v>3</v>
      </c>
      <c r="L43" s="363">
        <v>10</v>
      </c>
      <c r="M43" s="792" t="s">
        <v>802</v>
      </c>
      <c r="N43" s="374">
        <v>6</v>
      </c>
      <c r="O43" s="488">
        <v>45</v>
      </c>
      <c r="P43" s="355" t="s">
        <v>804</v>
      </c>
      <c r="Q43" s="356">
        <v>4</v>
      </c>
      <c r="R43" s="367">
        <v>10</v>
      </c>
      <c r="S43" s="777"/>
      <c r="T43" s="789"/>
      <c r="U43" s="312"/>
      <c r="V43" s="312"/>
      <c r="W43" s="311"/>
      <c r="X43" s="311"/>
      <c r="Y43" s="427"/>
      <c r="Z43" s="427"/>
      <c r="AA43" s="427"/>
      <c r="AB43" s="311"/>
      <c r="AC43" s="311"/>
      <c r="AD43" s="311"/>
      <c r="AE43" s="311"/>
      <c r="AF43" s="311"/>
      <c r="AG43" s="311"/>
      <c r="AH43" s="311"/>
      <c r="AI43" s="311"/>
      <c r="AJ43" s="311"/>
      <c r="AK43" s="311"/>
      <c r="AL43" s="311"/>
      <c r="AM43" s="311"/>
      <c r="AN43" s="311"/>
      <c r="AO43" s="311"/>
      <c r="AP43" s="311"/>
      <c r="AQ43" s="311"/>
      <c r="AR43" s="311"/>
      <c r="AS43" s="311"/>
      <c r="AT43" s="312"/>
    </row>
    <row r="44" spans="1:46" ht="50.1" customHeight="1" x14ac:dyDescent="0.25">
      <c r="A44" s="728"/>
      <c r="B44" s="743"/>
      <c r="C44" s="737"/>
      <c r="D44" s="792" t="s">
        <v>802</v>
      </c>
      <c r="E44" s="489">
        <v>6</v>
      </c>
      <c r="F44" s="490">
        <v>45</v>
      </c>
      <c r="G44" s="376" t="s">
        <v>807</v>
      </c>
      <c r="H44" s="377">
        <v>2</v>
      </c>
      <c r="I44" s="378">
        <v>10</v>
      </c>
      <c r="J44" s="352" t="s">
        <v>803</v>
      </c>
      <c r="K44" s="353">
        <v>4</v>
      </c>
      <c r="L44" s="354">
        <v>10</v>
      </c>
      <c r="M44" s="368" t="s">
        <v>805</v>
      </c>
      <c r="N44" s="491">
        <v>4</v>
      </c>
      <c r="O44" s="492">
        <v>25</v>
      </c>
      <c r="P44" s="379" t="s">
        <v>808</v>
      </c>
      <c r="Q44" s="380">
        <v>4</v>
      </c>
      <c r="R44" s="381">
        <v>25</v>
      </c>
      <c r="S44" s="777"/>
      <c r="T44" s="789"/>
      <c r="U44" s="312"/>
      <c r="V44" s="312"/>
      <c r="W44" s="311"/>
      <c r="X44" s="311"/>
      <c r="Y44" s="427"/>
      <c r="Z44" s="427"/>
      <c r="AA44" s="427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1"/>
      <c r="AM44" s="311"/>
      <c r="AN44" s="311"/>
      <c r="AO44" s="311"/>
      <c r="AP44" s="311"/>
      <c r="AQ44" s="311"/>
      <c r="AR44" s="311"/>
      <c r="AS44" s="311"/>
      <c r="AT44" s="312"/>
    </row>
    <row r="45" spans="1:46" ht="50.1" customHeight="1" x14ac:dyDescent="0.25">
      <c r="A45" s="728"/>
      <c r="B45" s="743"/>
      <c r="C45" s="737"/>
      <c r="D45" s="368" t="s">
        <v>805</v>
      </c>
      <c r="E45" s="491">
        <v>4</v>
      </c>
      <c r="F45" s="492">
        <v>25</v>
      </c>
      <c r="G45" s="397"/>
      <c r="H45" s="398"/>
      <c r="I45" s="433"/>
      <c r="J45" s="371" t="s">
        <v>806</v>
      </c>
      <c r="K45" s="372">
        <v>6</v>
      </c>
      <c r="L45" s="373">
        <v>45</v>
      </c>
      <c r="M45" s="388" t="s">
        <v>809</v>
      </c>
      <c r="N45" s="389">
        <v>4</v>
      </c>
      <c r="O45" s="390">
        <v>10</v>
      </c>
      <c r="P45" s="395"/>
      <c r="Q45" s="369"/>
      <c r="R45" s="493"/>
      <c r="S45" s="777"/>
      <c r="T45" s="789"/>
      <c r="U45" s="312"/>
      <c r="V45" s="312"/>
      <c r="W45" s="311"/>
      <c r="X45" s="311"/>
      <c r="Y45" s="427"/>
      <c r="Z45" s="427"/>
      <c r="AA45" s="427"/>
      <c r="AB45" s="311"/>
      <c r="AC45" s="311"/>
      <c r="AD45" s="311"/>
      <c r="AE45" s="311"/>
      <c r="AF45" s="311"/>
      <c r="AG45" s="311"/>
      <c r="AH45" s="311"/>
      <c r="AI45" s="311"/>
      <c r="AJ45" s="311"/>
      <c r="AK45" s="311"/>
      <c r="AL45" s="311"/>
      <c r="AM45" s="311"/>
      <c r="AN45" s="311"/>
      <c r="AO45" s="311"/>
      <c r="AP45" s="311"/>
      <c r="AQ45" s="311"/>
      <c r="AR45" s="311"/>
      <c r="AS45" s="311"/>
      <c r="AT45" s="312"/>
    </row>
    <row r="46" spans="1:46" ht="50.1" customHeight="1" x14ac:dyDescent="0.25">
      <c r="A46" s="728"/>
      <c r="B46" s="743"/>
      <c r="C46" s="737"/>
      <c r="D46" s="388" t="s">
        <v>809</v>
      </c>
      <c r="E46" s="494">
        <v>4</v>
      </c>
      <c r="F46" s="495">
        <v>10</v>
      </c>
      <c r="G46" s="397"/>
      <c r="H46" s="398"/>
      <c r="I46" s="433"/>
      <c r="J46" s="379" t="s">
        <v>808</v>
      </c>
      <c r="K46" s="380">
        <v>4</v>
      </c>
      <c r="L46" s="381">
        <v>25</v>
      </c>
      <c r="M46" s="395"/>
      <c r="N46" s="493"/>
      <c r="O46" s="493"/>
      <c r="P46" s="431"/>
      <c r="Q46" s="432"/>
      <c r="R46" s="496"/>
      <c r="S46" s="777"/>
      <c r="T46" s="789"/>
      <c r="U46" s="312"/>
      <c r="V46" s="312"/>
      <c r="W46" s="311"/>
      <c r="X46" s="311"/>
      <c r="Y46" s="427"/>
      <c r="Z46" s="427"/>
      <c r="AA46" s="427"/>
      <c r="AB46" s="311"/>
      <c r="AC46" s="311"/>
      <c r="AD46" s="311"/>
      <c r="AE46" s="311"/>
      <c r="AF46" s="311"/>
      <c r="AG46" s="311"/>
      <c r="AH46" s="311"/>
      <c r="AI46" s="311"/>
      <c r="AJ46" s="311"/>
      <c r="AK46" s="311"/>
      <c r="AL46" s="311"/>
      <c r="AM46" s="311"/>
      <c r="AN46" s="311"/>
      <c r="AO46" s="311"/>
      <c r="AP46" s="311"/>
      <c r="AQ46" s="311"/>
      <c r="AR46" s="311"/>
      <c r="AS46" s="311"/>
      <c r="AT46" s="312"/>
    </row>
    <row r="47" spans="1:46" ht="50.1" customHeight="1" thickBot="1" x14ac:dyDescent="0.3">
      <c r="A47" s="728"/>
      <c r="B47" s="744"/>
      <c r="C47" s="738"/>
      <c r="D47" s="461"/>
      <c r="E47" s="497"/>
      <c r="F47" s="498"/>
      <c r="G47" s="401"/>
      <c r="H47" s="402"/>
      <c r="I47" s="403"/>
      <c r="J47" s="457" t="s">
        <v>811</v>
      </c>
      <c r="K47" s="458">
        <v>5</v>
      </c>
      <c r="L47" s="459">
        <v>10</v>
      </c>
      <c r="M47" s="401"/>
      <c r="N47" s="460"/>
      <c r="O47" s="460"/>
      <c r="P47" s="461"/>
      <c r="Q47" s="435"/>
      <c r="R47" s="499"/>
      <c r="S47" s="778"/>
      <c r="T47" s="790"/>
      <c r="U47" s="311"/>
      <c r="V47" s="311"/>
      <c r="W47" s="311"/>
      <c r="X47" s="311"/>
      <c r="Y47" s="427"/>
      <c r="Z47" s="427"/>
      <c r="AA47" s="427"/>
      <c r="AB47" s="311"/>
      <c r="AC47" s="311"/>
      <c r="AD47" s="311"/>
      <c r="AE47" s="311"/>
      <c r="AF47" s="311"/>
      <c r="AG47" s="311"/>
      <c r="AH47" s="311"/>
      <c r="AI47" s="311"/>
      <c r="AJ47" s="311"/>
      <c r="AK47" s="311"/>
      <c r="AL47" s="311"/>
      <c r="AM47" s="311"/>
      <c r="AN47" s="311"/>
      <c r="AO47" s="311"/>
      <c r="AP47" s="311"/>
      <c r="AQ47" s="311"/>
      <c r="AR47" s="311"/>
      <c r="AS47" s="311"/>
      <c r="AT47" s="312"/>
    </row>
    <row r="48" spans="1:46" ht="50.1" customHeight="1" thickBot="1" x14ac:dyDescent="0.3">
      <c r="A48" s="482"/>
      <c r="B48" s="500"/>
      <c r="C48" s="321" t="s">
        <v>813</v>
      </c>
      <c r="D48" s="466">
        <f>(E42*F42)+(E43*F43)+(E44*F44)+(E45*F45)+(E46*F46)+(E47*F47)</f>
        <v>480</v>
      </c>
      <c r="E48" s="467">
        <f>SUM(E42:E47)</f>
        <v>21</v>
      </c>
      <c r="F48" s="468">
        <f>SUM(F42:F47)</f>
        <v>100</v>
      </c>
      <c r="G48" s="322">
        <f>(H42*I42)+(H43*I43)+(H44*I44)+(H45*I45)+(H46*I46)</f>
        <v>180</v>
      </c>
      <c r="H48" s="323">
        <f>SUM(H42:H46)</f>
        <v>8</v>
      </c>
      <c r="I48" s="324">
        <f>SUM(I42:I46)</f>
        <v>50</v>
      </c>
      <c r="J48" s="466">
        <f>(K42*L42)+(K43*L43)+(K44*L44)+(K45*L45)+(K46*L46)+(K47*L47)</f>
        <v>520</v>
      </c>
      <c r="K48" s="467">
        <f>SUM(K42:K47)</f>
        <v>25</v>
      </c>
      <c r="L48" s="468">
        <f>SUM(L42:L47)</f>
        <v>110</v>
      </c>
      <c r="M48" s="322">
        <f>(N42*O42)+(N43*O43)+(N44*O44)+(N45*O45)+(N46*O46)+(N47*O47)</f>
        <v>440</v>
      </c>
      <c r="N48" s="323">
        <f>SUM(N42:N47)</f>
        <v>17</v>
      </c>
      <c r="O48" s="324">
        <f>SUM(O42:O47)</f>
        <v>90</v>
      </c>
      <c r="P48" s="466">
        <f>(Q42*R42)+(Q43*R43)+(Q44*R44)+(Q45*R45)+(Q46*R46)+(Q47*R47)</f>
        <v>290</v>
      </c>
      <c r="Q48" s="467">
        <f>SUM(Q42:Q47)</f>
        <v>13</v>
      </c>
      <c r="R48" s="468">
        <f>SUM(R42:R47)</f>
        <v>65</v>
      </c>
      <c r="S48" s="422"/>
      <c r="T48" s="423">
        <f>D48+G48+J48+M48+P48</f>
        <v>1910</v>
      </c>
      <c r="U48" s="311"/>
      <c r="V48" s="311"/>
      <c r="W48" s="311"/>
      <c r="X48" s="311"/>
      <c r="Y48" s="311"/>
      <c r="Z48" s="311"/>
      <c r="AA48" s="311"/>
      <c r="AB48" s="311"/>
      <c r="AC48" s="311"/>
      <c r="AD48" s="311"/>
      <c r="AE48" s="311"/>
      <c r="AF48" s="311"/>
      <c r="AG48" s="311"/>
      <c r="AH48" s="311"/>
      <c r="AI48" s="311"/>
      <c r="AJ48" s="311"/>
      <c r="AK48" s="311"/>
      <c r="AL48" s="311"/>
      <c r="AM48" s="311"/>
      <c r="AN48" s="311"/>
      <c r="AO48" s="311"/>
      <c r="AP48" s="311"/>
      <c r="AQ48" s="311"/>
      <c r="AR48" s="311"/>
      <c r="AS48" s="311"/>
      <c r="AT48" s="312"/>
    </row>
    <row r="49" spans="1:46" ht="50.1" customHeight="1" x14ac:dyDescent="0.25">
      <c r="A49" s="483"/>
      <c r="B49" s="427"/>
      <c r="C49" s="427"/>
      <c r="D49" s="427"/>
      <c r="E49" s="427"/>
      <c r="F49" s="427"/>
      <c r="G49" s="427"/>
      <c r="H49" s="427"/>
      <c r="I49" s="427"/>
      <c r="J49" s="427"/>
      <c r="K49" s="427"/>
      <c r="L49" s="427"/>
      <c r="M49" s="427"/>
      <c r="N49" s="427"/>
      <c r="O49" s="427"/>
      <c r="P49" s="427"/>
      <c r="Q49" s="427"/>
      <c r="R49" s="427"/>
      <c r="S49" s="427"/>
      <c r="T49" s="427"/>
      <c r="U49" s="311"/>
      <c r="V49" s="311"/>
      <c r="W49" s="311"/>
      <c r="X49" s="311"/>
      <c r="Y49" s="311"/>
      <c r="Z49" s="311"/>
      <c r="AA49" s="311"/>
      <c r="AB49" s="311"/>
      <c r="AC49" s="311"/>
      <c r="AD49" s="311"/>
      <c r="AE49" s="311"/>
      <c r="AF49" s="311"/>
      <c r="AG49" s="311"/>
      <c r="AH49" s="311"/>
      <c r="AI49" s="311"/>
      <c r="AJ49" s="311"/>
      <c r="AK49" s="311"/>
      <c r="AL49" s="311"/>
      <c r="AM49" s="311"/>
      <c r="AN49" s="311"/>
      <c r="AO49" s="311"/>
      <c r="AP49" s="311"/>
      <c r="AQ49" s="311"/>
      <c r="AR49" s="311"/>
      <c r="AS49" s="311"/>
      <c r="AT49" s="312"/>
    </row>
  </sheetData>
  <mergeCells count="140">
    <mergeCell ref="AN32:AN37"/>
    <mergeCell ref="AO32:AO37"/>
    <mergeCell ref="B39:T39"/>
    <mergeCell ref="A40:A47"/>
    <mergeCell ref="D40:F40"/>
    <mergeCell ref="G40:I40"/>
    <mergeCell ref="J40:L40"/>
    <mergeCell ref="M40:O40"/>
    <mergeCell ref="B42:B47"/>
    <mergeCell ref="C42:C47"/>
    <mergeCell ref="S42:S47"/>
    <mergeCell ref="T42:T47"/>
    <mergeCell ref="P40:R40"/>
    <mergeCell ref="D41:F41"/>
    <mergeCell ref="G41:I41"/>
    <mergeCell ref="J41:L41"/>
    <mergeCell ref="M41:O41"/>
    <mergeCell ref="P41:R41"/>
    <mergeCell ref="AK31:AM31"/>
    <mergeCell ref="B32:B37"/>
    <mergeCell ref="C32:C37"/>
    <mergeCell ref="G32:I37"/>
    <mergeCell ref="S32:S37"/>
    <mergeCell ref="T32:T37"/>
    <mergeCell ref="W32:W37"/>
    <mergeCell ref="X32:X37"/>
    <mergeCell ref="AK32:AM37"/>
    <mergeCell ref="D31:F31"/>
    <mergeCell ref="G31:I31"/>
    <mergeCell ref="J31:L31"/>
    <mergeCell ref="M31:O31"/>
    <mergeCell ref="P31:R31"/>
    <mergeCell ref="Y31:AA31"/>
    <mergeCell ref="AB31:AD31"/>
    <mergeCell ref="AE31:AG31"/>
    <mergeCell ref="AH31:AJ31"/>
    <mergeCell ref="AN23:AN28"/>
    <mergeCell ref="AO23:AO28"/>
    <mergeCell ref="D30:F30"/>
    <mergeCell ref="G30:I30"/>
    <mergeCell ref="J30:L30"/>
    <mergeCell ref="M30:O30"/>
    <mergeCell ref="P30:R30"/>
    <mergeCell ref="Y30:AA30"/>
    <mergeCell ref="AB30:AD30"/>
    <mergeCell ref="AE30:AG30"/>
    <mergeCell ref="AH30:AJ30"/>
    <mergeCell ref="AK30:AM30"/>
    <mergeCell ref="AE22:AG22"/>
    <mergeCell ref="AH22:AJ22"/>
    <mergeCell ref="AK22:AM22"/>
    <mergeCell ref="B23:B28"/>
    <mergeCell ref="C23:C28"/>
    <mergeCell ref="G23:I28"/>
    <mergeCell ref="S23:S28"/>
    <mergeCell ref="T23:T28"/>
    <mergeCell ref="W23:W28"/>
    <mergeCell ref="D22:F22"/>
    <mergeCell ref="G22:I22"/>
    <mergeCell ref="J22:L22"/>
    <mergeCell ref="M22:O22"/>
    <mergeCell ref="P22:R22"/>
    <mergeCell ref="X23:X28"/>
    <mergeCell ref="AK23:AM28"/>
    <mergeCell ref="AN13:AN18"/>
    <mergeCell ref="AO13:AO18"/>
    <mergeCell ref="B20:T20"/>
    <mergeCell ref="W20:AO20"/>
    <mergeCell ref="A21:A37"/>
    <mergeCell ref="D21:F21"/>
    <mergeCell ref="G21:I21"/>
    <mergeCell ref="J21:L21"/>
    <mergeCell ref="M21:O21"/>
    <mergeCell ref="P21:R21"/>
    <mergeCell ref="A2:A18"/>
    <mergeCell ref="D2:F2"/>
    <mergeCell ref="G2:I2"/>
    <mergeCell ref="J2:L2"/>
    <mergeCell ref="M2:O2"/>
    <mergeCell ref="P2:R2"/>
    <mergeCell ref="Y22:AA22"/>
    <mergeCell ref="V21:V37"/>
    <mergeCell ref="Y21:AA21"/>
    <mergeCell ref="AB21:AD21"/>
    <mergeCell ref="AE21:AG21"/>
    <mergeCell ref="AH21:AJ21"/>
    <mergeCell ref="AK21:AM21"/>
    <mergeCell ref="AB22:AD22"/>
    <mergeCell ref="B13:B18"/>
    <mergeCell ref="C13:C18"/>
    <mergeCell ref="S13:S18"/>
    <mergeCell ref="T13:T18"/>
    <mergeCell ref="W13:W18"/>
    <mergeCell ref="X13:X18"/>
    <mergeCell ref="D12:F12"/>
    <mergeCell ref="G12:I12"/>
    <mergeCell ref="J12:L12"/>
    <mergeCell ref="M12:O12"/>
    <mergeCell ref="P12:R12"/>
    <mergeCell ref="AN4:AN9"/>
    <mergeCell ref="AO4:AO9"/>
    <mergeCell ref="D11:F11"/>
    <mergeCell ref="G11:I11"/>
    <mergeCell ref="J11:L11"/>
    <mergeCell ref="M11:O11"/>
    <mergeCell ref="P11:R11"/>
    <mergeCell ref="Y11:AA11"/>
    <mergeCell ref="AB11:AD11"/>
    <mergeCell ref="AE11:AG11"/>
    <mergeCell ref="B4:B9"/>
    <mergeCell ref="C4:C9"/>
    <mergeCell ref="S4:S9"/>
    <mergeCell ref="T4:T9"/>
    <mergeCell ref="W4:W9"/>
    <mergeCell ref="X4:X9"/>
    <mergeCell ref="P3:R3"/>
    <mergeCell ref="Y3:AA3"/>
    <mergeCell ref="AB3:AD3"/>
    <mergeCell ref="D3:F3"/>
    <mergeCell ref="G3:I3"/>
    <mergeCell ref="J3:L3"/>
    <mergeCell ref="M3:O3"/>
    <mergeCell ref="U2:U6"/>
    <mergeCell ref="U7:U8"/>
    <mergeCell ref="AE3:AG3"/>
    <mergeCell ref="AH3:AJ3"/>
    <mergeCell ref="AK3:AM3"/>
    <mergeCell ref="V2:V18"/>
    <mergeCell ref="Y2:AA2"/>
    <mergeCell ref="AB2:AD2"/>
    <mergeCell ref="AE2:AG2"/>
    <mergeCell ref="AH2:AJ2"/>
    <mergeCell ref="AK2:AM2"/>
    <mergeCell ref="AH11:AJ11"/>
    <mergeCell ref="AK11:AM11"/>
    <mergeCell ref="AB12:AD12"/>
    <mergeCell ref="AE12:AG12"/>
    <mergeCell ref="AH12:AJ12"/>
    <mergeCell ref="AK12:AM12"/>
    <mergeCell ref="Y12:AA12"/>
  </mergeCells>
  <pageMargins left="0.25" right="0.25" top="0.75" bottom="0.75" header="0.3" footer="0.3"/>
  <pageSetup paperSize="8" scale="4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37</vt:i4>
      </vt:variant>
      <vt:variant>
        <vt:lpstr>Benannte Bereiche</vt:lpstr>
      </vt:variant>
      <vt:variant>
        <vt:i4>32</vt:i4>
      </vt:variant>
    </vt:vector>
  </HeadingPairs>
  <TitlesOfParts>
    <vt:vector size="69" baseType="lpstr">
      <vt:lpstr>UnterkörperA</vt:lpstr>
      <vt:lpstr>OberkörperA</vt:lpstr>
      <vt:lpstr>UnterkörperB</vt:lpstr>
      <vt:lpstr>OberkörperB</vt:lpstr>
      <vt:lpstr>UnterkörperC</vt:lpstr>
      <vt:lpstr>OberkörperC</vt:lpstr>
      <vt:lpstr>UnterkörperD</vt:lpstr>
      <vt:lpstr>OberkörperD</vt:lpstr>
      <vt:lpstr>UnterkörperE</vt:lpstr>
      <vt:lpstr>OberkörperE</vt:lpstr>
      <vt:lpstr>UnterkörperF</vt:lpstr>
      <vt:lpstr>OberkörperF</vt:lpstr>
      <vt:lpstr>Unterkörper1</vt:lpstr>
      <vt:lpstr>Oberkörper1</vt:lpstr>
      <vt:lpstr>Unterkörper2</vt:lpstr>
      <vt:lpstr>Oberkörper2</vt:lpstr>
      <vt:lpstr>Unterkörper3</vt:lpstr>
      <vt:lpstr>Oberkörper3</vt:lpstr>
      <vt:lpstr>Unterkörper4</vt:lpstr>
      <vt:lpstr>Oberkörper4</vt:lpstr>
      <vt:lpstr>Unterkörper5</vt:lpstr>
      <vt:lpstr>Oberkörper5</vt:lpstr>
      <vt:lpstr>Unterkörper6</vt:lpstr>
      <vt:lpstr>Oberkörper6</vt:lpstr>
      <vt:lpstr>Unterkörper7</vt:lpstr>
      <vt:lpstr>Oberkörper7</vt:lpstr>
      <vt:lpstr>Unterkörper8</vt:lpstr>
      <vt:lpstr>Oberkörper8</vt:lpstr>
      <vt:lpstr>Unterkörper9</vt:lpstr>
      <vt:lpstr>Oberkörper9</vt:lpstr>
      <vt:lpstr>Unterkörper10</vt:lpstr>
      <vt:lpstr>Oberkörper10</vt:lpstr>
      <vt:lpstr>BH1-2 Progressionen</vt:lpstr>
      <vt:lpstr> Unterkörper Progressionen </vt:lpstr>
      <vt:lpstr>Oberkörper Progressionen </vt:lpstr>
      <vt:lpstr>Level 1 bis 6</vt:lpstr>
      <vt:lpstr>Level 7 bis 9</vt:lpstr>
      <vt:lpstr>Oberkörper1!Druckbereich</vt:lpstr>
      <vt:lpstr>Oberkörper10!Druckbereich</vt:lpstr>
      <vt:lpstr>Oberkörper2!Druckbereich</vt:lpstr>
      <vt:lpstr>Oberkörper3!Druckbereich</vt:lpstr>
      <vt:lpstr>Oberkörper4!Druckbereich</vt:lpstr>
      <vt:lpstr>Oberkörper5!Druckbereich</vt:lpstr>
      <vt:lpstr>Oberkörper6!Druckbereich</vt:lpstr>
      <vt:lpstr>Oberkörper7!Druckbereich</vt:lpstr>
      <vt:lpstr>Oberkörper8!Druckbereich</vt:lpstr>
      <vt:lpstr>Oberkörper9!Druckbereich</vt:lpstr>
      <vt:lpstr>OberkörperA!Druckbereich</vt:lpstr>
      <vt:lpstr>OberkörperB!Druckbereich</vt:lpstr>
      <vt:lpstr>OberkörperC!Druckbereich</vt:lpstr>
      <vt:lpstr>OberkörperD!Druckbereich</vt:lpstr>
      <vt:lpstr>OberkörperE!Druckbereich</vt:lpstr>
      <vt:lpstr>OberkörperF!Druckbereich</vt:lpstr>
      <vt:lpstr>Unterkörper1!Druckbereich</vt:lpstr>
      <vt:lpstr>Unterkörper10!Druckbereich</vt:lpstr>
      <vt:lpstr>Unterkörper2!Druckbereich</vt:lpstr>
      <vt:lpstr>Unterkörper3!Druckbereich</vt:lpstr>
      <vt:lpstr>Unterkörper4!Druckbereich</vt:lpstr>
      <vt:lpstr>Unterkörper5!Druckbereich</vt:lpstr>
      <vt:lpstr>Unterkörper6!Druckbereich</vt:lpstr>
      <vt:lpstr>Unterkörper7!Druckbereich</vt:lpstr>
      <vt:lpstr>Unterkörper8!Druckbereich</vt:lpstr>
      <vt:lpstr>Unterkörper9!Druckbereich</vt:lpstr>
      <vt:lpstr>UnterkörperA!Druckbereich</vt:lpstr>
      <vt:lpstr>UnterkörperB!Druckbereich</vt:lpstr>
      <vt:lpstr>UnterkörperC!Druckbereich</vt:lpstr>
      <vt:lpstr>UnterkörperD!Druckbereich</vt:lpstr>
      <vt:lpstr>UnterkörperE!Druckbereich</vt:lpstr>
      <vt:lpstr>UnterkörperF!Druckbereich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Annegret Hegner</dc:creator>
  <cp:lastModifiedBy>Arne Carl</cp:lastModifiedBy>
  <cp:lastPrinted>2026-02-23T13:34:22Z</cp:lastPrinted>
  <dcterms:created xsi:type="dcterms:W3CDTF">2021-02-08T09:54:42Z</dcterms:created>
  <dcterms:modified xsi:type="dcterms:W3CDTF">2026-02-23T18:00:30Z</dcterms:modified>
</cp:coreProperties>
</file>