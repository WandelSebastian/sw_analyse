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.carl\Desktop\"/>
    </mc:Choice>
  </mc:AlternateContent>
  <xr:revisionPtr revIDLastSave="0" documentId="13_ncr:1_{84575176-2FB1-4A68-A26B-12D6B54A4CC6}" xr6:coauthVersionLast="47" xr6:coauthVersionMax="47" xr10:uidLastSave="{00000000-0000-0000-0000-000000000000}"/>
  <bookViews>
    <workbookView xWindow="-120" yWindow="-120" windowWidth="29040" windowHeight="15720" firstSheet="27" activeTab="28" xr2:uid="{00000000-000D-0000-FFFF-FFFF00000000}"/>
  </bookViews>
  <sheets>
    <sheet name="UnterkörperA" sheetId="1" r:id="rId1"/>
    <sheet name="OberkörperA" sheetId="5" r:id="rId2"/>
    <sheet name="UnterkörperB" sheetId="7" r:id="rId3"/>
    <sheet name="OberkörperB" sheetId="8" r:id="rId4"/>
    <sheet name="UnterkörperC" sheetId="9" r:id="rId5"/>
    <sheet name="OberkörperC" sheetId="10" r:id="rId6"/>
    <sheet name="UnterkörperD" sheetId="11" r:id="rId7"/>
    <sheet name="OberkörperD" sheetId="12" r:id="rId8"/>
    <sheet name="UnterkörperE" sheetId="13" r:id="rId9"/>
    <sheet name="OberkörperE" sheetId="14" r:id="rId10"/>
    <sheet name="UnterkörperF" sheetId="15" r:id="rId11"/>
    <sheet name="OberkörperF" sheetId="16" r:id="rId12"/>
    <sheet name="Unterkörper1" sheetId="22" r:id="rId13"/>
    <sheet name="Oberkörper1" sheetId="23" r:id="rId14"/>
    <sheet name="Unterkörper2" sheetId="24" r:id="rId15"/>
    <sheet name="Oberkörper2" sheetId="25" r:id="rId16"/>
    <sheet name="Unterkörper3" sheetId="26" r:id="rId17"/>
    <sheet name="Oberkörper3" sheetId="27" r:id="rId18"/>
    <sheet name="Unterkörper4" sheetId="30" r:id="rId19"/>
    <sheet name="Oberkörper4" sheetId="31" r:id="rId20"/>
    <sheet name="Unterkörper5" sheetId="32" r:id="rId21"/>
    <sheet name="Oberkörper5" sheetId="33" r:id="rId22"/>
    <sheet name="Unterkörper6" sheetId="34" r:id="rId23"/>
    <sheet name="Oberkörper6" sheetId="35" r:id="rId24"/>
    <sheet name="Warm Up" sheetId="4" r:id="rId25"/>
    <sheet name=" Unterkörper Progressionen " sheetId="2" r:id="rId26"/>
    <sheet name="Oberkörper Progressionen " sheetId="6" r:id="rId27"/>
    <sheet name="Level 1 bis 6" sheetId="36" r:id="rId28"/>
    <sheet name="Level 7 bis 9" sheetId="37" r:id="rId29"/>
  </sheets>
  <externalReferences>
    <externalReference r:id="rId30"/>
  </externalReferences>
  <definedNames>
    <definedName name="_xlnm.Print_Area" localSheetId="13">Oberkörper1!$B$2:$T$43</definedName>
    <definedName name="_xlnm.Print_Area" localSheetId="15">Oberkörper2!$B$2:$T$43</definedName>
    <definedName name="_xlnm.Print_Area" localSheetId="17">Oberkörper3!$B$2:$T$43</definedName>
    <definedName name="_xlnm.Print_Area" localSheetId="19">Oberkörper4!$B$2:$T$43</definedName>
    <definedName name="_xlnm.Print_Area" localSheetId="21">Oberkörper5!$B$2:$T$43</definedName>
    <definedName name="_xlnm.Print_Area" localSheetId="23">Oberkörper6!$B$2:$T$43</definedName>
    <definedName name="_xlnm.Print_Area" localSheetId="1">OberkörperA!$B$2:$T$35</definedName>
    <definedName name="_xlnm.Print_Area" localSheetId="3">OberkörperB!$B$2:$T$39</definedName>
    <definedName name="_xlnm.Print_Area" localSheetId="5">OberkörperC!$B$2:$T$39</definedName>
    <definedName name="_xlnm.Print_Area" localSheetId="7">OberkörperD!$B$2:$T$39</definedName>
    <definedName name="_xlnm.Print_Area" localSheetId="9">OberkörperE!$B$2:$T$39</definedName>
    <definedName name="_xlnm.Print_Area" localSheetId="11">OberkörperF!$B$2:$T$39</definedName>
    <definedName name="_xlnm.Print_Area" localSheetId="12">Unterkörper1!$B$2:$T$44</definedName>
    <definedName name="_xlnm.Print_Area" localSheetId="14">Unterkörper2!$B$2:$T$44</definedName>
    <definedName name="_xlnm.Print_Area" localSheetId="16">Unterkörper3!$B$2:$T$44</definedName>
    <definedName name="_xlnm.Print_Area" localSheetId="18">Unterkörper4!$B$2:$T$44</definedName>
    <definedName name="_xlnm.Print_Area" localSheetId="20">Unterkörper5!$B$2:$T$44</definedName>
    <definedName name="_xlnm.Print_Area" localSheetId="22">Unterkörper6!$B$2:$T$44</definedName>
    <definedName name="_xlnm.Print_Area" localSheetId="0">UnterkörperA!$B$2:$T$38</definedName>
    <definedName name="_xlnm.Print_Area" localSheetId="2">UnterkörperB!$B$2:$T$38</definedName>
    <definedName name="_xlnm.Print_Area" localSheetId="4">UnterkörperC!$B$2:$T$42</definedName>
    <definedName name="_xlnm.Print_Area" localSheetId="6">UnterkörperD!$B$2:$T$42</definedName>
    <definedName name="_xlnm.Print_Area" localSheetId="8">UnterkörperE!$B$2:$T$42</definedName>
    <definedName name="_xlnm.Print_Area" localSheetId="10">UnterkörperF!$B$2:$T$42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" i="37" l="1"/>
  <c r="Q48" i="37"/>
  <c r="P48" i="37"/>
  <c r="O48" i="37"/>
  <c r="N48" i="37"/>
  <c r="M48" i="37"/>
  <c r="L48" i="37"/>
  <c r="K48" i="37"/>
  <c r="J48" i="37"/>
  <c r="I48" i="37"/>
  <c r="H48" i="37"/>
  <c r="G48" i="37"/>
  <c r="F48" i="37"/>
  <c r="E48" i="37"/>
  <c r="D48" i="37"/>
  <c r="T48" i="37" s="1"/>
  <c r="AM38" i="37"/>
  <c r="AL38" i="37"/>
  <c r="AK38" i="37"/>
  <c r="AJ38" i="37"/>
  <c r="AI38" i="37"/>
  <c r="AH38" i="37"/>
  <c r="AG38" i="37"/>
  <c r="AF38" i="37"/>
  <c r="AE38" i="37"/>
  <c r="AD38" i="37"/>
  <c r="AC38" i="37"/>
  <c r="AB38" i="37"/>
  <c r="AA38" i="37"/>
  <c r="Z38" i="37"/>
  <c r="Y38" i="37"/>
  <c r="AO38" i="37" s="1"/>
  <c r="R38" i="37"/>
  <c r="Q38" i="37"/>
  <c r="P38" i="37"/>
  <c r="O38" i="37"/>
  <c r="N38" i="37"/>
  <c r="M38" i="37"/>
  <c r="L38" i="37"/>
  <c r="K38" i="37"/>
  <c r="J38" i="37"/>
  <c r="I38" i="37"/>
  <c r="H38" i="37"/>
  <c r="G38" i="37"/>
  <c r="F38" i="37"/>
  <c r="E38" i="37"/>
  <c r="D38" i="37"/>
  <c r="T38" i="37" s="1"/>
  <c r="AM29" i="37"/>
  <c r="AL29" i="37"/>
  <c r="AK29" i="37"/>
  <c r="AJ29" i="37"/>
  <c r="AI29" i="37"/>
  <c r="AH29" i="37"/>
  <c r="AG29" i="37"/>
  <c r="AF29" i="37"/>
  <c r="AE29" i="37"/>
  <c r="AD29" i="37"/>
  <c r="AC29" i="37"/>
  <c r="AB29" i="37"/>
  <c r="AA29" i="37"/>
  <c r="Z29" i="37"/>
  <c r="Y29" i="37"/>
  <c r="AO29" i="37" s="1"/>
  <c r="R29" i="37"/>
  <c r="Q29" i="37"/>
  <c r="P29" i="37"/>
  <c r="O29" i="37"/>
  <c r="N29" i="37"/>
  <c r="M29" i="37"/>
  <c r="L29" i="37"/>
  <c r="K29" i="37"/>
  <c r="J29" i="37"/>
  <c r="I29" i="37"/>
  <c r="H29" i="37"/>
  <c r="G29" i="37"/>
  <c r="F29" i="37"/>
  <c r="E29" i="37"/>
  <c r="D29" i="37"/>
  <c r="T29" i="37" s="1"/>
  <c r="AM19" i="37"/>
  <c r="AL19" i="37"/>
  <c r="AK19" i="37"/>
  <c r="AJ19" i="37"/>
  <c r="AI19" i="37"/>
  <c r="AH19" i="37"/>
  <c r="AG19" i="37"/>
  <c r="AF19" i="37"/>
  <c r="AE19" i="37"/>
  <c r="AD19" i="37"/>
  <c r="AC19" i="37"/>
  <c r="AB19" i="37"/>
  <c r="AA19" i="37"/>
  <c r="Z19" i="37"/>
  <c r="Y19" i="37"/>
  <c r="AO19" i="37" s="1"/>
  <c r="R19" i="37"/>
  <c r="Q19" i="37"/>
  <c r="P19" i="37"/>
  <c r="O19" i="37"/>
  <c r="N19" i="37"/>
  <c r="M19" i="37"/>
  <c r="L19" i="37"/>
  <c r="K19" i="37"/>
  <c r="J19" i="37"/>
  <c r="I19" i="37"/>
  <c r="H19" i="37"/>
  <c r="G19" i="37"/>
  <c r="F19" i="37"/>
  <c r="E19" i="37"/>
  <c r="D19" i="37"/>
  <c r="T19" i="37" s="1"/>
  <c r="AM10" i="37"/>
  <c r="AL10" i="37"/>
  <c r="AK10" i="37"/>
  <c r="AJ10" i="37"/>
  <c r="AI10" i="37"/>
  <c r="AH10" i="37"/>
  <c r="AG10" i="37"/>
  <c r="AF10" i="37"/>
  <c r="AE10" i="37"/>
  <c r="AD10" i="37"/>
  <c r="AC10" i="37"/>
  <c r="AB10" i="37"/>
  <c r="AA10" i="37"/>
  <c r="Z10" i="37"/>
  <c r="Y10" i="37"/>
  <c r="AO10" i="37" s="1"/>
  <c r="R10" i="37"/>
  <c r="Q10" i="37"/>
  <c r="P10" i="37"/>
  <c r="O10" i="37"/>
  <c r="N10" i="37"/>
  <c r="M10" i="37"/>
  <c r="L10" i="37"/>
  <c r="K10" i="37"/>
  <c r="J10" i="37"/>
  <c r="I10" i="37"/>
  <c r="H10" i="37"/>
  <c r="G10" i="37"/>
  <c r="F10" i="37"/>
  <c r="E10" i="37"/>
  <c r="D10" i="37"/>
  <c r="T10" i="37" s="1"/>
  <c r="R48" i="36"/>
  <c r="Q48" i="36"/>
  <c r="P48" i="36"/>
  <c r="O48" i="36"/>
  <c r="N48" i="36"/>
  <c r="M48" i="36"/>
  <c r="L48" i="36"/>
  <c r="K48" i="36"/>
  <c r="J48" i="36"/>
  <c r="I48" i="36"/>
  <c r="H48" i="36"/>
  <c r="G48" i="36"/>
  <c r="F48" i="36"/>
  <c r="E48" i="36"/>
  <c r="D48" i="36"/>
  <c r="T48" i="36" s="1"/>
  <c r="AM38" i="36"/>
  <c r="AL38" i="36"/>
  <c r="AK38" i="36"/>
  <c r="AJ38" i="36"/>
  <c r="AI38" i="36"/>
  <c r="AH38" i="36"/>
  <c r="AG38" i="36"/>
  <c r="AF38" i="36"/>
  <c r="AE38" i="36"/>
  <c r="AD38" i="36"/>
  <c r="AC38" i="36"/>
  <c r="AB38" i="36"/>
  <c r="AA38" i="36"/>
  <c r="Z38" i="36"/>
  <c r="Y38" i="36"/>
  <c r="AO38" i="36" s="1"/>
  <c r="R38" i="36"/>
  <c r="Q38" i="36"/>
  <c r="P38" i="36"/>
  <c r="O38" i="36"/>
  <c r="N38" i="36"/>
  <c r="M38" i="36"/>
  <c r="L38" i="36"/>
  <c r="K38" i="36"/>
  <c r="J38" i="36"/>
  <c r="I38" i="36"/>
  <c r="H38" i="36"/>
  <c r="G38" i="36"/>
  <c r="F38" i="36"/>
  <c r="E38" i="36"/>
  <c r="D38" i="36"/>
  <c r="T38" i="36" s="1"/>
  <c r="AM29" i="36"/>
  <c r="AL29" i="36"/>
  <c r="AK29" i="36"/>
  <c r="AJ29" i="36"/>
  <c r="AI29" i="36"/>
  <c r="AH29" i="36"/>
  <c r="AG29" i="36"/>
  <c r="AF29" i="36"/>
  <c r="AE29" i="36"/>
  <c r="AD29" i="36"/>
  <c r="AC29" i="36"/>
  <c r="AB29" i="36"/>
  <c r="AA29" i="36"/>
  <c r="Z29" i="36"/>
  <c r="Y29" i="36"/>
  <c r="AO29" i="36" s="1"/>
  <c r="R29" i="36"/>
  <c r="Q29" i="36"/>
  <c r="P29" i="36"/>
  <c r="O29" i="36"/>
  <c r="N29" i="36"/>
  <c r="M29" i="36"/>
  <c r="L29" i="36"/>
  <c r="K29" i="36"/>
  <c r="J29" i="36"/>
  <c r="I29" i="36"/>
  <c r="H29" i="36"/>
  <c r="G29" i="36"/>
  <c r="F29" i="36"/>
  <c r="E29" i="36"/>
  <c r="D29" i="36"/>
  <c r="T29" i="36" s="1"/>
  <c r="AM19" i="36"/>
  <c r="AL19" i="36"/>
  <c r="AK19" i="36"/>
  <c r="AJ19" i="36"/>
  <c r="AI19" i="36"/>
  <c r="AH19" i="36"/>
  <c r="AG19" i="36"/>
  <c r="AF19" i="36"/>
  <c r="AE19" i="36"/>
  <c r="AD19" i="36"/>
  <c r="AC19" i="36"/>
  <c r="AB19" i="36"/>
  <c r="AA19" i="36"/>
  <c r="Z19" i="36"/>
  <c r="Y19" i="36"/>
  <c r="AO19" i="36" s="1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D19" i="36"/>
  <c r="T19" i="36" s="1"/>
  <c r="AM10" i="36"/>
  <c r="AL10" i="36"/>
  <c r="AK10" i="36"/>
  <c r="AJ10" i="36"/>
  <c r="AI10" i="36"/>
  <c r="AH10" i="36"/>
  <c r="AG10" i="36"/>
  <c r="AF10" i="36"/>
  <c r="AE10" i="36"/>
  <c r="AD10" i="36"/>
  <c r="AC10" i="36"/>
  <c r="AB10" i="36"/>
  <c r="AA10" i="36"/>
  <c r="Z10" i="36"/>
  <c r="Y10" i="36"/>
  <c r="AO10" i="36" s="1"/>
  <c r="R10" i="36"/>
  <c r="Q10" i="36"/>
  <c r="P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T10" i="36" s="1"/>
  <c r="R14" i="35"/>
  <c r="R13" i="35"/>
  <c r="N14" i="35"/>
  <c r="N13" i="35"/>
  <c r="J14" i="35"/>
  <c r="J13" i="35"/>
  <c r="G14" i="35"/>
  <c r="G13" i="35"/>
  <c r="E14" i="35"/>
  <c r="E13" i="35"/>
  <c r="B14" i="35"/>
  <c r="B13" i="35"/>
  <c r="B15" i="35"/>
  <c r="N43" i="35"/>
  <c r="S43" i="35" s="1"/>
  <c r="N42" i="35"/>
  <c r="S42" i="35" s="1"/>
  <c r="N41" i="35"/>
  <c r="S41" i="35" s="1"/>
  <c r="S38" i="35"/>
  <c r="N38" i="35"/>
  <c r="S37" i="35"/>
  <c r="N37" i="35"/>
  <c r="S36" i="35"/>
  <c r="N36" i="35"/>
  <c r="S34" i="35"/>
  <c r="N34" i="35"/>
  <c r="S33" i="35"/>
  <c r="N33" i="35"/>
  <c r="S32" i="35"/>
  <c r="N32" i="35"/>
  <c r="S29" i="35"/>
  <c r="N29" i="35"/>
  <c r="S28" i="35"/>
  <c r="N28" i="35"/>
  <c r="S27" i="35"/>
  <c r="N27" i="35"/>
  <c r="S25" i="35"/>
  <c r="N25" i="35"/>
  <c r="S24" i="35"/>
  <c r="N24" i="35"/>
  <c r="S23" i="35"/>
  <c r="N23" i="35"/>
  <c r="L22" i="35"/>
  <c r="Q22" i="35" s="1"/>
  <c r="T20" i="35"/>
  <c r="O20" i="35"/>
  <c r="T19" i="35"/>
  <c r="O19" i="35"/>
  <c r="C5" i="35"/>
  <c r="N44" i="34"/>
  <c r="S44" i="34" s="1"/>
  <c r="N43" i="34"/>
  <c r="S43" i="34" s="1"/>
  <c r="N42" i="34"/>
  <c r="S42" i="34" s="1"/>
  <c r="N39" i="34"/>
  <c r="S39" i="34" s="1"/>
  <c r="N38" i="34"/>
  <c r="S38" i="34" s="1"/>
  <c r="N37" i="34"/>
  <c r="S37" i="34" s="1"/>
  <c r="N35" i="34"/>
  <c r="S35" i="34" s="1"/>
  <c r="N34" i="34"/>
  <c r="S34" i="34" s="1"/>
  <c r="S33" i="34"/>
  <c r="N33" i="34"/>
  <c r="N30" i="34"/>
  <c r="S30" i="34" s="1"/>
  <c r="N29" i="34"/>
  <c r="S29" i="34" s="1"/>
  <c r="N28" i="34"/>
  <c r="S28" i="34" s="1"/>
  <c r="N26" i="34"/>
  <c r="S26" i="34" s="1"/>
  <c r="N25" i="34"/>
  <c r="S25" i="34" s="1"/>
  <c r="N24" i="34"/>
  <c r="S24" i="34" s="1"/>
  <c r="L23" i="34"/>
  <c r="Q23" i="34" s="1"/>
  <c r="T21" i="34"/>
  <c r="O21" i="34"/>
  <c r="T20" i="34"/>
  <c r="O20" i="34"/>
  <c r="B15" i="33"/>
  <c r="R14" i="33"/>
  <c r="R13" i="33"/>
  <c r="N14" i="33"/>
  <c r="N13" i="33"/>
  <c r="J14" i="33"/>
  <c r="J13" i="33"/>
  <c r="G14" i="33"/>
  <c r="G13" i="33"/>
  <c r="E14" i="33"/>
  <c r="E13" i="33"/>
  <c r="B14" i="33"/>
  <c r="B13" i="33"/>
  <c r="N43" i="33"/>
  <c r="S43" i="33" s="1"/>
  <c r="N42" i="33"/>
  <c r="S42" i="33" s="1"/>
  <c r="N41" i="33"/>
  <c r="S41" i="33" s="1"/>
  <c r="S38" i="33"/>
  <c r="N38" i="33"/>
  <c r="S37" i="33"/>
  <c r="N37" i="33"/>
  <c r="S36" i="33"/>
  <c r="N36" i="33"/>
  <c r="S34" i="33"/>
  <c r="N34" i="33"/>
  <c r="S33" i="33"/>
  <c r="N33" i="33"/>
  <c r="S32" i="33"/>
  <c r="N32" i="33"/>
  <c r="S29" i="33"/>
  <c r="N29" i="33"/>
  <c r="S28" i="33"/>
  <c r="N28" i="33"/>
  <c r="S27" i="33"/>
  <c r="N27" i="33"/>
  <c r="S25" i="33"/>
  <c r="N25" i="33"/>
  <c r="S24" i="33"/>
  <c r="N24" i="33"/>
  <c r="S23" i="33"/>
  <c r="N23" i="33"/>
  <c r="L22" i="33"/>
  <c r="Q22" i="33" s="1"/>
  <c r="T20" i="33"/>
  <c r="O20" i="33"/>
  <c r="T19" i="33"/>
  <c r="O19" i="33"/>
  <c r="C5" i="33"/>
  <c r="N44" i="32"/>
  <c r="S44" i="32" s="1"/>
  <c r="N43" i="32"/>
  <c r="S43" i="32" s="1"/>
  <c r="N42" i="32"/>
  <c r="S42" i="32" s="1"/>
  <c r="N39" i="32"/>
  <c r="S39" i="32" s="1"/>
  <c r="N38" i="32"/>
  <c r="S38" i="32" s="1"/>
  <c r="N37" i="32"/>
  <c r="S37" i="32" s="1"/>
  <c r="N35" i="32"/>
  <c r="S35" i="32" s="1"/>
  <c r="N34" i="32"/>
  <c r="S34" i="32" s="1"/>
  <c r="S33" i="32"/>
  <c r="N33" i="32"/>
  <c r="N30" i="32"/>
  <c r="S30" i="32" s="1"/>
  <c r="N29" i="32"/>
  <c r="S29" i="32" s="1"/>
  <c r="N28" i="32"/>
  <c r="S28" i="32" s="1"/>
  <c r="N26" i="32"/>
  <c r="S26" i="32" s="1"/>
  <c r="N25" i="32"/>
  <c r="S25" i="32" s="1"/>
  <c r="N24" i="32"/>
  <c r="S24" i="32" s="1"/>
  <c r="L23" i="32"/>
  <c r="Q23" i="32" s="1"/>
  <c r="T21" i="32"/>
  <c r="O21" i="32"/>
  <c r="T20" i="32"/>
  <c r="O20" i="32"/>
  <c r="R14" i="31"/>
  <c r="R13" i="31"/>
  <c r="N14" i="31"/>
  <c r="N13" i="31"/>
  <c r="J14" i="31"/>
  <c r="J13" i="31"/>
  <c r="G14" i="31"/>
  <c r="G13" i="31"/>
  <c r="E14" i="31"/>
  <c r="E13" i="31"/>
  <c r="B14" i="31"/>
  <c r="B13" i="31"/>
  <c r="B15" i="31"/>
  <c r="N43" i="31"/>
  <c r="S43" i="31" s="1"/>
  <c r="N42" i="31"/>
  <c r="S42" i="31" s="1"/>
  <c r="N41" i="31"/>
  <c r="S41" i="31" s="1"/>
  <c r="S38" i="31"/>
  <c r="N38" i="31"/>
  <c r="S37" i="31"/>
  <c r="N37" i="31"/>
  <c r="S36" i="31"/>
  <c r="N36" i="31"/>
  <c r="S34" i="31"/>
  <c r="N34" i="31"/>
  <c r="S33" i="31"/>
  <c r="N33" i="31"/>
  <c r="S32" i="31"/>
  <c r="N32" i="31"/>
  <c r="S29" i="31"/>
  <c r="N29" i="31"/>
  <c r="S28" i="31"/>
  <c r="N28" i="31"/>
  <c r="S27" i="31"/>
  <c r="N27" i="31"/>
  <c r="S25" i="31"/>
  <c r="N25" i="31"/>
  <c r="S24" i="31"/>
  <c r="N24" i="31"/>
  <c r="S23" i="31"/>
  <c r="N23" i="31"/>
  <c r="L22" i="31"/>
  <c r="Q22" i="31" s="1"/>
  <c r="T20" i="31"/>
  <c r="O20" i="31"/>
  <c r="T19" i="31"/>
  <c r="O19" i="31"/>
  <c r="C5" i="31"/>
  <c r="N44" i="30"/>
  <c r="S44" i="30" s="1"/>
  <c r="N43" i="30"/>
  <c r="S43" i="30" s="1"/>
  <c r="N42" i="30"/>
  <c r="S42" i="30" s="1"/>
  <c r="N39" i="30"/>
  <c r="S39" i="30" s="1"/>
  <c r="N38" i="30"/>
  <c r="S38" i="30" s="1"/>
  <c r="N37" i="30"/>
  <c r="S37" i="30" s="1"/>
  <c r="N35" i="30"/>
  <c r="S35" i="30" s="1"/>
  <c r="N34" i="30"/>
  <c r="S34" i="30" s="1"/>
  <c r="S33" i="30"/>
  <c r="N33" i="30"/>
  <c r="N30" i="30"/>
  <c r="S30" i="30" s="1"/>
  <c r="N29" i="30"/>
  <c r="S29" i="30" s="1"/>
  <c r="N28" i="30"/>
  <c r="S28" i="30" s="1"/>
  <c r="N26" i="30"/>
  <c r="S26" i="30" s="1"/>
  <c r="N25" i="30"/>
  <c r="S25" i="30" s="1"/>
  <c r="N24" i="30"/>
  <c r="S24" i="30" s="1"/>
  <c r="L23" i="30"/>
  <c r="Q23" i="30" s="1"/>
  <c r="T21" i="30"/>
  <c r="O21" i="30"/>
  <c r="T20" i="30"/>
  <c r="O20" i="30"/>
  <c r="B15" i="27"/>
  <c r="R14" i="27"/>
  <c r="R13" i="27"/>
  <c r="N14" i="27"/>
  <c r="N13" i="27"/>
  <c r="J14" i="27"/>
  <c r="J13" i="27"/>
  <c r="G14" i="27"/>
  <c r="G13" i="27"/>
  <c r="E14" i="27"/>
  <c r="E13" i="27"/>
  <c r="B14" i="27"/>
  <c r="B13" i="27"/>
  <c r="N43" i="27"/>
  <c r="S43" i="27" s="1"/>
  <c r="N42" i="27"/>
  <c r="S42" i="27" s="1"/>
  <c r="N41" i="27"/>
  <c r="S41" i="27" s="1"/>
  <c r="S38" i="27"/>
  <c r="N38" i="27"/>
  <c r="S37" i="27"/>
  <c r="N37" i="27"/>
  <c r="S36" i="27"/>
  <c r="N36" i="27"/>
  <c r="S34" i="27"/>
  <c r="N34" i="27"/>
  <c r="S33" i="27"/>
  <c r="N33" i="27"/>
  <c r="S32" i="27"/>
  <c r="N32" i="27"/>
  <c r="S29" i="27"/>
  <c r="N29" i="27"/>
  <c r="S28" i="27"/>
  <c r="N28" i="27"/>
  <c r="S27" i="27"/>
  <c r="N27" i="27"/>
  <c r="S25" i="27"/>
  <c r="N25" i="27"/>
  <c r="S24" i="27"/>
  <c r="N24" i="27"/>
  <c r="S23" i="27"/>
  <c r="N23" i="27"/>
  <c r="L22" i="27"/>
  <c r="Q22" i="27" s="1"/>
  <c r="T20" i="27"/>
  <c r="O20" i="27"/>
  <c r="T19" i="27"/>
  <c r="O19" i="27"/>
  <c r="C5" i="27"/>
  <c r="N44" i="26"/>
  <c r="S44" i="26" s="1"/>
  <c r="N43" i="26"/>
  <c r="S43" i="26" s="1"/>
  <c r="N42" i="26"/>
  <c r="S42" i="26" s="1"/>
  <c r="N39" i="26"/>
  <c r="S39" i="26" s="1"/>
  <c r="N38" i="26"/>
  <c r="S38" i="26" s="1"/>
  <c r="N37" i="26"/>
  <c r="S37" i="26" s="1"/>
  <c r="N35" i="26"/>
  <c r="S35" i="26" s="1"/>
  <c r="N34" i="26"/>
  <c r="S34" i="26" s="1"/>
  <c r="S33" i="26"/>
  <c r="N33" i="26"/>
  <c r="N30" i="26"/>
  <c r="S30" i="26" s="1"/>
  <c r="N29" i="26"/>
  <c r="S29" i="26" s="1"/>
  <c r="N28" i="26"/>
  <c r="S28" i="26" s="1"/>
  <c r="N26" i="26"/>
  <c r="S26" i="26" s="1"/>
  <c r="N25" i="26"/>
  <c r="S25" i="26" s="1"/>
  <c r="N24" i="26"/>
  <c r="S24" i="26" s="1"/>
  <c r="L23" i="26"/>
  <c r="Q23" i="26" s="1"/>
  <c r="T21" i="26"/>
  <c r="O21" i="26"/>
  <c r="T20" i="26"/>
  <c r="O20" i="26"/>
  <c r="R14" i="25"/>
  <c r="R13" i="25"/>
  <c r="N14" i="25"/>
  <c r="N13" i="25"/>
  <c r="J14" i="25"/>
  <c r="J13" i="25"/>
  <c r="G14" i="25"/>
  <c r="G13" i="25"/>
  <c r="E14" i="25"/>
  <c r="E13" i="25"/>
  <c r="B14" i="25"/>
  <c r="B13" i="25"/>
  <c r="B15" i="25"/>
  <c r="N43" i="25"/>
  <c r="S43" i="25" s="1"/>
  <c r="N42" i="25"/>
  <c r="S42" i="25" s="1"/>
  <c r="N41" i="25"/>
  <c r="S41" i="25" s="1"/>
  <c r="S38" i="25"/>
  <c r="N38" i="25"/>
  <c r="S37" i="25"/>
  <c r="N37" i="25"/>
  <c r="S36" i="25"/>
  <c r="N36" i="25"/>
  <c r="S34" i="25"/>
  <c r="N34" i="25"/>
  <c r="S33" i="25"/>
  <c r="N33" i="25"/>
  <c r="S32" i="25"/>
  <c r="N32" i="25"/>
  <c r="S29" i="25"/>
  <c r="N29" i="25"/>
  <c r="S28" i="25"/>
  <c r="N28" i="25"/>
  <c r="S27" i="25"/>
  <c r="N27" i="25"/>
  <c r="S25" i="25"/>
  <c r="N25" i="25"/>
  <c r="S24" i="25"/>
  <c r="N24" i="25"/>
  <c r="S23" i="25"/>
  <c r="N23" i="25"/>
  <c r="L22" i="25"/>
  <c r="Q22" i="25" s="1"/>
  <c r="T20" i="25"/>
  <c r="O20" i="25"/>
  <c r="T19" i="25"/>
  <c r="O19" i="25"/>
  <c r="C5" i="25"/>
  <c r="N44" i="24"/>
  <c r="S44" i="24" s="1"/>
  <c r="N43" i="24"/>
  <c r="S43" i="24" s="1"/>
  <c r="N42" i="24"/>
  <c r="S42" i="24" s="1"/>
  <c r="N39" i="24"/>
  <c r="S39" i="24" s="1"/>
  <c r="N38" i="24"/>
  <c r="S38" i="24" s="1"/>
  <c r="N37" i="24"/>
  <c r="S37" i="24" s="1"/>
  <c r="N35" i="24"/>
  <c r="S35" i="24" s="1"/>
  <c r="N34" i="24"/>
  <c r="S34" i="24" s="1"/>
  <c r="S33" i="24"/>
  <c r="N33" i="24"/>
  <c r="N30" i="24"/>
  <c r="S30" i="24" s="1"/>
  <c r="N29" i="24"/>
  <c r="S29" i="24" s="1"/>
  <c r="N28" i="24"/>
  <c r="S28" i="24" s="1"/>
  <c r="N26" i="24"/>
  <c r="S26" i="24" s="1"/>
  <c r="N25" i="24"/>
  <c r="S25" i="24" s="1"/>
  <c r="N24" i="24"/>
  <c r="S24" i="24" s="1"/>
  <c r="L23" i="24"/>
  <c r="Q23" i="24" s="1"/>
  <c r="T21" i="24"/>
  <c r="O21" i="24"/>
  <c r="T20" i="24"/>
  <c r="O20" i="24"/>
  <c r="B15" i="23" l="1"/>
  <c r="R14" i="23"/>
  <c r="N14" i="23"/>
  <c r="J14" i="23"/>
  <c r="G14" i="23"/>
  <c r="E14" i="23"/>
  <c r="B14" i="23"/>
  <c r="R13" i="23"/>
  <c r="N13" i="23"/>
  <c r="J13" i="23"/>
  <c r="G13" i="23"/>
  <c r="E13" i="23"/>
  <c r="B13" i="23"/>
  <c r="N43" i="23"/>
  <c r="S43" i="23" s="1"/>
  <c r="N42" i="23"/>
  <c r="S42" i="23" s="1"/>
  <c r="N41" i="23"/>
  <c r="S41" i="23" s="1"/>
  <c r="S38" i="23"/>
  <c r="N38" i="23"/>
  <c r="S37" i="23"/>
  <c r="N37" i="23"/>
  <c r="S36" i="23"/>
  <c r="N36" i="23"/>
  <c r="S34" i="23"/>
  <c r="N34" i="23"/>
  <c r="S33" i="23"/>
  <c r="N33" i="23"/>
  <c r="S32" i="23"/>
  <c r="N32" i="23"/>
  <c r="S29" i="23"/>
  <c r="N29" i="23"/>
  <c r="S28" i="23"/>
  <c r="N28" i="23"/>
  <c r="S27" i="23"/>
  <c r="N27" i="23"/>
  <c r="S25" i="23"/>
  <c r="N25" i="23"/>
  <c r="S24" i="23"/>
  <c r="N24" i="23"/>
  <c r="S23" i="23"/>
  <c r="N23" i="23"/>
  <c r="L22" i="23"/>
  <c r="Q22" i="23" s="1"/>
  <c r="T20" i="23"/>
  <c r="O20" i="23"/>
  <c r="T19" i="23"/>
  <c r="O19" i="23"/>
  <c r="C5" i="23"/>
  <c r="N44" i="22"/>
  <c r="S44" i="22" s="1"/>
  <c r="N43" i="22"/>
  <c r="S43" i="22" s="1"/>
  <c r="N42" i="22"/>
  <c r="S42" i="22" s="1"/>
  <c r="N39" i="22"/>
  <c r="S39" i="22" s="1"/>
  <c r="N38" i="22"/>
  <c r="S38" i="22" s="1"/>
  <c r="N37" i="22"/>
  <c r="S37" i="22" s="1"/>
  <c r="N35" i="22"/>
  <c r="S35" i="22" s="1"/>
  <c r="N34" i="22"/>
  <c r="S34" i="22" s="1"/>
  <c r="S33" i="22"/>
  <c r="N33" i="22"/>
  <c r="N30" i="22"/>
  <c r="S30" i="22" s="1"/>
  <c r="N29" i="22"/>
  <c r="S29" i="22" s="1"/>
  <c r="N28" i="22"/>
  <c r="S28" i="22" s="1"/>
  <c r="N26" i="22"/>
  <c r="S26" i="22" s="1"/>
  <c r="N25" i="22"/>
  <c r="S25" i="22" s="1"/>
  <c r="N24" i="22"/>
  <c r="S24" i="22" s="1"/>
  <c r="L23" i="22"/>
  <c r="Q23" i="22" s="1"/>
  <c r="T21" i="22"/>
  <c r="O21" i="22"/>
  <c r="T20" i="22"/>
  <c r="O20" i="22"/>
  <c r="S28" i="7" l="1"/>
  <c r="N28" i="7"/>
  <c r="S23" i="7"/>
  <c r="S35" i="5"/>
  <c r="N35" i="5"/>
  <c r="S31" i="1"/>
  <c r="N31" i="1"/>
  <c r="S28" i="1"/>
  <c r="N28" i="1"/>
  <c r="S32" i="11" l="1"/>
  <c r="N32" i="11"/>
  <c r="S32" i="13"/>
  <c r="N32" i="13"/>
  <c r="B15" i="16"/>
  <c r="B15" i="14"/>
  <c r="S39" i="16"/>
  <c r="N39" i="16"/>
  <c r="S38" i="16"/>
  <c r="N38" i="16"/>
  <c r="N37" i="16"/>
  <c r="S37" i="16" s="1"/>
  <c r="M37" i="16"/>
  <c r="R37" i="16" s="1"/>
  <c r="S36" i="16"/>
  <c r="N34" i="16"/>
  <c r="S34" i="16" s="1"/>
  <c r="N33" i="16"/>
  <c r="S33" i="16" s="1"/>
  <c r="N31" i="16"/>
  <c r="S31" i="16" s="1"/>
  <c r="N30" i="16"/>
  <c r="S30" i="16" s="1"/>
  <c r="N29" i="16"/>
  <c r="S29" i="16" s="1"/>
  <c r="N28" i="16"/>
  <c r="S28" i="16" s="1"/>
  <c r="S27" i="16"/>
  <c r="N27" i="16"/>
  <c r="N26" i="16"/>
  <c r="N25" i="16"/>
  <c r="S25" i="16" s="1"/>
  <c r="N24" i="16"/>
  <c r="S24" i="16" s="1"/>
  <c r="N23" i="16"/>
  <c r="S23" i="16" s="1"/>
  <c r="L22" i="16"/>
  <c r="Q22" i="16" s="1"/>
  <c r="S10" i="16"/>
  <c r="C5" i="16"/>
  <c r="N42" i="15"/>
  <c r="S42" i="15" s="1"/>
  <c r="S41" i="15"/>
  <c r="N41" i="15"/>
  <c r="S40" i="15"/>
  <c r="N40" i="15"/>
  <c r="N38" i="15"/>
  <c r="S38" i="15" s="1"/>
  <c r="N37" i="15"/>
  <c r="S37" i="15" s="1"/>
  <c r="N36" i="15"/>
  <c r="S36" i="15" s="1"/>
  <c r="S35" i="15"/>
  <c r="N35" i="15"/>
  <c r="N34" i="15"/>
  <c r="S34" i="15" s="1"/>
  <c r="N33" i="15"/>
  <c r="S33" i="15" s="1"/>
  <c r="N31" i="15"/>
  <c r="S31" i="15" s="1"/>
  <c r="N30" i="15"/>
  <c r="S30" i="15" s="1"/>
  <c r="N29" i="15"/>
  <c r="S29" i="15" s="1"/>
  <c r="N28" i="15"/>
  <c r="S28" i="15" s="1"/>
  <c r="N27" i="15"/>
  <c r="N26" i="15"/>
  <c r="N25" i="15"/>
  <c r="S25" i="15" s="1"/>
  <c r="N24" i="15"/>
  <c r="S24" i="15" s="1"/>
  <c r="N23" i="15"/>
  <c r="S23" i="15" s="1"/>
  <c r="L22" i="15"/>
  <c r="Q22" i="15" s="1"/>
  <c r="S39" i="14"/>
  <c r="N39" i="14"/>
  <c r="S38" i="14"/>
  <c r="N38" i="14"/>
  <c r="N37" i="14"/>
  <c r="S37" i="14" s="1"/>
  <c r="M37" i="14"/>
  <c r="R37" i="14" s="1"/>
  <c r="S36" i="14"/>
  <c r="N34" i="14"/>
  <c r="S34" i="14" s="1"/>
  <c r="N33" i="14"/>
  <c r="S33" i="14" s="1"/>
  <c r="N31" i="14"/>
  <c r="S31" i="14" s="1"/>
  <c r="N30" i="14"/>
  <c r="S30" i="14" s="1"/>
  <c r="N29" i="14"/>
  <c r="S29" i="14" s="1"/>
  <c r="N28" i="14"/>
  <c r="S28" i="14" s="1"/>
  <c r="S27" i="14"/>
  <c r="N27" i="14"/>
  <c r="N26" i="14"/>
  <c r="N25" i="14"/>
  <c r="S25" i="14" s="1"/>
  <c r="N24" i="14"/>
  <c r="S24" i="14" s="1"/>
  <c r="N23" i="14"/>
  <c r="S23" i="14" s="1"/>
  <c r="L22" i="14"/>
  <c r="Q22" i="14" s="1"/>
  <c r="S10" i="14"/>
  <c r="C5" i="14"/>
  <c r="N42" i="13"/>
  <c r="S42" i="13" s="1"/>
  <c r="S41" i="13"/>
  <c r="N41" i="13"/>
  <c r="S40" i="13"/>
  <c r="N40" i="13"/>
  <c r="N38" i="13"/>
  <c r="S38" i="13" s="1"/>
  <c r="N37" i="13"/>
  <c r="S37" i="13" s="1"/>
  <c r="N36" i="13"/>
  <c r="S36" i="13" s="1"/>
  <c r="S35" i="13"/>
  <c r="N35" i="13"/>
  <c r="N34" i="13"/>
  <c r="S34" i="13" s="1"/>
  <c r="N33" i="13"/>
  <c r="S33" i="13" s="1"/>
  <c r="N31" i="13"/>
  <c r="S31" i="13" s="1"/>
  <c r="N30" i="13"/>
  <c r="S30" i="13" s="1"/>
  <c r="N29" i="13"/>
  <c r="S29" i="13" s="1"/>
  <c r="N28" i="13"/>
  <c r="S28" i="13" s="1"/>
  <c r="N27" i="13"/>
  <c r="N26" i="13"/>
  <c r="N25" i="13"/>
  <c r="S25" i="13" s="1"/>
  <c r="N24" i="13"/>
  <c r="S24" i="13" s="1"/>
  <c r="N23" i="13"/>
  <c r="S23" i="13" s="1"/>
  <c r="L22" i="13"/>
  <c r="Q22" i="13" s="1"/>
  <c r="B15" i="12"/>
  <c r="S39" i="12"/>
  <c r="N39" i="12"/>
  <c r="S38" i="12"/>
  <c r="N38" i="12"/>
  <c r="N37" i="12"/>
  <c r="S37" i="12" s="1"/>
  <c r="M37" i="12"/>
  <c r="R37" i="12" s="1"/>
  <c r="S36" i="12"/>
  <c r="N34" i="12"/>
  <c r="S34" i="12" s="1"/>
  <c r="N33" i="12"/>
  <c r="S33" i="12" s="1"/>
  <c r="N31" i="12"/>
  <c r="S31" i="12" s="1"/>
  <c r="N30" i="12"/>
  <c r="S30" i="12" s="1"/>
  <c r="N29" i="12"/>
  <c r="S29" i="12" s="1"/>
  <c r="N28" i="12"/>
  <c r="S28" i="12" s="1"/>
  <c r="S27" i="12"/>
  <c r="N27" i="12"/>
  <c r="N26" i="12"/>
  <c r="N25" i="12"/>
  <c r="S25" i="12" s="1"/>
  <c r="N24" i="12"/>
  <c r="S24" i="12" s="1"/>
  <c r="N23" i="12"/>
  <c r="S23" i="12" s="1"/>
  <c r="L22" i="12"/>
  <c r="Q22" i="12" s="1"/>
  <c r="S10" i="12"/>
  <c r="C5" i="12"/>
  <c r="N42" i="11"/>
  <c r="S42" i="11" s="1"/>
  <c r="S41" i="11"/>
  <c r="N41" i="11"/>
  <c r="S40" i="11"/>
  <c r="N40" i="11"/>
  <c r="N38" i="11"/>
  <c r="S38" i="11" s="1"/>
  <c r="N37" i="11"/>
  <c r="S37" i="11" s="1"/>
  <c r="N36" i="11"/>
  <c r="S36" i="11" s="1"/>
  <c r="S35" i="11"/>
  <c r="N35" i="11"/>
  <c r="N34" i="11"/>
  <c r="S34" i="11" s="1"/>
  <c r="N33" i="11"/>
  <c r="S33" i="11" s="1"/>
  <c r="N31" i="11"/>
  <c r="S31" i="11" s="1"/>
  <c r="N30" i="11"/>
  <c r="S30" i="11" s="1"/>
  <c r="N29" i="11"/>
  <c r="S29" i="11" s="1"/>
  <c r="N28" i="11"/>
  <c r="S28" i="11" s="1"/>
  <c r="N27" i="11"/>
  <c r="N26" i="11"/>
  <c r="N25" i="11"/>
  <c r="S25" i="11" s="1"/>
  <c r="N24" i="11"/>
  <c r="S24" i="11" s="1"/>
  <c r="N23" i="11"/>
  <c r="S23" i="11" s="1"/>
  <c r="L22" i="11"/>
  <c r="Q22" i="11" s="1"/>
  <c r="S27" i="10" l="1"/>
  <c r="S35" i="9"/>
  <c r="N35" i="9"/>
  <c r="B15" i="10" l="1"/>
  <c r="S39" i="10"/>
  <c r="N39" i="10"/>
  <c r="S38" i="10"/>
  <c r="N38" i="10"/>
  <c r="N37" i="10"/>
  <c r="S37" i="10" s="1"/>
  <c r="M37" i="10"/>
  <c r="R37" i="10" s="1"/>
  <c r="S36" i="10"/>
  <c r="N34" i="10"/>
  <c r="S34" i="10" s="1"/>
  <c r="N33" i="10"/>
  <c r="S33" i="10" s="1"/>
  <c r="N31" i="10"/>
  <c r="S31" i="10" s="1"/>
  <c r="N30" i="10"/>
  <c r="S30" i="10" s="1"/>
  <c r="N29" i="10"/>
  <c r="S29" i="10" s="1"/>
  <c r="N28" i="10"/>
  <c r="S28" i="10" s="1"/>
  <c r="N27" i="10"/>
  <c r="N26" i="10"/>
  <c r="N25" i="10"/>
  <c r="S25" i="10" s="1"/>
  <c r="N24" i="10"/>
  <c r="S24" i="10" s="1"/>
  <c r="N23" i="10"/>
  <c r="S23" i="10" s="1"/>
  <c r="L22" i="10"/>
  <c r="Q22" i="10" s="1"/>
  <c r="S10" i="10"/>
  <c r="C5" i="10"/>
  <c r="N42" i="9"/>
  <c r="S42" i="9" s="1"/>
  <c r="S41" i="9"/>
  <c r="N41" i="9"/>
  <c r="S40" i="9"/>
  <c r="N40" i="9"/>
  <c r="N38" i="9"/>
  <c r="S38" i="9" s="1"/>
  <c r="N37" i="9"/>
  <c r="S37" i="9" s="1"/>
  <c r="N36" i="9"/>
  <c r="S36" i="9" s="1"/>
  <c r="N34" i="9"/>
  <c r="S34" i="9" s="1"/>
  <c r="N33" i="9"/>
  <c r="S33" i="9" s="1"/>
  <c r="N31" i="9"/>
  <c r="S31" i="9" s="1"/>
  <c r="N30" i="9"/>
  <c r="S30" i="9" s="1"/>
  <c r="N29" i="9"/>
  <c r="S29" i="9" s="1"/>
  <c r="N28" i="9"/>
  <c r="S28" i="9" s="1"/>
  <c r="N27" i="9"/>
  <c r="N26" i="9"/>
  <c r="N25" i="9"/>
  <c r="S25" i="9" s="1"/>
  <c r="N24" i="9"/>
  <c r="S24" i="9" s="1"/>
  <c r="N23" i="9"/>
  <c r="S23" i="9" s="1"/>
  <c r="L22" i="9"/>
  <c r="Q22" i="9" s="1"/>
  <c r="S39" i="8" l="1"/>
  <c r="S38" i="8"/>
  <c r="S36" i="8"/>
  <c r="N39" i="8"/>
  <c r="N38" i="8"/>
  <c r="N37" i="8"/>
  <c r="S37" i="8" s="1"/>
  <c r="S37" i="7"/>
  <c r="S36" i="7"/>
  <c r="N37" i="1"/>
  <c r="S37" i="1" s="1"/>
  <c r="N34" i="1"/>
  <c r="S34" i="1" s="1"/>
  <c r="N33" i="1"/>
  <c r="S33" i="1" s="1"/>
  <c r="N32" i="1"/>
  <c r="S32" i="1" s="1"/>
  <c r="N30" i="1"/>
  <c r="S30" i="1" s="1"/>
  <c r="N29" i="1"/>
  <c r="S29" i="1" s="1"/>
  <c r="N27" i="1"/>
  <c r="S27" i="1" s="1"/>
  <c r="N26" i="1"/>
  <c r="S26" i="1" s="1"/>
  <c r="N25" i="1"/>
  <c r="S25" i="1" s="1"/>
  <c r="N24" i="1"/>
  <c r="S24" i="1" s="1"/>
  <c r="N23" i="1"/>
  <c r="N22" i="1"/>
  <c r="N21" i="1"/>
  <c r="S21" i="1" s="1"/>
  <c r="N20" i="1"/>
  <c r="S20" i="1" s="1"/>
  <c r="N19" i="1"/>
  <c r="S19" i="1" s="1"/>
  <c r="B15" i="8"/>
  <c r="N34" i="7"/>
  <c r="S34" i="7" s="1"/>
  <c r="N33" i="7"/>
  <c r="S33" i="7" s="1"/>
  <c r="N32" i="7"/>
  <c r="S32" i="7" s="1"/>
  <c r="N30" i="7"/>
  <c r="S30" i="7" s="1"/>
  <c r="N29" i="7"/>
  <c r="S29" i="7" s="1"/>
  <c r="N27" i="7"/>
  <c r="S27" i="7" s="1"/>
  <c r="N26" i="7"/>
  <c r="S26" i="7" s="1"/>
  <c r="N25" i="7"/>
  <c r="S25" i="7" s="1"/>
  <c r="N24" i="7"/>
  <c r="S24" i="7" s="1"/>
  <c r="N23" i="7"/>
  <c r="N22" i="7"/>
  <c r="N21" i="7"/>
  <c r="S21" i="7" s="1"/>
  <c r="N20" i="7"/>
  <c r="S20" i="7" s="1"/>
  <c r="N19" i="7"/>
  <c r="S19" i="7" s="1"/>
  <c r="S13" i="8"/>
  <c r="O13" i="8"/>
  <c r="L13" i="8"/>
  <c r="H13" i="8"/>
  <c r="E13" i="8"/>
  <c r="B13" i="8"/>
  <c r="R12" i="8"/>
  <c r="O12" i="8"/>
  <c r="L12" i="8"/>
  <c r="M37" i="8"/>
  <c r="R37" i="8" s="1"/>
  <c r="N34" i="8"/>
  <c r="S34" i="8" s="1"/>
  <c r="N33" i="8"/>
  <c r="S33" i="8" s="1"/>
  <c r="N31" i="8"/>
  <c r="S31" i="8" s="1"/>
  <c r="N30" i="8"/>
  <c r="S30" i="8" s="1"/>
  <c r="N29" i="8"/>
  <c r="S29" i="8" s="1"/>
  <c r="N28" i="8"/>
  <c r="S28" i="8" s="1"/>
  <c r="N27" i="8"/>
  <c r="N26" i="8"/>
  <c r="N25" i="8"/>
  <c r="S25" i="8" s="1"/>
  <c r="N24" i="8"/>
  <c r="S24" i="8" s="1"/>
  <c r="N23" i="8"/>
  <c r="S23" i="8" s="1"/>
  <c r="L22" i="8"/>
  <c r="Q22" i="8" s="1"/>
  <c r="S10" i="8"/>
  <c r="C5" i="8"/>
  <c r="N38" i="7"/>
  <c r="S38" i="7" s="1"/>
  <c r="N37" i="7"/>
  <c r="N36" i="7"/>
  <c r="L18" i="7"/>
  <c r="Q18" i="7" s="1"/>
  <c r="N30" i="5" l="1"/>
  <c r="S30" i="5" s="1"/>
  <c r="N29" i="5"/>
  <c r="S29" i="5" s="1"/>
  <c r="N27" i="5"/>
  <c r="S27" i="5" s="1"/>
  <c r="N26" i="5"/>
  <c r="S26" i="5" s="1"/>
  <c r="N25" i="5"/>
  <c r="S25" i="5" s="1"/>
  <c r="N24" i="5"/>
  <c r="S24" i="5" s="1"/>
  <c r="N23" i="5"/>
  <c r="N22" i="5"/>
  <c r="N21" i="5"/>
  <c r="S21" i="5" s="1"/>
  <c r="N20" i="5"/>
  <c r="S20" i="5" s="1"/>
  <c r="N19" i="5"/>
  <c r="S19" i="5" s="1"/>
  <c r="N33" i="5"/>
  <c r="S33" i="5" s="1"/>
  <c r="M33" i="5"/>
  <c r="R33" i="5" s="1"/>
  <c r="L18" i="5" l="1"/>
  <c r="Q18" i="5" s="1"/>
  <c r="L18" i="1"/>
  <c r="Q18" i="1" s="1"/>
  <c r="N38" i="1" l="1"/>
  <c r="S38" i="1" s="1"/>
  <c r="N36" i="1"/>
  <c r="S36" i="1" s="1"/>
  <c r="B11" i="5" l="1"/>
  <c r="R10" i="5" l="1"/>
  <c r="C5" i="5" l="1"/>
  <c r="N10" i="5"/>
  <c r="J10" i="5"/>
  <c r="G10" i="5"/>
  <c r="E10" i="5"/>
  <c r="B10" i="5"/>
  <c r="R9" i="5"/>
  <c r="N9" i="5"/>
  <c r="J9" i="5"/>
  <c r="G9" i="5"/>
  <c r="E9" i="5"/>
  <c r="B9" i="5"/>
</calcChain>
</file>

<file path=xl/sharedStrings.xml><?xml version="1.0" encoding="utf-8"?>
<sst xmlns="http://schemas.openxmlformats.org/spreadsheetml/2006/main" count="5869" uniqueCount="853">
  <si>
    <t>Body Composition</t>
  </si>
  <si>
    <t>Hight</t>
  </si>
  <si>
    <t>Weight</t>
  </si>
  <si>
    <t>FFMI</t>
  </si>
  <si>
    <t>Fat %</t>
  </si>
  <si>
    <t>Force Expression</t>
  </si>
  <si>
    <t>CMJ</t>
  </si>
  <si>
    <t>10 5</t>
  </si>
  <si>
    <t>DJ</t>
  </si>
  <si>
    <t>RFESS</t>
  </si>
  <si>
    <t>Current Goals</t>
  </si>
  <si>
    <t>Logo</t>
  </si>
  <si>
    <t>Preparatory</t>
  </si>
  <si>
    <t>General Preparation</t>
  </si>
  <si>
    <t>Technical Development</t>
  </si>
  <si>
    <t xml:space="preserve">Accumulation </t>
  </si>
  <si>
    <t>Dynamic</t>
  </si>
  <si>
    <t>1x20</t>
  </si>
  <si>
    <t>Explosiv Block</t>
  </si>
  <si>
    <t>TEMPO</t>
  </si>
  <si>
    <t>RPE</t>
  </si>
  <si>
    <t>SxR</t>
  </si>
  <si>
    <t>WEIGHT</t>
  </si>
  <si>
    <t>EXPL</t>
  </si>
  <si>
    <t>8-9</t>
  </si>
  <si>
    <t>3x5</t>
  </si>
  <si>
    <t>1x30s</t>
  </si>
  <si>
    <t>BW</t>
  </si>
  <si>
    <t>1x20s</t>
  </si>
  <si>
    <t>1x25s</t>
  </si>
  <si>
    <t>TGU ROLL TO 1-ARM PRESS</t>
  </si>
  <si>
    <t>1KB SUITCASE CARRY</t>
  </si>
  <si>
    <t>ANKLE ROCKERS WIPERS</t>
  </si>
  <si>
    <t>ANKLE SKIPS</t>
  </si>
  <si>
    <t xml:space="preserve">1-LEG DROP &amp; CATCH </t>
  </si>
  <si>
    <t>SQUAT JUMP W/PASSIVE ELASTIC</t>
  </si>
  <si>
    <t>ANKLE JUMPS - DOUBLE CONTACT</t>
  </si>
  <si>
    <t>KB/BW GOBLET SQUAT</t>
  </si>
  <si>
    <t>PLANK</t>
  </si>
  <si>
    <t>BW BOTTON-UP SPLIT SQUAT</t>
  </si>
  <si>
    <t>2-LEG GLUTE BRIDGE</t>
  </si>
  <si>
    <t>KN SIDE PLANK</t>
  </si>
  <si>
    <t>1-LEG STANCE</t>
  </si>
  <si>
    <t>1/2-KN ANTIROTATION HOLD - BAND</t>
  </si>
  <si>
    <t>SIDELYING LEG HIP ABDUKTION</t>
  </si>
  <si>
    <t>SIDELYING LEG HIP ADDUKTION</t>
  </si>
  <si>
    <t>SEATED TIBIA BAND RAISE</t>
  </si>
  <si>
    <t>ISO HOLD SPLIT SQUAT</t>
  </si>
  <si>
    <t>1x25s/ea</t>
  </si>
  <si>
    <t>Week 2</t>
  </si>
  <si>
    <t>Week 1</t>
  </si>
  <si>
    <t>Week 3</t>
  </si>
  <si>
    <t>1KB 1-ARM RACK CARRY</t>
  </si>
  <si>
    <t>1KB BOTTOM-UP WAITER CARRY</t>
  </si>
  <si>
    <t>2KB BOTTOM-UP WAITER CARRY</t>
  </si>
  <si>
    <t>1KB OVERHEAD CARRY</t>
  </si>
  <si>
    <t>SANDBAG BEAR HUG CARRY</t>
  </si>
  <si>
    <t>2KB RACK CARRY</t>
  </si>
  <si>
    <t>2KB SUITCASE CARRY</t>
  </si>
  <si>
    <t>OVERHEAD/ SUITCASE CROSS CARRY</t>
  </si>
  <si>
    <t>SANDBAG OVER SHOULDER CARRY</t>
  </si>
  <si>
    <t>SANDBAG ELBOW CROOK CARRY</t>
  </si>
  <si>
    <t>PLANK - SWITCH IN FRONT</t>
  </si>
  <si>
    <t>PLANK - SANDBAG PULL THROUGH</t>
  </si>
  <si>
    <t>PLANK - SWITCH ON BACK</t>
  </si>
  <si>
    <t>PB ROLL-OUT</t>
  </si>
  <si>
    <t>KNEES ELEVATED PB ROLL-OUT</t>
  </si>
  <si>
    <t>AB-WHEEL ROLL-OUT</t>
  </si>
  <si>
    <t>BB ROLL-OUT</t>
  </si>
  <si>
    <t>KNEES ELEVATED BB ROLL-OUT</t>
  </si>
  <si>
    <t>VS BODY SAW - 1-LEG</t>
  </si>
  <si>
    <t>BB RESISTED ROLL-OUT</t>
  </si>
  <si>
    <t>VS STRAIGHT ARM BODY SAW</t>
  </si>
  <si>
    <t>PB STIR THE POT</t>
  </si>
  <si>
    <t>FEET ELEVATED PB STIR THE POT</t>
  </si>
  <si>
    <t>REACTIVE 1-LEG MEDIAL HOP - TO BOX (NCM)</t>
  </si>
  <si>
    <t>1-LEG LATERAL HOP - TO BOX (CM)</t>
  </si>
  <si>
    <t>1-LEG MEDIAL HOP - TO BOX (CM)</t>
  </si>
  <si>
    <t>REACTIVE 1-LEG LATERAL HOP - TO BOX (CM)</t>
  </si>
  <si>
    <t>REACTIVE 1-LEG MEDIAL HOP - TO BOX (CM)</t>
  </si>
  <si>
    <t xml:space="preserve">1-LEG LATERAL HOP - TO BOX (NCM) </t>
  </si>
  <si>
    <t xml:space="preserve">1-LEG MEDIAL HOP - TO BOX (NCM) </t>
  </si>
  <si>
    <t xml:space="preserve">1-LEG LINEAR HOP - TO BOX (NCM) </t>
  </si>
  <si>
    <t xml:space="preserve">REACTIVE 1-LEG LATERAL HOP - TO BOX (NCM) </t>
  </si>
  <si>
    <t xml:space="preserve">KB GOBLET SQUAT (CURL) </t>
  </si>
  <si>
    <t xml:space="preserve">KB GOBLET SQUAT (PRESS OUT) </t>
  </si>
  <si>
    <t xml:space="preserve">KB GOBLET SQUAT (CURL &amp; PRESS) </t>
  </si>
  <si>
    <t>1-ARM 1KB SUMO DL</t>
  </si>
  <si>
    <t>2KB SUITCASE DL</t>
  </si>
  <si>
    <t>1-ARM 1KB SUITCASE DL</t>
  </si>
  <si>
    <t>TRAP BAR DL</t>
  </si>
  <si>
    <t>SIDE PLANK</t>
  </si>
  <si>
    <t>FT ELEVATED SIDE PLANK</t>
  </si>
  <si>
    <t>BENCH OBLIQUE ISO HOLD - CHEST</t>
  </si>
  <si>
    <t>BENCH OBLIQUE ISO HOLD - HEAD</t>
  </si>
  <si>
    <t>BENCH OBLIQUE ISO HOLD - OH</t>
  </si>
  <si>
    <t>LOADED BENCH OBLIQUE ISO HOLD - CHEST</t>
  </si>
  <si>
    <t>LOADED BENCH OBLIQUE ISO HOLD - HEAD</t>
  </si>
  <si>
    <t>LOADED BENCH OBLIQUE ISO HOLD - OH</t>
  </si>
  <si>
    <t>BENCH OBLIQUE ISO HOLD - CHEST PRESS</t>
  </si>
  <si>
    <t>BENCH OBLIQUE ISO HOLD - OH PRESS</t>
  </si>
  <si>
    <t>BENCH OBLIQUE ISO HOLD - OH LIFT</t>
  </si>
  <si>
    <t>BENCH OBLIQUE ISO HOLD - CHEST PASS</t>
  </si>
  <si>
    <t>BENCH OBLIQUE ISO HOLD - OH PASS</t>
  </si>
  <si>
    <t>BENCH OBLIQUE ISO HOLD - OH TOSS</t>
  </si>
  <si>
    <t>1/2-KN ANTI-ROTATION PRESS</t>
  </si>
  <si>
    <t>TK ANTI-ROTATION HOLD</t>
  </si>
  <si>
    <t>TK ANTI-ROTATION PRESS</t>
  </si>
  <si>
    <t>STAGGERED ANTI-ROTATION PRESS</t>
  </si>
  <si>
    <t>ANKLE JUMPS</t>
  </si>
  <si>
    <t>DROP ANKLE JUMP - LOW</t>
  </si>
  <si>
    <t>DROP ANKLE JUMP - OFF BOX TO BOX</t>
  </si>
  <si>
    <t>DROP ANKLE JUMP - 12 INCHES</t>
  </si>
  <si>
    <t>RESISTED ANKLE JUMPS</t>
  </si>
  <si>
    <t>ASSISTED ANKLE JUMPS</t>
  </si>
  <si>
    <t>SPLIT ANKLE JUMPS - DC</t>
  </si>
  <si>
    <t>STANDING SIDELYING LEG HIP ADDUKTION</t>
  </si>
  <si>
    <t>1/2-KN ARM MEDBALL SIDE TOSS - 90°</t>
  </si>
  <si>
    <t>SPLIT STANCE MEDBALL SIDE TOSS - PARALLEL</t>
  </si>
  <si>
    <t>SPLIT STANCE MEDBALL SIDE TOSS - 90°</t>
  </si>
  <si>
    <t>SPLIT SQUAT MEDBALL SIDE TOSS - 90°</t>
  </si>
  <si>
    <t>SPLIT SQUAT MEDBALL SIDE TOSS - PARALLEL</t>
  </si>
  <si>
    <t>1-LEG MEDBALL SIDE TOSS - PARALLEL</t>
  </si>
  <si>
    <t>1-LEG MEDBALL SIDE TOSS - 90°</t>
  </si>
  <si>
    <t>1/2-KN ARM MEDBALL SIDE TOSS AND CATCH - 90°</t>
  </si>
  <si>
    <t xml:space="preserve">1/2-KN ARM MEDBALL SIDE TOSS - PARALLEL </t>
  </si>
  <si>
    <t>SPLIT STANCE MEDBALL SIDE TOSS AND CATCH - PARALLEL</t>
  </si>
  <si>
    <t>SPLIT STANCE MEDBALL SIDE TOSS AND CATCH - 90°</t>
  </si>
  <si>
    <t>SPLIT SQUAT MEDBALL SIDE TOSS AND CATCH - PARALLEL</t>
  </si>
  <si>
    <t>SPLIT SQUAT MEDBALL SIDE TOSS AND CATCH - 90°</t>
  </si>
  <si>
    <t>1-LEG MEDBALL SIDE TOSS AND CATCH - PARALLEL</t>
  </si>
  <si>
    <t>1-LEG MEDBALL SIDE TOSS AND CATCH - 90°</t>
  </si>
  <si>
    <t>Block 1</t>
  </si>
  <si>
    <t xml:space="preserve">2-LEG DROP &amp; CATCH </t>
  </si>
  <si>
    <t>ANKLE MARCH</t>
  </si>
  <si>
    <t>1x30s/ea</t>
  </si>
  <si>
    <t>1-LEG A-SKIP</t>
  </si>
  <si>
    <t>TGU - ELBOW TO POST</t>
  </si>
  <si>
    <t>ANKLE ROCKER 1/2-KN</t>
  </si>
  <si>
    <t>SPLIT TOE STANCE</t>
  </si>
  <si>
    <t>A-SKIP</t>
  </si>
  <si>
    <t>CMJ W/PASSIVE ELASTIC</t>
  </si>
  <si>
    <t>TGU - ELBOW TO HIGH PELVIS</t>
  </si>
  <si>
    <t>ANKLE ROCKER SHUFFLE</t>
  </si>
  <si>
    <t>SQUAT TOE STANCE</t>
  </si>
  <si>
    <t>ANKLE BOUNDS</t>
  </si>
  <si>
    <t>1-LEG B-SKIP</t>
  </si>
  <si>
    <t>SQUAT JUMP - DC</t>
  </si>
  <si>
    <t>ANKLE ROCKER SPLIT SQUAT</t>
  </si>
  <si>
    <t>LATERAL ANKLE MARCH</t>
  </si>
  <si>
    <t>B-SKIP</t>
  </si>
  <si>
    <t>LATERAL ANKLE SKIP</t>
  </si>
  <si>
    <t>1-LEG C-SKIP</t>
  </si>
  <si>
    <t>C-SKIP</t>
  </si>
  <si>
    <t>LATERAL SKIP</t>
  </si>
  <si>
    <t>LINEAR SKIP</t>
  </si>
  <si>
    <t>KNEE RUN</t>
  </si>
  <si>
    <t>1-ARM PRESS TO ELBOW</t>
  </si>
  <si>
    <t>TGU - POST TO HIGH PELVIS</t>
  </si>
  <si>
    <t>TGU - HIGH PELVIS TO BEND</t>
  </si>
  <si>
    <t>TGU - BEND TO 1/2-KN.</t>
  </si>
  <si>
    <t>TGU - 1/2-KN. TO STAND</t>
  </si>
  <si>
    <t>Date 1</t>
  </si>
  <si>
    <t>Date 2</t>
  </si>
  <si>
    <t>Date 3</t>
  </si>
  <si>
    <t>Date 5</t>
  </si>
  <si>
    <t>Date 4</t>
  </si>
  <si>
    <t>Date 6</t>
  </si>
  <si>
    <t>SIDE CRAWL</t>
  </si>
  <si>
    <t>BKWD CRAWL</t>
  </si>
  <si>
    <t>PUSH UP CRAWL</t>
  </si>
  <si>
    <t>SUITCASE/ RACK CROSS CARRY</t>
  </si>
  <si>
    <t>ANKLE ROCKER 1-LEG SQUAT</t>
  </si>
  <si>
    <t>1-LEG TOE STANCE</t>
  </si>
  <si>
    <t>ANKLE POS. 1 15 SEC</t>
  </si>
  <si>
    <t>ANKLE POS. 1 30 SEC</t>
  </si>
  <si>
    <t>LATERAL BOUND</t>
  </si>
  <si>
    <t>REACTIVE SQUAT JUMP</t>
  </si>
  <si>
    <t>SQUAT JUMPS</t>
  </si>
  <si>
    <t>RESISTENT  SQUAT JUMP</t>
  </si>
  <si>
    <t>ASSISTENT  SQUAT JUMP</t>
  </si>
  <si>
    <t>ANKLE ROCKER MOONWALK</t>
  </si>
  <si>
    <t>1-LEG GLUTE BRIDGE</t>
  </si>
  <si>
    <t>2-LEG HIP THRUST</t>
  </si>
  <si>
    <t>1-LEG HIP THRUST</t>
  </si>
  <si>
    <t>LOADED 2-LEG HIP THRUST</t>
  </si>
  <si>
    <t>LOADED 1-LEG HIP THRUST</t>
  </si>
  <si>
    <t>1-LEG STANCE CLOSED EYES</t>
  </si>
  <si>
    <t xml:space="preserve">1-LEG STANCE HEAD ROTATION - EYES FOCUS </t>
  </si>
  <si>
    <t xml:space="preserve">1-LEG STANCE HEAD UP AND DOWN - EYES FOCUS </t>
  </si>
  <si>
    <t>1-LEG STANCE HEAD UP AND DOWN - DIAGONAL - EYES FOCUS</t>
  </si>
  <si>
    <t>1-LEG STANCE EYES ROTATION LEFT - RIGHT</t>
  </si>
  <si>
    <t xml:space="preserve">1-LEG STANCE EYES UP AND DOWN </t>
  </si>
  <si>
    <t xml:space="preserve">1-LEG STANCE EYES UP AND DOWN - DIAGONAL </t>
  </si>
  <si>
    <t>PUSH UP - SHOULDER TAP</t>
  </si>
  <si>
    <t>2 KB SUITCASE SPLIT SQUAT</t>
  </si>
  <si>
    <t>1 KB SUITBASE SPLIT SQUAT</t>
  </si>
  <si>
    <t>LYING MINIBAND HIP EXTERNAL ROTATION</t>
  </si>
  <si>
    <t>STANDING MINIBAND HIP EXTERNAL ROTATION</t>
  </si>
  <si>
    <t>STANDING  LEG HIP ABDUKTION</t>
  </si>
  <si>
    <t>SIDE MARCH WITH MINIBAND</t>
  </si>
  <si>
    <t>ISO HOLD SPLIT SQUAT - HEAD ROTATION - EYES FOCUS</t>
  </si>
  <si>
    <t>ISO HOLD SPLIT SQUAT - HEAD UP AND DOWN - EYES FOCUS</t>
  </si>
  <si>
    <t>ISO HOLD SPLIT SQUAT - UP AND DOWN DIAGONAL - EYES FOCUS</t>
  </si>
  <si>
    <t>ISO HOLD 2-LEG CALF RAISE</t>
  </si>
  <si>
    <t>ISO HOLD 1-LEG CALF RAISE</t>
  </si>
  <si>
    <t>1-LEG STANDING MINIBAND HIP EXTERNAL ROTATION</t>
  </si>
  <si>
    <t>BALANCE - TGU ROLL TO 1-ARM PRESS</t>
  </si>
  <si>
    <t>BALANCE - 1-ARM PRESS TO ELBOW</t>
  </si>
  <si>
    <t>BALANCE - TGU - ELBOW TO POST</t>
  </si>
  <si>
    <t>BALANCE - TGU - ELBOW TO HIGH PELVIS</t>
  </si>
  <si>
    <t>BALANCE - TGU - POST TO HIGH PELVIS</t>
  </si>
  <si>
    <t>BALANCE - TGU - HIGH PELVIS TO BEND</t>
  </si>
  <si>
    <t>BALANCE - TGU - BEND TO 1/2-KN.</t>
  </si>
  <si>
    <t>BALANCE - TGU - 1/2-KN. TO STAND</t>
  </si>
  <si>
    <t>LOADED - TGU - 1/2-KN. TO STAND</t>
  </si>
  <si>
    <t>NAME</t>
  </si>
  <si>
    <t>1/2-KN MB OH THROW &amp; CATCH</t>
  </si>
  <si>
    <t>1/2-KN MB CHEST PASS &amp; CATCH</t>
  </si>
  <si>
    <t>1/2-KN 1-ARM CABLE/BAND PRESS</t>
  </si>
  <si>
    <t>1/2-KN 1-ARM CABLE/BAND PULLDOWN</t>
  </si>
  <si>
    <t>FOOT HAND CRAWL</t>
  </si>
  <si>
    <t>STANDING 1-ARM BAND/CABLE ROW</t>
  </si>
  <si>
    <t>STRAIGHT LEG GET UP</t>
  </si>
  <si>
    <t>STANDING BAND PULL APART</t>
  </si>
  <si>
    <t>STANDING BAND/CABLE BICEP CURL</t>
  </si>
  <si>
    <t>STANDING BAND/CABLE TRICEP CURL</t>
  </si>
  <si>
    <t>HIGH OBLIQUE SIT</t>
  </si>
  <si>
    <t>RACKET SUPINATION/PRONATION</t>
  </si>
  <si>
    <t>TENNISBALL SQUEEZE</t>
  </si>
  <si>
    <t>PRONE BENCH "T"</t>
  </si>
  <si>
    <t>PUSH UP PLANK</t>
  </si>
  <si>
    <t>1x45s</t>
  </si>
  <si>
    <t>1x60s</t>
  </si>
  <si>
    <t>SQUAT JUMP</t>
  </si>
  <si>
    <t>SQUAT JUMP - TO BOX</t>
  </si>
  <si>
    <t>1/2-KN MB OH THROW</t>
  </si>
  <si>
    <t>1/2-KN MB CHEST PASS</t>
  </si>
  <si>
    <t>CM JUMP - TO BOX</t>
  </si>
  <si>
    <t>1/2-KN MB OH THROWS</t>
  </si>
  <si>
    <t>1/2-KN MB CHEST PASSES</t>
  </si>
  <si>
    <t>CM JUMP</t>
  </si>
  <si>
    <t>1/2-KN MB OH CATCH &amp; THROW</t>
  </si>
  <si>
    <t>1-LEG MB CHEST PASS &amp; CATCH</t>
  </si>
  <si>
    <t>1-LEG MB OH THROW &amp; CATCH</t>
  </si>
  <si>
    <t>1-LEG MB CHEST PASS</t>
  </si>
  <si>
    <t>REACTIVE BOX SQUAT JUMP - TO BOX</t>
  </si>
  <si>
    <t>1-LEG MB OH THROW</t>
  </si>
  <si>
    <t>1-LEG MB CHEST PASSES</t>
  </si>
  <si>
    <t>REACTIVE BOX SQUAT JUMP</t>
  </si>
  <si>
    <t>1-LEG MB OH THROWS</t>
  </si>
  <si>
    <t>SPLIT MB CHEST PASS &amp; CATCH</t>
  </si>
  <si>
    <t>1-LEG MB OH CATCH &amp; THROW</t>
  </si>
  <si>
    <t>SPLIT MB CHEST PASS</t>
  </si>
  <si>
    <t>SPLIT MB OH THROW &amp; CATCH</t>
  </si>
  <si>
    <t>SPLIT MB CHEST PASSES</t>
  </si>
  <si>
    <t>SPLIT MB OH THROW</t>
  </si>
  <si>
    <t>STAGGERED MB CHEST PASS &amp; CATCH</t>
  </si>
  <si>
    <t>SPLIT MB OH THROWS</t>
  </si>
  <si>
    <t>STAGGERED MB CHEST PASS</t>
  </si>
  <si>
    <t>SPLIT MB OH CATCH &amp; THROW</t>
  </si>
  <si>
    <t>STAGGERED MB CHEST PASSES</t>
  </si>
  <si>
    <t>STAGGERED MB OH THROW &amp; CATCH</t>
  </si>
  <si>
    <t>BASE MB CHEST PASS &amp; CATCH</t>
  </si>
  <si>
    <t>STAGGERED MB OH THROW</t>
  </si>
  <si>
    <t>BASE MB CHEST PASS</t>
  </si>
  <si>
    <t>STAGGERED MB OH THROWS</t>
  </si>
  <si>
    <t>BASE MB CHEST PASSES</t>
  </si>
  <si>
    <t>STAGGERED MB OH CATCH &amp; THROW</t>
  </si>
  <si>
    <t>BASE MB OH THROW &amp; CATCH</t>
  </si>
  <si>
    <t>BASE MB OH THROW</t>
  </si>
  <si>
    <t>BASE MB OH THROWS</t>
  </si>
  <si>
    <t>BASE MB OH CATCH &amp; THROW</t>
  </si>
  <si>
    <t>PULL UP HANG PASSIVE LOW</t>
  </si>
  <si>
    <t>PUSH UP VARIATION</t>
  </si>
  <si>
    <t>PULL UP HANG AKTIVE LOW</t>
  </si>
  <si>
    <t>PULL UP ECC</t>
  </si>
  <si>
    <t>PUSH UP</t>
  </si>
  <si>
    <t>LOADED PUSH UP</t>
  </si>
  <si>
    <t>RESISTEND SQUAT JUMP</t>
  </si>
  <si>
    <t>RESISTEND CMJ</t>
  </si>
  <si>
    <t>ASSISTEND SQUAT JUMP</t>
  </si>
  <si>
    <t>ASSISTEND CMJ</t>
  </si>
  <si>
    <t>2-ARM TRX ROW</t>
  </si>
  <si>
    <t>1-ARM TRX ROW</t>
  </si>
  <si>
    <t>STANDING BB BICEP CURL</t>
  </si>
  <si>
    <t>LOADED ARM SUPINATION/PRONATION</t>
  </si>
  <si>
    <t>STANDING CABLE "T"</t>
  </si>
  <si>
    <t>SUPPORTED DIPS</t>
  </si>
  <si>
    <t>LOADED 2-LEG GLUTE BRIDGE</t>
  </si>
  <si>
    <t>LOADED 1-LEG GLUTE BRIDGE</t>
  </si>
  <si>
    <t>2-LEG GLUTE BRIDGE ISO HOLD</t>
  </si>
  <si>
    <t>1-LEG GLUTE BRIDGE ISO HOLD</t>
  </si>
  <si>
    <t>LOADED 2-LEG GLUTE BRIDGE ISO HOLD</t>
  </si>
  <si>
    <t>LOADED 1-LEG GLUTE BRIDGE ISO HOLD</t>
  </si>
  <si>
    <t>FOOT ELBOW CRAWL</t>
  </si>
  <si>
    <t>3x10s</t>
  </si>
  <si>
    <t>PRONE BENCH "W"</t>
  </si>
  <si>
    <t>PRONE BENCH "V"</t>
  </si>
  <si>
    <t>TRX PUSH UP</t>
  </si>
  <si>
    <t>BOSU PUSH UP</t>
  </si>
  <si>
    <t>1-Arm BENCH PRESS</t>
  </si>
  <si>
    <t>PULL UP</t>
  </si>
  <si>
    <t>BAND SUPPORTED PULL UP</t>
  </si>
  <si>
    <t>LOADED PULL UP</t>
  </si>
  <si>
    <t>1-KB 3 POINT HINGE ROW</t>
  </si>
  <si>
    <t>KB PRONE BENCH ROW</t>
  </si>
  <si>
    <t>2 ARM TRX ROW</t>
  </si>
  <si>
    <t>1 ARM TRX ROW</t>
  </si>
  <si>
    <t>BB ROW</t>
  </si>
  <si>
    <t>1-KB 2 POINT 1 -LEG HINGE ROW</t>
  </si>
  <si>
    <t>Level</t>
  </si>
  <si>
    <t>Level 4</t>
  </si>
  <si>
    <t>1x15s</t>
  </si>
  <si>
    <t>1x15s/ea</t>
  </si>
  <si>
    <t>1x45s/ea</t>
  </si>
  <si>
    <t>1x60s/ea</t>
  </si>
  <si>
    <t>3x10s/ea</t>
  </si>
  <si>
    <t>Lower Body</t>
  </si>
  <si>
    <t>Upper Body</t>
  </si>
  <si>
    <t>BW SQUAT TO TOUCH BOX</t>
  </si>
  <si>
    <t>HEARTBEAT SQUAT</t>
  </si>
  <si>
    <t>LOADED FOOT HAND CRAWL</t>
  </si>
  <si>
    <t>LOADED DIPS</t>
  </si>
  <si>
    <t>FLEXBAR WRING</t>
  </si>
  <si>
    <t>LOADED ANKLE MARCH</t>
  </si>
  <si>
    <t>LOADED ANKLE SKIPS</t>
  </si>
  <si>
    <t>LOADED ANKLE BOUNDS</t>
  </si>
  <si>
    <t>LOADED LATERAL ANKLE MARCH</t>
  </si>
  <si>
    <t>LOADED LATERAL ANKLE SKIP</t>
  </si>
  <si>
    <t>LOADED LATERAL BOUND</t>
  </si>
  <si>
    <t>2KB SUITCASE SPLIT SQUAT RFESS</t>
  </si>
  <si>
    <t>1-LEG STANCE 1KB LEG ROTATION</t>
  </si>
  <si>
    <t>1-LEG STANCE 1KB AROUND HEAD ROTATION</t>
  </si>
  <si>
    <t>KN COPENHAGEN PLANK BENCH</t>
  </si>
  <si>
    <t>FOOT COPENHAGENPLANK BENCH</t>
  </si>
  <si>
    <t>SIDE MARCH WITH MINIBANDS</t>
  </si>
  <si>
    <t>Level 7</t>
  </si>
  <si>
    <t>2x12s/ea</t>
  </si>
  <si>
    <t>Squat</t>
  </si>
  <si>
    <t>Deadlift</t>
  </si>
  <si>
    <t>Plank</t>
  </si>
  <si>
    <t>Side Plank</t>
  </si>
  <si>
    <t>Balance</t>
  </si>
  <si>
    <t>Antirotation</t>
  </si>
  <si>
    <t>SPLIT SQUAT DROP AND CATCH</t>
  </si>
  <si>
    <t>SPLIT SQUAT DROP AND CATCH -ROTATION OPEN</t>
  </si>
  <si>
    <t>SPLIT SQUAT DROP AND CATCH -ROTATION CLOSED</t>
  </si>
  <si>
    <t>LOADED SPLIT SQUAT DROP AND CATCH -ROTATION OPEN</t>
  </si>
  <si>
    <t>LOADED SPLIT SQUAT DROP AND CATCH -ROTATION CLOSED</t>
  </si>
  <si>
    <t>ANKLE POS. 1 45 SEC</t>
  </si>
  <si>
    <t>ANKLE POS. 2 15 SEC</t>
  </si>
  <si>
    <t>ANKLE POS. 2 30 SEC</t>
  </si>
  <si>
    <t>ANKLE POS. 3 45 SEC</t>
  </si>
  <si>
    <t>SEATED CALF RAISE 90° MAX FORCE 15 SEC</t>
  </si>
  <si>
    <t>BEAR CRAWL STRAIGHT LEGS</t>
  </si>
  <si>
    <t>CIRCLE CRAWL</t>
  </si>
  <si>
    <t>CRAB CRAWL</t>
  </si>
  <si>
    <t>SIDEWAY CRAB CRAWL</t>
  </si>
  <si>
    <t>GORILLA CRAWL</t>
  </si>
  <si>
    <t>SIDEWAY GORILLA CRAWL</t>
  </si>
  <si>
    <t>ALLIGATOR CRAWL</t>
  </si>
  <si>
    <t>CRAWL WITH SIT THROUGH</t>
  </si>
  <si>
    <t>CRAWL WITH PULL THROUGH</t>
  </si>
  <si>
    <t>2x30s/ea</t>
  </si>
  <si>
    <t>1-LEG HAMSTRING BRIDGE</t>
  </si>
  <si>
    <t>LOADED 1-LEG HAMSTRING BRIDGE</t>
  </si>
  <si>
    <t>LOADED 1-LEG A-SKIP</t>
  </si>
  <si>
    <t>LOADED A-SKIP</t>
  </si>
  <si>
    <t>LOADED 1-LEG B-SKIP</t>
  </si>
  <si>
    <t>LOADED B-SKIP</t>
  </si>
  <si>
    <t>LOADED C-SKIP</t>
  </si>
  <si>
    <t>LOADED LATERAL SKIP</t>
  </si>
  <si>
    <t>LANDMINE 1-LEG DEADLIFT TO BOX</t>
  </si>
  <si>
    <t>1KB 1-LEG DEADLIFT TO BOX</t>
  </si>
  <si>
    <t>LANDMINE 1-LEG DEADLIFT</t>
  </si>
  <si>
    <t>1KB 1-LEG DEADLIFT</t>
  </si>
  <si>
    <t>2KB 1-LEG DEADLIFT TO BOX</t>
  </si>
  <si>
    <t>1/2-KN OVERHEAD PRESS</t>
  </si>
  <si>
    <t>Strength Block 1A</t>
  </si>
  <si>
    <t>Block 2</t>
  </si>
  <si>
    <t>Strength Block 2A</t>
  </si>
  <si>
    <t>Isometrics 2</t>
  </si>
  <si>
    <t>Isometrics 1</t>
  </si>
  <si>
    <t>1/2-KN LANDMINE PRESS-ISO HOLD</t>
  </si>
  <si>
    <t>2-LEG ROPE SKIPPINGS</t>
  </si>
  <si>
    <t>1-LEG ROPE SKIPPING</t>
  </si>
  <si>
    <t>2-LEG ROPE SKIPPINGS - 3 CONTACTS</t>
  </si>
  <si>
    <t>DOUBLE JUMP 2-LEG ROPE SKIPPING</t>
  </si>
  <si>
    <t>LEVEL A</t>
  </si>
  <si>
    <t>LEVEL B</t>
  </si>
  <si>
    <t>LEVEL C</t>
  </si>
  <si>
    <t>LEVEL D</t>
  </si>
  <si>
    <t>LEVEL E</t>
  </si>
  <si>
    <t>PEZZIBALL SUPPORTED SQUAT - WALL</t>
  </si>
  <si>
    <t>BW RACK SQUAT</t>
  </si>
  <si>
    <t>KB GOBLET SQUAT</t>
  </si>
  <si>
    <t>LEVEL 1</t>
  </si>
  <si>
    <t>LEVEL 2</t>
  </si>
  <si>
    <t>LEVEL 3</t>
  </si>
  <si>
    <t>LEVEL 4</t>
  </si>
  <si>
    <t>LEVEL 5</t>
  </si>
  <si>
    <t>LEVEL 6</t>
  </si>
  <si>
    <t>LEVEL 7</t>
  </si>
  <si>
    <t>LEVEL 8</t>
  </si>
  <si>
    <t>LEVEL 9</t>
  </si>
  <si>
    <t>LEVEL 10</t>
  </si>
  <si>
    <t>LEVEL 11</t>
  </si>
  <si>
    <t>LEVEL 12</t>
  </si>
  <si>
    <t>LEVEL 13</t>
  </si>
  <si>
    <t>LEVEL 14</t>
  </si>
  <si>
    <t>LEVEL 15</t>
  </si>
  <si>
    <t>LEVEL 16</t>
  </si>
  <si>
    <t>BW SQUAT TO TOUCH SIT ON BOX</t>
  </si>
  <si>
    <t>SPLIT STANCE BASKETBALL SIDE TOSS AND CATCH - PARALLEL</t>
  </si>
  <si>
    <t>HIP HINGE WITH STICK</t>
  </si>
  <si>
    <t>HINGE TO KB TOUCH (KB SUMO DEADLIFT)</t>
  </si>
  <si>
    <t>HINGE TO CRUSH HANDLE (KB SUMO DEADLIFT)</t>
  </si>
  <si>
    <t>1 KB DEADLIFT</t>
  </si>
  <si>
    <t>BW 1-ARM OVERHEAD SQUAT</t>
  </si>
  <si>
    <t>PUSH UP PLANK TENNISBALL CATCH</t>
  </si>
  <si>
    <t>DEAD BUG</t>
  </si>
  <si>
    <t>BW SPLIT SQUAT TO TOUCH GROUND WITH STICK</t>
  </si>
  <si>
    <t>BW STEP FORWARD SPLIT SQUAT TO GROUND WITH STICK</t>
  </si>
  <si>
    <t xml:space="preserve">BW BULGARIAN SPLIT SQUAT </t>
  </si>
  <si>
    <t>KB GOBLET SPLIT SQUAT</t>
  </si>
  <si>
    <t>LEVEL F</t>
  </si>
  <si>
    <t>STICK DEADLIFT</t>
  </si>
  <si>
    <t>HINGE TO SNIFF AIR  (KB SUMO DEADLIFT)</t>
  </si>
  <si>
    <t>2-LEG MARCHING GLUTE BRIDGE</t>
  </si>
  <si>
    <t>2-LEG MARCHING FORWARD GLUTE BRIDGE</t>
  </si>
  <si>
    <t>2-LEG MARCHING FORWARD GLUTE BRIDGE WITH BLACKROLL</t>
  </si>
  <si>
    <t>2-LEG CURL WITH PEZZIBALL</t>
  </si>
  <si>
    <t>FT ELEVATED SIDE PLANK - BLACKROLL</t>
  </si>
  <si>
    <t>SIDE PLANK ROTATIONS</t>
  </si>
  <si>
    <t>SAFTYBAR BACK SQUAT</t>
  </si>
  <si>
    <t>1-ARM 1KB RACK SQUAT</t>
  </si>
  <si>
    <t>1-ARM 1KB OVERHEAD SQUAT</t>
  </si>
  <si>
    <t>2-ARM 2KB RACK SQUAT</t>
  </si>
  <si>
    <t>BARBELL OVERHEAD SQUAT</t>
  </si>
  <si>
    <t xml:space="preserve">SIDE PLANK WITH LEG ABDUCTION </t>
  </si>
  <si>
    <t xml:space="preserve">SIDELYING MINIBAND HIP EXTERNAL RORATION </t>
  </si>
  <si>
    <t>1-LEG MINIBAND PEZZIBALL EXTERNAL ROTATION</t>
  </si>
  <si>
    <t>SPLIT STANCE</t>
  </si>
  <si>
    <t>SPLIT STANCE CLOSED EYES</t>
  </si>
  <si>
    <t>SIDE MARCH WITH MINIBAND OVER KNEE</t>
  </si>
  <si>
    <t>SIDE MARCH WITH MINIBAND OVER ANKLES</t>
  </si>
  <si>
    <t>SIDE MARCH WITH MINIBAND OVER FOOT</t>
  </si>
  <si>
    <t xml:space="preserve">SIDE MARCH WITH MINIBAND OVER KNEE HEAVY BAND </t>
  </si>
  <si>
    <t>Ankle Jumps</t>
  </si>
  <si>
    <t>Split Squat</t>
  </si>
  <si>
    <t>Bridging</t>
  </si>
  <si>
    <t>Hip External Rotation</t>
  </si>
  <si>
    <t>Hip/Leg Abduktion</t>
  </si>
  <si>
    <t>Hip/Leg Adduction</t>
  </si>
  <si>
    <t>FOOT COPENHAGEN PLANK BLACKROLL</t>
  </si>
  <si>
    <t>FOOT COPENHAGEN PLANK TRX</t>
  </si>
  <si>
    <t>FOOT COPENHAGENPLANK PEZZIBALL</t>
  </si>
  <si>
    <t>1/2-KN ANTI-ROTATION PRESS TO OVERHEAD</t>
  </si>
  <si>
    <t>TK ANTI-ROTATION PRESS TO OVERHEAD</t>
  </si>
  <si>
    <t>STAGGERED ANTI-ROTATION PRESS OVER HEAD</t>
  </si>
  <si>
    <t>BASE POSITION ANTI-ROTATION HOLD</t>
  </si>
  <si>
    <t>BASE POSITION ANTI-ROTATION PRESS</t>
  </si>
  <si>
    <t>BASE POSITION ANTI-ROTATION PRESS OVER HEAD</t>
  </si>
  <si>
    <t>SPLIT SQUAT ANTI-ROTATION HOLD</t>
  </si>
  <si>
    <t>SPLIT SQUAT ANTI-ROTATION PRESS</t>
  </si>
  <si>
    <t>SPLIT SQUAT ANTI-ROTATION PRESS TO OVERHEAD</t>
  </si>
  <si>
    <t>Calf Raise</t>
  </si>
  <si>
    <t>2-LEG CALF RAISES</t>
  </si>
  <si>
    <t>1-LEG CALF RAISES</t>
  </si>
  <si>
    <t>Tibialis Raise</t>
  </si>
  <si>
    <t>WALL TIBIALIS RAISES 45°</t>
  </si>
  <si>
    <t>TIBIALIS RAISES TOUCHING WALL WITH TOES</t>
  </si>
  <si>
    <t>LOADED 2-LEG CALF RAISES</t>
  </si>
  <si>
    <t>ISO Hold Calf Raise</t>
  </si>
  <si>
    <t>ISO Hold Split Squat</t>
  </si>
  <si>
    <t>ISO Hold Bridging</t>
  </si>
  <si>
    <t>ISO HOLD SPLIT SQUAT TOE STAND</t>
  </si>
  <si>
    <t>Squat Jump</t>
  </si>
  <si>
    <t>MedBall Overhead Throw</t>
  </si>
  <si>
    <t>MedBall Chest Pass</t>
  </si>
  <si>
    <t>Push Up</t>
  </si>
  <si>
    <t>Rowing</t>
  </si>
  <si>
    <t>Crawling</t>
  </si>
  <si>
    <t>Pull Up</t>
  </si>
  <si>
    <t>Cable Ts</t>
  </si>
  <si>
    <t>Biceps</t>
  </si>
  <si>
    <t>Triceps</t>
  </si>
  <si>
    <t>Side Planks</t>
  </si>
  <si>
    <t>Underarm</t>
  </si>
  <si>
    <t>Hand</t>
  </si>
  <si>
    <t>ISO Hold Upper Back</t>
  </si>
  <si>
    <t>ISO Hold Push Up</t>
  </si>
  <si>
    <t>ISO Hold Overhead Press</t>
  </si>
  <si>
    <t>ISO Hold Pull Up</t>
  </si>
  <si>
    <t>Overhead Press</t>
  </si>
  <si>
    <t>1-Leg Squat</t>
  </si>
  <si>
    <t>STEPDOWN SMALL STEPPER</t>
  </si>
  <si>
    <t>STEPDOWN MEDIUM STEPPER</t>
  </si>
  <si>
    <t>STEP UP MEDIUM STEPPER</t>
  </si>
  <si>
    <t>STEP UP HIGH STEPPER</t>
  </si>
  <si>
    <t>CROSS STEP UP MEDIUM STEPPER</t>
  </si>
  <si>
    <t>CROSS STEP UP HIGH STEPPER</t>
  </si>
  <si>
    <t>Lateral Split Squat</t>
  </si>
  <si>
    <t>SUPPORTED LATERAL SPLIT SQUAT WITH TRX</t>
  </si>
  <si>
    <t>HEARBEAT LATERAL SPLIT SQUAT WITH PEZZIBALL</t>
  </si>
  <si>
    <t>HEARBEAT LATERAL SPLIT SQUAT TO BOX</t>
  </si>
  <si>
    <t>HEARBEAT LATERAL SPLIT SQUAT</t>
  </si>
  <si>
    <t>GOBLET LATERAL SPLIT SQUAT TO BOX</t>
  </si>
  <si>
    <t>GOBLET LATERAL SPLIT SQUAT</t>
  </si>
  <si>
    <t>REACTIVE CMJ</t>
  </si>
  <si>
    <t>1/2-KN MB OVERHEAD THROW WITH PARTNER</t>
  </si>
  <si>
    <t>1/2-KN MB 2-ARM CHEST PASS WITH PARTNER</t>
  </si>
  <si>
    <t>1/2-KN MB OVERHEAD THROW INTO WALL</t>
  </si>
  <si>
    <t>1/2-KN MB 2-ARM CHEST PASS INTO WALL</t>
  </si>
  <si>
    <t>ARMS ELEVATED PUSH UP HIGH</t>
  </si>
  <si>
    <t>ARMS ELEVATED PUSH UP LOW</t>
  </si>
  <si>
    <t>PUSH UP ON KNEE</t>
  </si>
  <si>
    <t>ECC PUSH UP ON KNEE UP</t>
  </si>
  <si>
    <t>1/2-KN 1-ARM BAND PULLDOWN</t>
  </si>
  <si>
    <t>1-LEG SUPPORTED PULL UPS</t>
  </si>
  <si>
    <t>LATERAL PUSH UP CRAWL</t>
  </si>
  <si>
    <t>1/2 KN 1-ARM BAND ROW</t>
  </si>
  <si>
    <t>STANDING 2-ARM BAND ROW</t>
  </si>
  <si>
    <t>STANDING 1-ARM BAND ROW</t>
  </si>
  <si>
    <t>SEATED 1-ARM BAND ROW</t>
  </si>
  <si>
    <t>3-POINT HINGE ROW</t>
  </si>
  <si>
    <t>1/2 KN 1-ARM OVERHEAD PRESS</t>
  </si>
  <si>
    <t>SITTING ON THE FLOOR 2-ARM BAND ROW</t>
  </si>
  <si>
    <t>SEATED 1-ARM OVERHEAD PRESS</t>
  </si>
  <si>
    <t>SEATED 2-ARM OVERHEAD PRESS</t>
  </si>
  <si>
    <t>SITTING ON THE FLOOR 1 ARM OVERHEAD PRESS</t>
  </si>
  <si>
    <t>SITTING ON THE FLOOR 2 ARM OVERHEAD PRESS</t>
  </si>
  <si>
    <t>STANDING 1-ARM OVERHEAD PRESS</t>
  </si>
  <si>
    <t>STANDIG CABLE FACE PULL</t>
  </si>
  <si>
    <t>PRONE BENCH ROW TO "W"</t>
  </si>
  <si>
    <t>PRONE BENCH DB  "V" RAISE</t>
  </si>
  <si>
    <t>PRONE "T", "V" RAISE</t>
  </si>
  <si>
    <t>STANDING DB BICEP CURL</t>
  </si>
  <si>
    <t>STANDING BAND/CABLE 2-ARM TRICEP CURL</t>
  </si>
  <si>
    <t>UNDERARM SUPINATION/PRONATION</t>
  </si>
  <si>
    <t>FLEXBAR WRING HORIZONAL</t>
  </si>
  <si>
    <t>FLEXBAR WRING VERTICAL</t>
  </si>
  <si>
    <t>TENNISBALL SQUEEZE ORANGE</t>
  </si>
  <si>
    <t>TENNISBALL SQUEZZE GREEN</t>
  </si>
  <si>
    <t>FLEXBAR BREAKING DOWN</t>
  </si>
  <si>
    <t>FLEXBAR BREAKING UP</t>
  </si>
  <si>
    <t>ISO HOLD PRONE BENCH "T"</t>
  </si>
  <si>
    <t>ISO HOLD PRONE BENCH "W"</t>
  </si>
  <si>
    <t>ISO HOLD PRONE BENCH "V"</t>
  </si>
  <si>
    <t>ISO HOLD PRONE BENCH LOADED "T"</t>
  </si>
  <si>
    <t>ISO HOLD PRONE BENCH LOADED "W"</t>
  </si>
  <si>
    <t>ISO HOLD PRONE BENCH LOADED "V"</t>
  </si>
  <si>
    <t>ISO HOLD FT ELEVATED PUSH UP PLANK</t>
  </si>
  <si>
    <t>ISO HOLD PUSH UP PLANK</t>
  </si>
  <si>
    <t>ISO HOLD PULL UP PASSIV LOW</t>
  </si>
  <si>
    <t>ISO HOLD PULL UP ACTIVE LOW</t>
  </si>
  <si>
    <t>SQUAT</t>
  </si>
  <si>
    <t>1-Leg Deadlift</t>
  </si>
  <si>
    <t>SUPPORTED 1-LEG ISO HINGE</t>
  </si>
  <si>
    <t>SUPPORTED 1-LEG ISO HINGE WITH HIP ROTATION</t>
  </si>
  <si>
    <t>1-ARM SUPPORTED 1-LEG ISO HINGE</t>
  </si>
  <si>
    <t>1-LEG HINGE WITH ARMS STRETCHED</t>
  </si>
  <si>
    <t>STICK SUPPOERTED 1-LEG HINGE</t>
  </si>
  <si>
    <t>1-LEG HINGE WITH MED/PEZZIBALL</t>
  </si>
  <si>
    <t>TGU</t>
  </si>
  <si>
    <t>CRAWLING</t>
  </si>
  <si>
    <t>CARRY</t>
  </si>
  <si>
    <t>DEADLIFT</t>
  </si>
  <si>
    <t>1-LEG DEADLIFT</t>
  </si>
  <si>
    <t>ANKLE ROCKERS</t>
  </si>
  <si>
    <t>TOE STANCE</t>
  </si>
  <si>
    <t>ANKLE WORK</t>
  </si>
  <si>
    <t>RUNNING SCHOOL</t>
  </si>
  <si>
    <t>DROP AND CATCHES</t>
  </si>
  <si>
    <t>JUMPS</t>
  </si>
  <si>
    <t>2-LEG TOE STANCE WIDE STAND</t>
  </si>
  <si>
    <t>2-LEG TOE STANCE CLOSE STAND</t>
  </si>
  <si>
    <t>SPLIT SQUAT TOE STANCE</t>
  </si>
  <si>
    <t>2-ARM RACK CARRY</t>
  </si>
  <si>
    <t>TGU ROLL TO 1-ARM PRESS SHOE BALANCE</t>
  </si>
  <si>
    <t>1-ARM PRESS TO ELBOW SHOE BALANCE</t>
  </si>
  <si>
    <t>TGU - ELBOW TO POST SHOE BALANCE</t>
  </si>
  <si>
    <t xml:space="preserve">2-LEG DROP &amp; CATCH &amp; SQUAT JUMP </t>
  </si>
  <si>
    <t>1-LEG DROP &amp; CATCH &amp; SIDE BOUND</t>
  </si>
  <si>
    <t>SPLIT SQUAT DROP &amp; CATCH</t>
  </si>
  <si>
    <t>SPLIT SQUAT DROP &amp; CATCH &amp; JUMP</t>
  </si>
  <si>
    <t>REAKTIV CMJ</t>
  </si>
  <si>
    <t>Level A</t>
  </si>
  <si>
    <t>3x100</t>
  </si>
  <si>
    <t>3x125</t>
  </si>
  <si>
    <t>3x150</t>
  </si>
  <si>
    <t>BB</t>
  </si>
  <si>
    <t>1x10ea</t>
  </si>
  <si>
    <t>1x10m</t>
  </si>
  <si>
    <t>1x12m</t>
  </si>
  <si>
    <t>1x15m</t>
  </si>
  <si>
    <t>ANKEL ROCKERS ROTATIONS</t>
  </si>
  <si>
    <t>HINGE TO KB TOUCH</t>
  </si>
  <si>
    <t xml:space="preserve">HINGE TO CRUSH HANDLE </t>
  </si>
  <si>
    <t xml:space="preserve">HINGE TO SNIFF AIR  </t>
  </si>
  <si>
    <t>SUP 1-LEG ISO HINGE</t>
  </si>
  <si>
    <t>SUP 1-LEG ISO HINGE WITH HIP ROTATION</t>
  </si>
  <si>
    <t>STICK SUP 1-LEG HINGE</t>
  </si>
  <si>
    <t>BW STEP BACK SPLIT SQUAT TO GROUND-STICK</t>
  </si>
  <si>
    <t>Level B</t>
  </si>
  <si>
    <t>1x45ea</t>
  </si>
  <si>
    <t>Level C</t>
  </si>
  <si>
    <t xml:space="preserve">1/2-KN BASKETBALL SIDE TOSS AND CATCH - PARALLEL </t>
  </si>
  <si>
    <t xml:space="preserve">1/2-KN BASKETBALL SIDE TOSS - PARALLEL </t>
  </si>
  <si>
    <t>SPLIT STANCE BASKETBALL SIDE TOSS  AND CATCH - 90°</t>
  </si>
  <si>
    <t>1/2-KN ARM MEDBALL SIDE TOSS AND CATCH - PARALLEL +C8:C23</t>
  </si>
  <si>
    <t>1-LEG BASKETBALL SIDE TOSS - PARALLEL</t>
  </si>
  <si>
    <t>1-LEG BASKETBALL SIDE TOSS AND CATCH - PARALLEL</t>
  </si>
  <si>
    <t>1-LEG BASKETBALL SIDE TOSS AND CATCH - 90°</t>
  </si>
  <si>
    <t>1-LEG BASKETBALL SIDE TOSS - 90°</t>
  </si>
  <si>
    <t>SPLIT STANCE BASKETBALL SIDE TOSS AND CATCH - 90°</t>
  </si>
  <si>
    <t xml:space="preserve">1/2-KN BASKETBALL SIDE TOSS - 90° </t>
  </si>
  <si>
    <t xml:space="preserve">1/2-KN BASKETBALL SIDE TOSS AND CATCH - 90° </t>
  </si>
  <si>
    <t>MedBall Side Toss 90°</t>
  </si>
  <si>
    <t>MedBall Side Toss Parallel</t>
  </si>
  <si>
    <t>SPLIT STANCE BASKETBALL SIDE TOSS  - PARALLEL</t>
  </si>
  <si>
    <t>SPLIT STANCE BASKETBALL SIDE TOSS  - 90°</t>
  </si>
  <si>
    <t>2x12/ea</t>
  </si>
  <si>
    <t>1x20/ea</t>
  </si>
  <si>
    <t xml:space="preserve">1x20/ea </t>
  </si>
  <si>
    <t>1x15m/ea</t>
  </si>
  <si>
    <t>1/2-KN BASKETBALL OVERHEAD THROW WITH PARTNER</t>
  </si>
  <si>
    <t>1/2-KN BASKETBALL OVERHEAD THROW INTO WALL</t>
  </si>
  <si>
    <t>SPLIT STANCE BASKETBALL OH THROWS WITH PARTNER</t>
  </si>
  <si>
    <t>SPLIT STANCE MB OH THROWS INTO WALL</t>
  </si>
  <si>
    <t>1-LEG BASKETBALL OH THROW WITH PARTNER</t>
  </si>
  <si>
    <t>1/2-KN BASKETBALL 2-ARM CHEST PASS WITH PARTNER</t>
  </si>
  <si>
    <t>1/2-KN BASKETBALL 2-ARM CHEST PASS INTO WALL</t>
  </si>
  <si>
    <t>SPLIT STANCE BASKETBALL 2-ARM CHEST PASSES WITH PARTNER</t>
  </si>
  <si>
    <t>SPLIT STANCE BASKETBALL 2-ARM CHEST PASSES INTO WALL</t>
  </si>
  <si>
    <t>1-LEG BASKETBALL CHEST PASS WITH PARTNER</t>
  </si>
  <si>
    <t xml:space="preserve">ISO HOLD 2-LEG GLUTE BRIDGE </t>
  </si>
  <si>
    <t xml:space="preserve">ISO HOLD 1-LEG GLUTE BRIDGE </t>
  </si>
  <si>
    <t>ISO HOLD 2-LEG HAMSTRING BRIDGE</t>
  </si>
  <si>
    <t>ISO HOLD 1-LEG HAMSTRING BRIDGE</t>
  </si>
  <si>
    <t>ISO HOLD 1/2 KN 1-ARM LANDMINE OVERHEAD PRESS</t>
  </si>
  <si>
    <t>3x2x20</t>
  </si>
  <si>
    <t>3x3x10</t>
  </si>
  <si>
    <t>3x2x15</t>
  </si>
  <si>
    <t>Level D</t>
  </si>
  <si>
    <t>LOADED ISO HOLD 2-LEG CALF RAISE</t>
  </si>
  <si>
    <t>LOADED ISO HOLD 1-LEG CALF RAISE</t>
  </si>
  <si>
    <t>Level E</t>
  </si>
  <si>
    <t>LOADED 1-LEG CALF RAISES</t>
  </si>
  <si>
    <t>1x90s/ea</t>
  </si>
  <si>
    <t>1x75s/ea</t>
  </si>
  <si>
    <t>1-LEG BASKETBALL CHEST PASSES INTO WALL</t>
  </si>
  <si>
    <t>1-LEG BASKETBALL OH THROW INTO WALL</t>
  </si>
  <si>
    <t>Level F</t>
  </si>
  <si>
    <t>1x10</t>
  </si>
  <si>
    <t>1x8</t>
  </si>
  <si>
    <t>1x10/ea</t>
  </si>
  <si>
    <t xml:space="preserve">1x20 </t>
  </si>
  <si>
    <t>1x12/ea</t>
  </si>
  <si>
    <t>1x12</t>
  </si>
  <si>
    <t>1x15/ea</t>
  </si>
  <si>
    <t xml:space="preserve">STANDING PEZZIBALL EXTERNAL ROTATION </t>
  </si>
  <si>
    <t>TIBIALIS WALL RAISES</t>
  </si>
  <si>
    <t xml:space="preserve">TRX SUPPORTED LATERAL SPLIT SQUAT </t>
  </si>
  <si>
    <t xml:space="preserve">PEZZIBALL SUPPORTED HEARBEAT LATERAL SPLIT SQUAT </t>
  </si>
  <si>
    <t>3x10/ea</t>
  </si>
  <si>
    <t>ECC PUSH UP ON KNEE</t>
  </si>
  <si>
    <t>3x25/ea</t>
  </si>
  <si>
    <t>3x40/ea</t>
  </si>
  <si>
    <t>3x60/ea</t>
  </si>
  <si>
    <t>LEVEL 17</t>
  </si>
  <si>
    <t>LEVEL 18</t>
  </si>
  <si>
    <t>LEVEL 19</t>
  </si>
  <si>
    <t>LEVEL 20</t>
  </si>
  <si>
    <t>LEVEL 21</t>
  </si>
  <si>
    <t>LEVEL 22</t>
  </si>
  <si>
    <t>LEVEL 23</t>
  </si>
  <si>
    <t>LEVEL 24</t>
  </si>
  <si>
    <t>LEVEL 25</t>
  </si>
  <si>
    <t>LEVEL 26</t>
  </si>
  <si>
    <t>LEVEL 27</t>
  </si>
  <si>
    <t>LEVEL 28</t>
  </si>
  <si>
    <t>LEVEL 29</t>
  </si>
  <si>
    <t>LEVEL 30</t>
  </si>
  <si>
    <t>PLANK - SWITCH ON BACK AND PULL THROUGH</t>
  </si>
  <si>
    <t>PUSH UP PLANK SHOULDER TAP AND TENNISBALL CATCH</t>
  </si>
  <si>
    <t>PUSH UP PLANK MEDBALL BALL CATCH</t>
  </si>
  <si>
    <t>BACK SQUAT WITH BARBEL</t>
  </si>
  <si>
    <t>1/2 KN BAND/PEZZIBALL ROTATION</t>
  </si>
  <si>
    <t>TK BAND/PEZZIBALL ROTATION</t>
  </si>
  <si>
    <t>CLOSED STANCE BAND/PEZZIBALL ROTATION</t>
  </si>
  <si>
    <t>OPEN STANCE BAND/PEZZIBALL ROTATION</t>
  </si>
  <si>
    <t>SPLIT STANCE BAND/PEZZIBALL ROTATION</t>
  </si>
  <si>
    <t>LOADED 1-ARM WAITER  ANKLE MARCH</t>
  </si>
  <si>
    <t>LOADED 1-ARM WAITER ANKLE SKIPS</t>
  </si>
  <si>
    <t>LOADED 1-ARM WAITER ANKLE BOUNDS</t>
  </si>
  <si>
    <t>LOADED 1-ARM WAITER LATERAL ANKLE MARCH</t>
  </si>
  <si>
    <t>LOADED 1-ARM OH LATERAL ANKLE SKIP</t>
  </si>
  <si>
    <t>LOADED 1-ARM OH LATERAL BOUND</t>
  </si>
  <si>
    <t>LOADED 1-ARM OH  ANKLE MARCH</t>
  </si>
  <si>
    <t>LOADED 1-ARM OH ANKLE SKIPS</t>
  </si>
  <si>
    <t>LOADED 1-ARM OH ANKLE BOUNDS</t>
  </si>
  <si>
    <t>LOADED 1-ARM OH LATERAL ANKLE MARCH</t>
  </si>
  <si>
    <t>LOADED 1-ARM OH 1-LEG A-SKIP</t>
  </si>
  <si>
    <t>LOADED 1-ARM OH A-SKIP</t>
  </si>
  <si>
    <t>LOADED 1-ARM OH 1-LEG B-SKIP</t>
  </si>
  <si>
    <t>LOADED 1-ARM OH B-SKIP</t>
  </si>
  <si>
    <t>LOADED 1-ARM OH C-SKIP</t>
  </si>
  <si>
    <t xml:space="preserve">1-LEG DROP &amp; LINEAR HOP &amp; CATCH </t>
  </si>
  <si>
    <t xml:space="preserve">1-LEG DROP &amp; LATERAL HOP &amp; CATCH </t>
  </si>
  <si>
    <t xml:space="preserve">1-LEG DROP &amp; MEDIAL HOP &amp; CATCH </t>
  </si>
  <si>
    <t>REACTIVE 1-LEG LINEAR HOP - TO BOX (NCM)</t>
  </si>
  <si>
    <t>1-LEG LINEAR HOP - TO BOX (CM)</t>
  </si>
  <si>
    <t>LOADED ANKLE ROCKER PUSH PULL</t>
  </si>
  <si>
    <t>LOADED ANKLE ROCKERS WIPERS</t>
  </si>
  <si>
    <t>LOADED ANKLE ROCKER SHUFFLE</t>
  </si>
  <si>
    <t>LOADED ANKLE ROCKER SPLIT SQUAT</t>
  </si>
  <si>
    <t>LOADED ANKLE ROCKER MOONWALK</t>
  </si>
  <si>
    <t>LOADED ANKLE ROCKER 1-LEG SQUAT</t>
  </si>
  <si>
    <t>1-ARM 2KB OH SQUAT</t>
  </si>
  <si>
    <t xml:space="preserve">HINGE TO CRUSH HANDEADLIFTE </t>
  </si>
  <si>
    <t>1-ARM 1KB SUMO DEADLIFT</t>
  </si>
  <si>
    <t>2KB SUITCASE DEADLIFT</t>
  </si>
  <si>
    <t>1-ARM 1KB SUITCASE DEADLIFT</t>
  </si>
  <si>
    <t>TRAP BAR DEADLIFT</t>
  </si>
  <si>
    <t>2KB RACK SQUAT</t>
  </si>
  <si>
    <t>1-ARM 1KB OH SQUAT</t>
  </si>
  <si>
    <t>DEADLEG CRAWL</t>
  </si>
  <si>
    <t>LOADED DEADLEG CRAWL</t>
  </si>
  <si>
    <t>STANDING 1-ARM BAND "T"</t>
  </si>
  <si>
    <t>3-POINT HINGE "T"</t>
  </si>
  <si>
    <t>DIPS</t>
  </si>
  <si>
    <t>BB 1-LEG DEADLIFT</t>
  </si>
  <si>
    <t>2KB 1-LEG DEADLIFT</t>
  </si>
  <si>
    <t>2 DIFFERENT KB 1-LEG DEADLIFT</t>
  </si>
  <si>
    <t>SUPPORTED 1-LEG SQUAT</t>
  </si>
  <si>
    <t xml:space="preserve">1-LEG SQUAT </t>
  </si>
  <si>
    <t>LOADED 1-LEG SQUAT</t>
  </si>
  <si>
    <t>1 KB SUITCASE LATERAL SPLIT SQUAT</t>
  </si>
  <si>
    <t>3x8</t>
  </si>
  <si>
    <t>Strength Block 1B</t>
  </si>
  <si>
    <t>2x30s</t>
  </si>
  <si>
    <t>2x12</t>
  </si>
  <si>
    <t>1kg</t>
  </si>
  <si>
    <t>2x15m</t>
  </si>
  <si>
    <t>Strength Block 2B</t>
  </si>
  <si>
    <t>2x30s ea</t>
  </si>
  <si>
    <t>Movement Patterns 1&amp;2</t>
  </si>
  <si>
    <t>3x10s ea</t>
  </si>
  <si>
    <t xml:space="preserve">3x10s </t>
  </si>
  <si>
    <t>6x5s ea</t>
  </si>
  <si>
    <t>6x5s</t>
  </si>
  <si>
    <t>1x15</t>
  </si>
  <si>
    <t>2x10</t>
  </si>
  <si>
    <t>1x75s</t>
  </si>
  <si>
    <t>1x90s</t>
  </si>
  <si>
    <t>2x90s</t>
  </si>
  <si>
    <t>5x3</t>
  </si>
  <si>
    <t>2kg</t>
  </si>
  <si>
    <t>Basketball</t>
  </si>
  <si>
    <t>0,5kg</t>
  </si>
  <si>
    <t>3kg</t>
  </si>
  <si>
    <t>4kg</t>
  </si>
  <si>
    <t>5kg</t>
  </si>
  <si>
    <t xml:space="preserve">1-ARM BAND SHOULDER EXTERNAL ROTATION </t>
  </si>
  <si>
    <t>1-ARM BAND SHOULDER EXTERNAL ROTATION 90°</t>
  </si>
  <si>
    <t>2-ARM BAND SHOULDER EXTERNAL ROTATION 90°</t>
  </si>
  <si>
    <t>ISO 1-ARM BAND SHOULDER EXTERNAL ROTATION - SIDE MARCH</t>
  </si>
  <si>
    <t>KN SHOULDERBLADE PUSH UPS</t>
  </si>
  <si>
    <t>SHOULDERBLADE PUSH UPS</t>
  </si>
  <si>
    <t>LOADED BKWD CRAWL</t>
  </si>
  <si>
    <t>LOADED SIDE CRAWL</t>
  </si>
  <si>
    <t>LOADED FOOT ELBOW CRAWL</t>
  </si>
  <si>
    <t>LOADED PUSH UP CRAWL</t>
  </si>
  <si>
    <t>LOADED LATERAL PUSH UP CRAWL</t>
  </si>
  <si>
    <t>1 KB SUITCASE DEADLIFT</t>
  </si>
  <si>
    <t>2 DIFFERENT KB SUITCASE DEADLIFT</t>
  </si>
  <si>
    <t>DIFFERENT LOEDED TRAPBAR DEADLIFT</t>
  </si>
  <si>
    <t>SEATED CALF RAISE 90° MAX FORCE 10 SEC</t>
  </si>
  <si>
    <t>SEATED CALF RAISE 90° MAX FORCE 20 SEC</t>
  </si>
  <si>
    <t>LOADED SQUAT JUMP - DC</t>
  </si>
  <si>
    <t>LOADED SQUAT JUMPS</t>
  </si>
  <si>
    <t>LOADED SQUAT JUMP TO BOX</t>
  </si>
  <si>
    <t>LOADED CMJ TO BOX</t>
  </si>
  <si>
    <t>LOADED REACTIVE SQUAT JUMP OF BOX TO BOX</t>
  </si>
  <si>
    <t>LOADED REACTIVE SQUAT JUMP OF BOX</t>
  </si>
  <si>
    <t>FT ELEVATED SIDE PLANK - BLACKROLL WITH LEG ABDUKTION</t>
  </si>
  <si>
    <t>STEPDOWN HIGH STEPPER</t>
  </si>
  <si>
    <t>3x5 ea</t>
  </si>
  <si>
    <t>LATERAL BOUND W/STICK</t>
  </si>
  <si>
    <t>LATERAL BOUND 45° W/STICK</t>
  </si>
  <si>
    <t>LATERAL BOUND 45° W/ MINI HOP</t>
  </si>
  <si>
    <t>CONTINUOUS LATERAL BOUND 45°</t>
  </si>
  <si>
    <t>CONTINUOUS LATERAL BOUND 45° W/MINI HOP</t>
  </si>
  <si>
    <t>SHUFFEL MEDBALL SIDE TOSS</t>
  </si>
  <si>
    <t>OPEN STANCE MEDBALL SIDE TOSS</t>
  </si>
  <si>
    <t>CLOSED STANCE MEDBALL SIDE TOSS</t>
  </si>
  <si>
    <t>SPLIT STEP W OPEN STANCE MEDBALL SIDE TOSS</t>
  </si>
  <si>
    <t xml:space="preserve">SLIDE IN OPEN STANCE MED BALL SIDE TOSS </t>
  </si>
  <si>
    <t xml:space="preserve">SLIDE IN CLOSED STANCE MED BALL SIDE TOSS </t>
  </si>
  <si>
    <t>SLIDE IN OPEN STANCE MED BALL SIDE TOSS W/ HOP</t>
  </si>
  <si>
    <t xml:space="preserve">SLIDE IN OPEN STANCE MED BALL SIDE TOSS W/ BOUND </t>
  </si>
  <si>
    <t>SEATED LEG ABD W/BAND + W/LEG EXTERNAL ROTATION</t>
  </si>
  <si>
    <t>SIDE LYING LEG ABD W/MINIBAND HIP EXTERNAL ROT</t>
  </si>
  <si>
    <t>SEATED  LEG ABD W/BAND + W/ISO LEG EXTERNAL ROT W/ANKLE WIPERS</t>
  </si>
  <si>
    <t>LOADED FOOT COPENHAGEN PLANK BLACKROLL</t>
  </si>
  <si>
    <t>LOADED FOOT COPENHAGEN PLANK TRX</t>
  </si>
  <si>
    <t xml:space="preserve">1-LEG TIBIALIS RAISES </t>
  </si>
  <si>
    <t>1-LEG TIBIALIS RAISES 45°</t>
  </si>
  <si>
    <t>SEATED TIBIALIS RAISES</t>
  </si>
  <si>
    <t>1/2 KN LANDMINE OVERHEAD PRESS</t>
  </si>
  <si>
    <t xml:space="preserve">TK PEZZIBALL BAND ROTATION </t>
  </si>
  <si>
    <t>PEZZIBALL BAND ROTATION CLOSED STANCE</t>
  </si>
  <si>
    <t>PEZZIBALL BAND ROTATION OPEN STANCE</t>
  </si>
  <si>
    <t>Wochengestaltung je nach Trainings- oder Wettkampfperiode</t>
  </si>
  <si>
    <t>Samstag</t>
  </si>
  <si>
    <t>Sonntag</t>
  </si>
  <si>
    <t>Montag</t>
  </si>
  <si>
    <t>Dienstag</t>
  </si>
  <si>
    <t>Mittwoch</t>
  </si>
  <si>
    <t>Donnerstag</t>
  </si>
  <si>
    <t>Freitag</t>
  </si>
  <si>
    <t>4+</t>
  </si>
  <si>
    <t>2-</t>
  </si>
  <si>
    <t>3-</t>
  </si>
  <si>
    <t>3+</t>
  </si>
  <si>
    <t>2+</t>
  </si>
  <si>
    <t>Inhalt</t>
  </si>
  <si>
    <t>Zeit</t>
  </si>
  <si>
    <t>Spielen</t>
  </si>
  <si>
    <t>frei</t>
  </si>
  <si>
    <t>WU Spr</t>
  </si>
  <si>
    <t>BH1</t>
  </si>
  <si>
    <t>KV1</t>
  </si>
  <si>
    <t>BH2</t>
  </si>
  <si>
    <t>Match</t>
  </si>
  <si>
    <t>KV2</t>
  </si>
  <si>
    <t>OKK</t>
  </si>
  <si>
    <t>Ukex</t>
  </si>
  <si>
    <t>Okex</t>
  </si>
  <si>
    <t>Okp</t>
  </si>
  <si>
    <t>UKK</t>
  </si>
  <si>
    <t>Prävention</t>
  </si>
  <si>
    <t>Ukp</t>
  </si>
  <si>
    <t>OKiso</t>
  </si>
  <si>
    <t>Okiso</t>
  </si>
  <si>
    <t>UKiso</t>
  </si>
  <si>
    <t xml:space="preserve">WU Spr </t>
  </si>
  <si>
    <t>RPE gesamt</t>
  </si>
  <si>
    <t>1+</t>
  </si>
  <si>
    <t>Ukiso</t>
  </si>
  <si>
    <t>1-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</si>
</sst>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2"/>
      <color theme="0" tint="-0.14999847407452621"/>
      <name val="Calibri"/>
      <family val="2"/>
      <scheme val="minor"/>
    </font>
    <font>
      <sz val="12"/>
      <color theme="0" tint="-0.249977111117893"/>
      <name val="Calibri"/>
      <family val="2"/>
      <scheme val="minor"/>
    </font>
    <font>
      <b/>
      <sz val="12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74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49" fontId="0" fillId="0" borderId="0" xfId="0" applyNumberFormat="1"/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" fontId="0" fillId="0" borderId="14" xfId="0" quotePrefix="1" applyNumberFormat="1" applyBorder="1" applyAlignment="1">
      <alignment horizontal="center" vertical="center"/>
    </xf>
    <xf numFmtId="0" fontId="0" fillId="0" borderId="12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3" xfId="0" applyFont="1" applyBorder="1" applyAlignment="1">
      <alignment horizontal="center" vertical="center"/>
    </xf>
    <xf numFmtId="16" fontId="7" fillId="0" borderId="14" xfId="0" quotePrefix="1" applyNumberFormat="1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2" xfId="0" quotePrefix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9" xfId="0" quotePrefix="1" applyFont="1" applyBorder="1" applyAlignment="1">
      <alignment horizontal="center" vertical="center"/>
    </xf>
    <xf numFmtId="0" fontId="8" fillId="0" borderId="0" xfId="0" applyFont="1"/>
    <xf numFmtId="0" fontId="3" fillId="0" borderId="0" xfId="0" applyFont="1"/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8" xfId="0" applyBorder="1"/>
    <xf numFmtId="0" fontId="3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7" xfId="0" applyBorder="1" applyAlignment="1">
      <alignment vertical="center"/>
    </xf>
    <xf numFmtId="0" fontId="7" fillId="0" borderId="8" xfId="0" applyFont="1" applyBorder="1" applyAlignment="1">
      <alignment vertical="center"/>
    </xf>
    <xf numFmtId="0" fontId="10" fillId="0" borderId="0" xfId="0" applyFont="1"/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2" borderId="30" xfId="0" applyFill="1" applyBorder="1" applyAlignment="1">
      <alignment vertic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0" fillId="0" borderId="31" xfId="0" applyBorder="1" applyAlignment="1">
      <alignment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4" xfId="0" applyBorder="1" applyAlignment="1">
      <alignment horizontal="left" vertical="top" wrapText="1"/>
    </xf>
    <xf numFmtId="0" fontId="0" fillId="0" borderId="6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vertical="top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34" xfId="0" applyBorder="1" applyAlignment="1">
      <alignment vertical="top" wrapText="1"/>
    </xf>
    <xf numFmtId="0" fontId="0" fillId="0" borderId="35" xfId="0" applyBorder="1" applyAlignment="1">
      <alignment vertical="top" wrapText="1"/>
    </xf>
    <xf numFmtId="0" fontId="0" fillId="0" borderId="36" xfId="0" applyBorder="1" applyAlignment="1">
      <alignment vertical="top" wrapText="1"/>
    </xf>
    <xf numFmtId="0" fontId="3" fillId="0" borderId="30" xfId="0" applyFont="1" applyBorder="1" applyAlignment="1">
      <alignment horizontal="center" vertical="center" wrapText="1"/>
    </xf>
    <xf numFmtId="0" fontId="3" fillId="0" borderId="37" xfId="0" applyFont="1" applyBorder="1" applyAlignment="1">
      <alignment vertical="top" wrapText="1"/>
    </xf>
    <xf numFmtId="0" fontId="3" fillId="0" borderId="37" xfId="0" applyFont="1" applyBorder="1" applyAlignment="1">
      <alignment horizontal="center" vertical="center" wrapText="1"/>
    </xf>
    <xf numFmtId="0" fontId="0" fillId="0" borderId="37" xfId="0" applyBorder="1" applyAlignment="1">
      <alignment vertical="top" wrapText="1"/>
    </xf>
    <xf numFmtId="0" fontId="0" fillId="0" borderId="6" xfId="0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0" fillId="0" borderId="5" xfId="0" quotePrefix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/>
    </xf>
    <xf numFmtId="1" fontId="3" fillId="2" borderId="9" xfId="0" applyNumberFormat="1" applyFont="1" applyFill="1" applyBorder="1" applyProtection="1">
      <protection locked="0"/>
    </xf>
    <xf numFmtId="1" fontId="3" fillId="2" borderId="10" xfId="0" applyNumberFormat="1" applyFont="1" applyFill="1" applyBorder="1" applyProtection="1">
      <protection locked="0"/>
    </xf>
    <xf numFmtId="1" fontId="3" fillId="2" borderId="11" xfId="0" applyNumberFormat="1" applyFont="1" applyFill="1" applyBorder="1" applyProtection="1">
      <protection locked="0"/>
    </xf>
    <xf numFmtId="0" fontId="3" fillId="0" borderId="2" xfId="0" applyFont="1" applyBorder="1"/>
    <xf numFmtId="0" fontId="3" fillId="0" borderId="44" xfId="0" applyFont="1" applyBorder="1" applyAlignment="1">
      <alignment horizontal="center" vertical="center" wrapText="1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0" borderId="0" xfId="1" applyAlignment="1">
      <alignment horizontal="center" vertical="center" wrapText="1"/>
    </xf>
    <xf numFmtId="0" fontId="13" fillId="0" borderId="49" xfId="1" applyFont="1" applyBorder="1" applyAlignment="1">
      <alignment horizontal="center" vertical="center" wrapText="1"/>
    </xf>
    <xf numFmtId="0" fontId="13" fillId="0" borderId="50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51" xfId="1" applyFont="1" applyBorder="1" applyAlignment="1">
      <alignment horizontal="center" vertical="center" wrapText="1"/>
    </xf>
    <xf numFmtId="0" fontId="13" fillId="0" borderId="52" xfId="1" applyFont="1" applyBorder="1" applyAlignment="1">
      <alignment horizontal="center" vertical="center" wrapText="1"/>
    </xf>
    <xf numFmtId="0" fontId="15" fillId="0" borderId="35" xfId="1" applyFont="1" applyBorder="1" applyAlignment="1">
      <alignment horizontal="center" vertical="center" textRotation="90" wrapText="1"/>
    </xf>
    <xf numFmtId="0" fontId="13" fillId="0" borderId="10" xfId="1" applyFont="1" applyBorder="1" applyAlignment="1">
      <alignment horizontal="center" vertical="center" wrapText="1"/>
    </xf>
    <xf numFmtId="0" fontId="13" fillId="0" borderId="24" xfId="1" applyFont="1" applyBorder="1" applyAlignment="1">
      <alignment horizontal="center" vertical="center" wrapText="1"/>
    </xf>
    <xf numFmtId="0" fontId="13" fillId="0" borderId="25" xfId="1" applyFont="1" applyBorder="1" applyAlignment="1">
      <alignment horizontal="center" vertical="center" wrapText="1"/>
    </xf>
    <xf numFmtId="0" fontId="13" fillId="0" borderId="26" xfId="1" applyFont="1" applyBorder="1" applyAlignment="1">
      <alignment horizontal="center" vertical="center" wrapText="1"/>
    </xf>
    <xf numFmtId="0" fontId="13" fillId="5" borderId="38" xfId="1" applyFont="1" applyFill="1" applyBorder="1" applyAlignment="1">
      <alignment horizontal="center" vertical="center" wrapText="1"/>
    </xf>
    <xf numFmtId="0" fontId="13" fillId="5" borderId="39" xfId="1" applyFont="1" applyFill="1" applyBorder="1" applyAlignment="1">
      <alignment horizontal="center" vertical="center" wrapText="1"/>
    </xf>
    <xf numFmtId="0" fontId="13" fillId="5" borderId="40" xfId="1" applyFont="1" applyFill="1" applyBorder="1" applyAlignment="1">
      <alignment horizontal="center" vertical="center" wrapText="1"/>
    </xf>
    <xf numFmtId="0" fontId="13" fillId="6" borderId="38" xfId="1" applyFont="1" applyFill="1" applyBorder="1" applyAlignment="1">
      <alignment horizontal="center" vertical="center" wrapText="1"/>
    </xf>
    <xf numFmtId="0" fontId="13" fillId="6" borderId="39" xfId="1" applyFont="1" applyFill="1" applyBorder="1" applyAlignment="1">
      <alignment horizontal="center" vertical="center" wrapText="1"/>
    </xf>
    <xf numFmtId="0" fontId="13" fillId="6" borderId="40" xfId="1" applyFont="1" applyFill="1" applyBorder="1" applyAlignment="1">
      <alignment horizontal="center" vertical="center" wrapText="1"/>
    </xf>
    <xf numFmtId="0" fontId="13" fillId="7" borderId="38" xfId="1" applyFont="1" applyFill="1" applyBorder="1" applyAlignment="1">
      <alignment horizontal="center" vertical="center" wrapText="1"/>
    </xf>
    <xf numFmtId="0" fontId="13" fillId="7" borderId="39" xfId="1" applyFont="1" applyFill="1" applyBorder="1" applyAlignment="1">
      <alignment horizontal="center" vertical="center" wrapText="1"/>
    </xf>
    <xf numFmtId="0" fontId="13" fillId="7" borderId="40" xfId="1" applyFont="1" applyFill="1" applyBorder="1" applyAlignment="1">
      <alignment horizontal="center" vertical="center" wrapText="1"/>
    </xf>
    <xf numFmtId="0" fontId="13" fillId="8" borderId="38" xfId="1" applyFont="1" applyFill="1" applyBorder="1" applyAlignment="1">
      <alignment horizontal="center" vertical="center" wrapText="1"/>
    </xf>
    <xf numFmtId="0" fontId="13" fillId="8" borderId="39" xfId="1" applyFont="1" applyFill="1" applyBorder="1" applyAlignment="1">
      <alignment horizontal="center" vertical="center" wrapText="1"/>
    </xf>
    <xf numFmtId="0" fontId="13" fillId="8" borderId="40" xfId="1" applyFont="1" applyFill="1" applyBorder="1" applyAlignment="1">
      <alignment horizontal="center" vertical="center" wrapText="1"/>
    </xf>
    <xf numFmtId="0" fontId="13" fillId="10" borderId="53" xfId="1" applyFont="1" applyFill="1" applyBorder="1" applyAlignment="1">
      <alignment horizontal="center" vertical="center" wrapText="1"/>
    </xf>
    <xf numFmtId="0" fontId="13" fillId="10" borderId="54" xfId="1" applyFont="1" applyFill="1" applyBorder="1" applyAlignment="1">
      <alignment horizontal="center" vertical="center" wrapText="1"/>
    </xf>
    <xf numFmtId="0" fontId="13" fillId="10" borderId="55" xfId="1" applyFont="1" applyFill="1" applyBorder="1" applyAlignment="1">
      <alignment horizontal="center" vertical="center" wrapText="1"/>
    </xf>
    <xf numFmtId="0" fontId="13" fillId="5" borderId="53" xfId="1" applyFont="1" applyFill="1" applyBorder="1" applyAlignment="1">
      <alignment horizontal="center" vertical="center" wrapText="1"/>
    </xf>
    <xf numFmtId="0" fontId="13" fillId="5" borderId="54" xfId="1" applyFont="1" applyFill="1" applyBorder="1" applyAlignment="1">
      <alignment horizontal="center" vertical="center" wrapText="1"/>
    </xf>
    <xf numFmtId="0" fontId="13" fillId="5" borderId="55" xfId="1" applyFont="1" applyFill="1" applyBorder="1" applyAlignment="1">
      <alignment horizontal="center" vertical="center" wrapText="1"/>
    </xf>
    <xf numFmtId="0" fontId="13" fillId="7" borderId="53" xfId="1" applyFont="1" applyFill="1" applyBorder="1" applyAlignment="1">
      <alignment horizontal="center" vertical="center" wrapText="1"/>
    </xf>
    <xf numFmtId="0" fontId="13" fillId="7" borderId="54" xfId="1" applyFont="1" applyFill="1" applyBorder="1" applyAlignment="1">
      <alignment horizontal="center" vertical="center" wrapText="1"/>
    </xf>
    <xf numFmtId="0" fontId="13" fillId="7" borderId="55" xfId="1" applyFont="1" applyFill="1" applyBorder="1" applyAlignment="1">
      <alignment horizontal="center" vertical="center" wrapText="1"/>
    </xf>
    <xf numFmtId="0" fontId="13" fillId="6" borderId="53" xfId="1" applyFont="1" applyFill="1" applyBorder="1" applyAlignment="1">
      <alignment horizontal="center" vertical="center" wrapText="1"/>
    </xf>
    <xf numFmtId="0" fontId="13" fillId="6" borderId="54" xfId="1" applyFont="1" applyFill="1" applyBorder="1" applyAlignment="1">
      <alignment horizontal="center" vertical="center" wrapText="1"/>
    </xf>
    <xf numFmtId="0" fontId="13" fillId="6" borderId="55" xfId="1" applyFont="1" applyFill="1" applyBorder="1" applyAlignment="1">
      <alignment horizontal="center" vertical="center" wrapText="1"/>
    </xf>
    <xf numFmtId="0" fontId="13" fillId="11" borderId="53" xfId="1" applyFont="1" applyFill="1" applyBorder="1" applyAlignment="1">
      <alignment horizontal="center" vertical="center" wrapText="1"/>
    </xf>
    <xf numFmtId="0" fontId="13" fillId="0" borderId="54" xfId="1" applyFont="1" applyBorder="1" applyAlignment="1">
      <alignment horizontal="center" vertical="center" wrapText="1"/>
    </xf>
    <xf numFmtId="0" fontId="2" fillId="0" borderId="55" xfId="1" applyBorder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0" fontId="2" fillId="3" borderId="56" xfId="1" applyFill="1" applyBorder="1" applyAlignment="1">
      <alignment horizontal="center" vertical="center" wrapText="1"/>
    </xf>
    <xf numFmtId="0" fontId="13" fillId="12" borderId="58" xfId="1" applyFont="1" applyFill="1" applyBorder="1" applyAlignment="1">
      <alignment horizontal="center" vertical="center" wrapText="1"/>
    </xf>
    <xf numFmtId="0" fontId="13" fillId="12" borderId="37" xfId="1" applyFont="1" applyFill="1" applyBorder="1" applyAlignment="1">
      <alignment horizontal="center" vertical="center" wrapText="1"/>
    </xf>
    <xf numFmtId="0" fontId="13" fillId="12" borderId="59" xfId="1" applyFont="1" applyFill="1" applyBorder="1" applyAlignment="1">
      <alignment horizontal="center" vertical="center" wrapText="1"/>
    </xf>
    <xf numFmtId="0" fontId="13" fillId="13" borderId="58" xfId="1" applyFont="1" applyFill="1" applyBorder="1" applyAlignment="1">
      <alignment horizontal="center" vertical="center" wrapText="1"/>
    </xf>
    <xf numFmtId="0" fontId="13" fillId="13" borderId="37" xfId="1" applyFont="1" applyFill="1" applyBorder="1" applyAlignment="1">
      <alignment horizontal="center" vertical="center" wrapText="1"/>
    </xf>
    <xf numFmtId="0" fontId="13" fillId="13" borderId="59" xfId="1" applyFont="1" applyFill="1" applyBorder="1" applyAlignment="1">
      <alignment horizontal="center" vertical="center" wrapText="1"/>
    </xf>
    <xf numFmtId="0" fontId="13" fillId="5" borderId="58" xfId="1" applyFont="1" applyFill="1" applyBorder="1" applyAlignment="1">
      <alignment horizontal="center" vertical="center" wrapText="1"/>
    </xf>
    <xf numFmtId="0" fontId="13" fillId="5" borderId="37" xfId="1" applyFont="1" applyFill="1" applyBorder="1" applyAlignment="1">
      <alignment horizontal="center" vertical="center" wrapText="1"/>
    </xf>
    <xf numFmtId="0" fontId="13" fillId="5" borderId="59" xfId="1" applyFont="1" applyFill="1" applyBorder="1" applyAlignment="1">
      <alignment horizontal="center" vertical="center" wrapText="1"/>
    </xf>
    <xf numFmtId="0" fontId="13" fillId="8" borderId="58" xfId="1" applyFont="1" applyFill="1" applyBorder="1" applyAlignment="1">
      <alignment horizontal="center" vertical="center" wrapText="1"/>
    </xf>
    <xf numFmtId="0" fontId="13" fillId="8" borderId="37" xfId="1" applyFont="1" applyFill="1" applyBorder="1" applyAlignment="1">
      <alignment horizontal="center" vertical="center" wrapText="1"/>
    </xf>
    <xf numFmtId="0" fontId="13" fillId="8" borderId="59" xfId="1" applyFont="1" applyFill="1" applyBorder="1" applyAlignment="1">
      <alignment horizontal="center" vertical="center" wrapText="1"/>
    </xf>
    <xf numFmtId="0" fontId="13" fillId="10" borderId="58" xfId="1" applyFont="1" applyFill="1" applyBorder="1" applyAlignment="1">
      <alignment horizontal="center" vertical="center" wrapText="1"/>
    </xf>
    <xf numFmtId="0" fontId="13" fillId="10" borderId="37" xfId="1" applyFont="1" applyFill="1" applyBorder="1" applyAlignment="1">
      <alignment horizontal="center" vertical="center" wrapText="1"/>
    </xf>
    <xf numFmtId="0" fontId="13" fillId="10" borderId="59" xfId="1" applyFont="1" applyFill="1" applyBorder="1" applyAlignment="1">
      <alignment horizontal="center" vertical="center" wrapText="1"/>
    </xf>
    <xf numFmtId="0" fontId="13" fillId="14" borderId="58" xfId="1" applyFont="1" applyFill="1" applyBorder="1" applyAlignment="1">
      <alignment horizontal="center" vertical="center" wrapText="1"/>
    </xf>
    <xf numFmtId="0" fontId="13" fillId="0" borderId="37" xfId="1" applyFont="1" applyBorder="1" applyAlignment="1">
      <alignment horizontal="center" vertical="center" wrapText="1"/>
    </xf>
    <xf numFmtId="0" fontId="2" fillId="0" borderId="59" xfId="1" applyBorder="1" applyAlignment="1">
      <alignment horizontal="center" vertical="center" wrapText="1"/>
    </xf>
    <xf numFmtId="0" fontId="13" fillId="9" borderId="58" xfId="1" applyFont="1" applyFill="1" applyBorder="1" applyAlignment="1">
      <alignment horizontal="center" vertical="center" wrapText="1"/>
    </xf>
    <xf numFmtId="0" fontId="13" fillId="9" borderId="37" xfId="1" applyFont="1" applyFill="1" applyBorder="1" applyAlignment="1">
      <alignment horizontal="center" vertical="center" wrapText="1"/>
    </xf>
    <xf numFmtId="0" fontId="13" fillId="9" borderId="59" xfId="1" applyFont="1" applyFill="1" applyBorder="1" applyAlignment="1">
      <alignment horizontal="center" vertical="center" wrapText="1"/>
    </xf>
    <xf numFmtId="0" fontId="13" fillId="11" borderId="58" xfId="1" applyFont="1" applyFill="1" applyBorder="1" applyAlignment="1">
      <alignment horizontal="center" vertical="center" wrapText="1"/>
    </xf>
    <xf numFmtId="0" fontId="13" fillId="11" borderId="37" xfId="1" applyFont="1" applyFill="1" applyBorder="1" applyAlignment="1">
      <alignment horizontal="center" vertical="center" wrapText="1"/>
    </xf>
    <xf numFmtId="0" fontId="13" fillId="11" borderId="59" xfId="1" applyFont="1" applyFill="1" applyBorder="1" applyAlignment="1">
      <alignment horizontal="center" vertical="center" wrapText="1"/>
    </xf>
    <xf numFmtId="0" fontId="13" fillId="15" borderId="58" xfId="1" applyFont="1" applyFill="1" applyBorder="1" applyAlignment="1">
      <alignment horizontal="center" vertical="center" wrapText="1"/>
    </xf>
    <xf numFmtId="0" fontId="13" fillId="15" borderId="37" xfId="1" applyFont="1" applyFill="1" applyBorder="1" applyAlignment="1">
      <alignment horizontal="center" vertical="center" wrapText="1"/>
    </xf>
    <xf numFmtId="0" fontId="13" fillId="15" borderId="59" xfId="1" applyFont="1" applyFill="1" applyBorder="1" applyAlignment="1">
      <alignment horizontal="center" vertical="center" wrapText="1"/>
    </xf>
    <xf numFmtId="0" fontId="13" fillId="16" borderId="58" xfId="1" applyFont="1" applyFill="1" applyBorder="1" applyAlignment="1">
      <alignment horizontal="center" vertical="center" wrapText="1"/>
    </xf>
    <xf numFmtId="0" fontId="13" fillId="16" borderId="37" xfId="1" applyFont="1" applyFill="1" applyBorder="1" applyAlignment="1">
      <alignment horizontal="center" vertical="center" wrapText="1"/>
    </xf>
    <xf numFmtId="0" fontId="13" fillId="16" borderId="59" xfId="1" applyFont="1" applyFill="1" applyBorder="1" applyAlignment="1">
      <alignment horizontal="center" vertical="center" wrapText="1"/>
    </xf>
    <xf numFmtId="0" fontId="13" fillId="14" borderId="37" xfId="1" applyFont="1" applyFill="1" applyBorder="1" applyAlignment="1">
      <alignment horizontal="center" vertical="center" wrapText="1"/>
    </xf>
    <xf numFmtId="0" fontId="13" fillId="14" borderId="59" xfId="1" applyFont="1" applyFill="1" applyBorder="1" applyAlignment="1">
      <alignment horizontal="center" vertical="center" wrapText="1"/>
    </xf>
    <xf numFmtId="0" fontId="2" fillId="0" borderId="58" xfId="1" applyBorder="1" applyAlignment="1">
      <alignment vertical="center" wrapText="1"/>
    </xf>
    <xf numFmtId="0" fontId="2" fillId="0" borderId="37" xfId="1" applyBorder="1" applyAlignment="1">
      <alignment vertical="center" wrapText="1"/>
    </xf>
    <xf numFmtId="0" fontId="2" fillId="0" borderId="59" xfId="1" applyBorder="1" applyAlignment="1">
      <alignment vertical="center" wrapText="1"/>
    </xf>
    <xf numFmtId="0" fontId="13" fillId="17" borderId="58" xfId="1" applyFont="1" applyFill="1" applyBorder="1" applyAlignment="1">
      <alignment horizontal="center" vertical="center" wrapText="1"/>
    </xf>
    <xf numFmtId="0" fontId="13" fillId="17" borderId="37" xfId="1" applyFont="1" applyFill="1" applyBorder="1" applyAlignment="1">
      <alignment horizontal="center" vertical="center" wrapText="1"/>
    </xf>
    <xf numFmtId="0" fontId="13" fillId="17" borderId="59" xfId="1" applyFont="1" applyFill="1" applyBorder="1" applyAlignment="1">
      <alignment horizontal="center" vertical="center" wrapText="1"/>
    </xf>
    <xf numFmtId="0" fontId="13" fillId="18" borderId="58" xfId="1" applyFont="1" applyFill="1" applyBorder="1" applyAlignment="1">
      <alignment horizontal="center" vertical="center" wrapText="1"/>
    </xf>
    <xf numFmtId="0" fontId="13" fillId="18" borderId="37" xfId="1" applyFont="1" applyFill="1" applyBorder="1" applyAlignment="1">
      <alignment horizontal="center" vertical="center" wrapText="1"/>
    </xf>
    <xf numFmtId="0" fontId="13" fillId="18" borderId="59" xfId="1" applyFont="1" applyFill="1" applyBorder="1" applyAlignment="1">
      <alignment horizontal="center" vertical="center" wrapText="1"/>
    </xf>
    <xf numFmtId="0" fontId="13" fillId="0" borderId="58" xfId="1" applyFont="1" applyBorder="1" applyAlignment="1">
      <alignment horizontal="center" vertical="center" wrapText="1"/>
    </xf>
    <xf numFmtId="0" fontId="13" fillId="0" borderId="59" xfId="1" applyFont="1" applyBorder="1" applyAlignment="1">
      <alignment horizontal="center" vertical="center" wrapText="1"/>
    </xf>
    <xf numFmtId="0" fontId="2" fillId="0" borderId="58" xfId="1" applyBorder="1" applyAlignment="1">
      <alignment wrapText="1"/>
    </xf>
    <xf numFmtId="0" fontId="2" fillId="0" borderId="37" xfId="1" applyBorder="1" applyAlignment="1">
      <alignment wrapText="1"/>
    </xf>
    <xf numFmtId="0" fontId="2" fillId="0" borderId="59" xfId="1" applyBorder="1" applyAlignment="1">
      <alignment wrapText="1"/>
    </xf>
    <xf numFmtId="0" fontId="13" fillId="6" borderId="58" xfId="1" applyFont="1" applyFill="1" applyBorder="1" applyAlignment="1">
      <alignment horizontal="center" vertical="center" wrapText="1"/>
    </xf>
    <xf numFmtId="0" fontId="2" fillId="0" borderId="41" xfId="1" applyBorder="1" applyAlignment="1">
      <alignment wrapText="1"/>
    </xf>
    <xf numFmtId="0" fontId="2" fillId="0" borderId="42" xfId="1" applyBorder="1" applyAlignment="1">
      <alignment wrapText="1"/>
    </xf>
    <xf numFmtId="0" fontId="2" fillId="0" borderId="43" xfId="1" applyBorder="1" applyAlignment="1">
      <alignment wrapText="1"/>
    </xf>
    <xf numFmtId="0" fontId="2" fillId="0" borderId="41" xfId="1" applyBorder="1" applyAlignment="1">
      <alignment vertical="center" wrapText="1"/>
    </xf>
    <xf numFmtId="0" fontId="2" fillId="0" borderId="42" xfId="1" applyBorder="1" applyAlignment="1">
      <alignment vertical="center" wrapText="1"/>
    </xf>
    <xf numFmtId="0" fontId="2" fillId="0" borderId="43" xfId="1" applyBorder="1" applyAlignment="1">
      <alignment vertical="center" wrapText="1"/>
    </xf>
    <xf numFmtId="0" fontId="16" fillId="9" borderId="62" xfId="1" applyFont="1" applyFill="1" applyBorder="1" applyAlignment="1">
      <alignment horizontal="center" vertical="center" wrapText="1"/>
    </xf>
    <xf numFmtId="0" fontId="13" fillId="17" borderId="66" xfId="1" applyFont="1" applyFill="1" applyBorder="1" applyAlignment="1">
      <alignment horizontal="center" vertical="center" wrapText="1"/>
    </xf>
    <xf numFmtId="0" fontId="13" fillId="17" borderId="44" xfId="1" applyFont="1" applyFill="1" applyBorder="1" applyAlignment="1">
      <alignment horizontal="center" vertical="center" wrapText="1"/>
    </xf>
    <xf numFmtId="0" fontId="13" fillId="17" borderId="67" xfId="1" applyFont="1" applyFill="1" applyBorder="1" applyAlignment="1">
      <alignment horizontal="center" vertical="center" wrapText="1"/>
    </xf>
    <xf numFmtId="0" fontId="2" fillId="0" borderId="66" xfId="1" applyBorder="1" applyAlignment="1">
      <alignment wrapText="1"/>
    </xf>
    <xf numFmtId="0" fontId="2" fillId="0" borderId="44" xfId="1" applyBorder="1" applyAlignment="1">
      <alignment wrapText="1"/>
    </xf>
    <xf numFmtId="0" fontId="2" fillId="0" borderId="67" xfId="1" applyBorder="1" applyAlignment="1">
      <alignment wrapText="1"/>
    </xf>
    <xf numFmtId="0" fontId="13" fillId="0" borderId="66" xfId="1" applyFont="1" applyBorder="1" applyAlignment="1">
      <alignment horizontal="center" vertical="center" wrapText="1"/>
    </xf>
    <xf numFmtId="0" fontId="13" fillId="0" borderId="44" xfId="1" applyFont="1" applyBorder="1" applyAlignment="1">
      <alignment horizontal="center" vertical="center" wrapText="1"/>
    </xf>
    <xf numFmtId="0" fontId="13" fillId="0" borderId="67" xfId="1" applyFont="1" applyBorder="1" applyAlignment="1">
      <alignment horizontal="center" vertical="center" wrapText="1"/>
    </xf>
    <xf numFmtId="0" fontId="13" fillId="0" borderId="68" xfId="1" applyFont="1" applyBorder="1" applyAlignment="1">
      <alignment horizontal="center" vertical="center" wrapText="1"/>
    </xf>
    <xf numFmtId="0" fontId="16" fillId="9" borderId="3" xfId="1" applyFont="1" applyFill="1" applyBorder="1" applyAlignment="1">
      <alignment horizontal="center" vertical="center" wrapText="1"/>
    </xf>
    <xf numFmtId="0" fontId="16" fillId="0" borderId="24" xfId="1" applyFont="1" applyBorder="1" applyAlignment="1">
      <alignment horizontal="center" vertical="center" wrapText="1"/>
    </xf>
    <xf numFmtId="0" fontId="13" fillId="0" borderId="69" xfId="1" applyFont="1" applyBorder="1" applyAlignment="1">
      <alignment horizontal="center" vertical="center" wrapText="1"/>
    </xf>
    <xf numFmtId="0" fontId="16" fillId="9" borderId="6" xfId="1" applyFont="1" applyFill="1" applyBorder="1" applyAlignment="1">
      <alignment horizontal="center" vertical="center" wrapText="1"/>
    </xf>
    <xf numFmtId="0" fontId="13" fillId="0" borderId="70" xfId="1" applyFont="1" applyBorder="1" applyAlignment="1">
      <alignment horizontal="center" vertical="center" wrapText="1"/>
    </xf>
    <xf numFmtId="0" fontId="13" fillId="0" borderId="56" xfId="1" applyFont="1" applyBorder="1" applyAlignment="1">
      <alignment horizontal="center" vertical="center" wrapText="1"/>
    </xf>
    <xf numFmtId="0" fontId="13" fillId="0" borderId="57" xfId="1" applyFont="1" applyBorder="1" applyAlignment="1">
      <alignment horizontal="center" vertical="center" wrapText="1"/>
    </xf>
    <xf numFmtId="0" fontId="13" fillId="0" borderId="8" xfId="1" applyFont="1" applyBorder="1" applyAlignment="1">
      <alignment horizontal="center" vertical="center" wrapText="1"/>
    </xf>
    <xf numFmtId="0" fontId="13" fillId="0" borderId="60" xfId="1" applyFont="1" applyBorder="1" applyAlignment="1">
      <alignment horizontal="center" vertical="center" wrapText="1"/>
    </xf>
    <xf numFmtId="0" fontId="13" fillId="7" borderId="58" xfId="1" applyFont="1" applyFill="1" applyBorder="1" applyAlignment="1">
      <alignment horizontal="center" vertical="center" wrapText="1"/>
    </xf>
    <xf numFmtId="0" fontId="2" fillId="0" borderId="58" xfId="1" applyBorder="1" applyAlignment="1">
      <alignment horizontal="center" vertical="center" wrapText="1"/>
    </xf>
    <xf numFmtId="0" fontId="2" fillId="0" borderId="37" xfId="1" applyBorder="1" applyAlignment="1">
      <alignment horizontal="center" vertical="center" wrapText="1"/>
    </xf>
    <xf numFmtId="0" fontId="13" fillId="10" borderId="41" xfId="1" applyFont="1" applyFill="1" applyBorder="1" applyAlignment="1">
      <alignment horizontal="center" vertical="center" wrapText="1"/>
    </xf>
    <xf numFmtId="0" fontId="13" fillId="0" borderId="42" xfId="1" applyFont="1" applyBorder="1" applyAlignment="1">
      <alignment horizontal="center" vertical="center" wrapText="1"/>
    </xf>
    <xf numFmtId="0" fontId="2" fillId="0" borderId="43" xfId="1" applyBorder="1" applyAlignment="1">
      <alignment horizontal="center" vertical="center" wrapText="1"/>
    </xf>
    <xf numFmtId="0" fontId="13" fillId="17" borderId="41" xfId="1" applyFont="1" applyFill="1" applyBorder="1" applyAlignment="1">
      <alignment horizontal="center" vertical="center" wrapText="1"/>
    </xf>
    <xf numFmtId="0" fontId="13" fillId="17" borderId="42" xfId="1" applyFont="1" applyFill="1" applyBorder="1" applyAlignment="1">
      <alignment horizontal="center" vertical="center" wrapText="1"/>
    </xf>
    <xf numFmtId="0" fontId="13" fillId="17" borderId="43" xfId="1" applyFont="1" applyFill="1" applyBorder="1" applyAlignment="1">
      <alignment horizontal="center" vertical="center" wrapText="1"/>
    </xf>
    <xf numFmtId="0" fontId="14" fillId="0" borderId="41" xfId="1" applyFont="1" applyBorder="1" applyAlignment="1">
      <alignment horizontal="center" vertical="center" wrapText="1"/>
    </xf>
    <xf numFmtId="0" fontId="14" fillId="0" borderId="42" xfId="1" applyFont="1" applyBorder="1" applyAlignment="1">
      <alignment horizontal="center" vertical="center" wrapText="1"/>
    </xf>
    <xf numFmtId="0" fontId="14" fillId="0" borderId="43" xfId="1" applyFont="1" applyBorder="1" applyAlignment="1">
      <alignment horizontal="center" vertical="center" wrapText="1"/>
    </xf>
    <xf numFmtId="0" fontId="2" fillId="0" borderId="41" xfId="1" applyBorder="1" applyAlignment="1">
      <alignment horizontal="center" vertical="center" wrapText="1"/>
    </xf>
    <xf numFmtId="0" fontId="2" fillId="0" borderId="42" xfId="1" applyBorder="1" applyAlignment="1">
      <alignment horizontal="center" vertical="center" wrapText="1"/>
    </xf>
    <xf numFmtId="0" fontId="16" fillId="9" borderId="11" xfId="1" applyFont="1" applyFill="1" applyBorder="1" applyAlignment="1">
      <alignment horizontal="center" vertical="center" wrapText="1"/>
    </xf>
    <xf numFmtId="0" fontId="15" fillId="0" borderId="7" xfId="1" applyFont="1" applyBorder="1" applyAlignment="1">
      <alignment horizontal="center" vertical="center" textRotation="90" wrapText="1"/>
    </xf>
    <xf numFmtId="0" fontId="2" fillId="0" borderId="4" xfId="1" applyBorder="1" applyAlignment="1">
      <alignment horizontal="center" vertical="center" wrapText="1"/>
    </xf>
    <xf numFmtId="0" fontId="2" fillId="3" borderId="5" xfId="1" applyFill="1" applyBorder="1" applyAlignment="1">
      <alignment horizontal="center" vertical="center" wrapText="1"/>
    </xf>
    <xf numFmtId="0" fontId="2" fillId="0" borderId="7" xfId="1" applyBorder="1" applyAlignment="1">
      <alignment wrapText="1"/>
    </xf>
    <xf numFmtId="0" fontId="13" fillId="7" borderId="45" xfId="1" applyFont="1" applyFill="1" applyBorder="1" applyAlignment="1">
      <alignment horizontal="center" vertical="center" wrapText="1"/>
    </xf>
    <xf numFmtId="0" fontId="13" fillId="5" borderId="46" xfId="1" applyFont="1" applyFill="1" applyBorder="1" applyAlignment="1">
      <alignment horizontal="center" vertical="center" wrapText="1"/>
    </xf>
    <xf numFmtId="0" fontId="13" fillId="5" borderId="71" xfId="1" applyFont="1" applyFill="1" applyBorder="1" applyAlignment="1">
      <alignment horizontal="center" vertical="center" wrapText="1"/>
    </xf>
    <xf numFmtId="0" fontId="13" fillId="13" borderId="72" xfId="1" applyFont="1" applyFill="1" applyBorder="1" applyAlignment="1">
      <alignment horizontal="center" vertical="center" wrapText="1"/>
    </xf>
    <xf numFmtId="0" fontId="13" fillId="6" borderId="37" xfId="1" applyFont="1" applyFill="1" applyBorder="1" applyAlignment="1">
      <alignment horizontal="center" vertical="center" wrapText="1"/>
    </xf>
    <xf numFmtId="0" fontId="13" fillId="6" borderId="59" xfId="1" applyFont="1" applyFill="1" applyBorder="1" applyAlignment="1">
      <alignment horizontal="center" vertical="center" wrapText="1"/>
    </xf>
    <xf numFmtId="0" fontId="13" fillId="15" borderId="71" xfId="1" applyFont="1" applyFill="1" applyBorder="1" applyAlignment="1">
      <alignment horizontal="center" vertical="center" wrapText="1"/>
    </xf>
    <xf numFmtId="0" fontId="13" fillId="16" borderId="72" xfId="1" applyFont="1" applyFill="1" applyBorder="1" applyAlignment="1">
      <alignment horizontal="center" vertical="center" wrapText="1"/>
    </xf>
    <xf numFmtId="0" fontId="2" fillId="0" borderId="71" xfId="1" applyBorder="1" applyAlignment="1">
      <alignment wrapText="1"/>
    </xf>
    <xf numFmtId="0" fontId="13" fillId="0" borderId="72" xfId="1" applyFont="1" applyBorder="1" applyAlignment="1">
      <alignment horizontal="center" vertical="center" wrapText="1"/>
    </xf>
    <xf numFmtId="0" fontId="2" fillId="0" borderId="72" xfId="1" applyBorder="1" applyAlignment="1">
      <alignment vertical="center" wrapText="1"/>
    </xf>
    <xf numFmtId="0" fontId="13" fillId="18" borderId="41" xfId="1" applyFont="1" applyFill="1" applyBorder="1" applyAlignment="1">
      <alignment horizontal="center" vertical="center" wrapText="1"/>
    </xf>
    <xf numFmtId="0" fontId="13" fillId="18" borderId="42" xfId="1" applyFont="1" applyFill="1" applyBorder="1" applyAlignment="1">
      <alignment horizontal="center" vertical="center" wrapText="1"/>
    </xf>
    <xf numFmtId="0" fontId="13" fillId="18" borderId="43" xfId="1" applyFont="1" applyFill="1" applyBorder="1" applyAlignment="1">
      <alignment horizontal="center" vertical="center" wrapText="1"/>
    </xf>
    <xf numFmtId="0" fontId="2" fillId="0" borderId="47" xfId="1" applyBorder="1" applyAlignment="1">
      <alignment wrapText="1"/>
    </xf>
    <xf numFmtId="0" fontId="13" fillId="0" borderId="41" xfId="1" applyFont="1" applyBorder="1" applyAlignment="1">
      <alignment horizontal="center" vertical="center" wrapText="1"/>
    </xf>
    <xf numFmtId="0" fontId="13" fillId="0" borderId="43" xfId="1" applyFont="1" applyBorder="1" applyAlignment="1">
      <alignment horizontal="center" vertical="center" wrapText="1"/>
    </xf>
    <xf numFmtId="0" fontId="6" fillId="0" borderId="48" xfId="1" applyFont="1" applyBorder="1" applyAlignment="1">
      <alignment horizontal="center" vertical="center" wrapText="1"/>
    </xf>
    <xf numFmtId="0" fontId="6" fillId="0" borderId="42" xfId="1" applyFont="1" applyBorder="1" applyAlignment="1">
      <alignment horizontal="center" vertical="center" wrapText="1"/>
    </xf>
    <xf numFmtId="0" fontId="6" fillId="0" borderId="43" xfId="1" applyFont="1" applyBorder="1" applyAlignment="1">
      <alignment horizontal="center" vertical="center" wrapText="1"/>
    </xf>
    <xf numFmtId="0" fontId="13" fillId="0" borderId="62" xfId="1" applyFont="1" applyBorder="1" applyAlignment="1">
      <alignment horizontal="center" vertical="center" wrapText="1"/>
    </xf>
    <xf numFmtId="0" fontId="13" fillId="0" borderId="73" xfId="1" applyFont="1" applyBorder="1" applyAlignment="1">
      <alignment horizontal="center" vertical="center" wrapText="1"/>
    </xf>
    <xf numFmtId="0" fontId="13" fillId="0" borderId="65" xfId="1" applyFont="1" applyBorder="1" applyAlignment="1">
      <alignment horizontal="center" vertical="center" wrapText="1"/>
    </xf>
    <xf numFmtId="0" fontId="13" fillId="9" borderId="24" xfId="1" applyFont="1" applyFill="1" applyBorder="1" applyAlignment="1">
      <alignment horizontal="center" vertical="center" wrapText="1"/>
    </xf>
    <xf numFmtId="0" fontId="13" fillId="9" borderId="25" xfId="1" applyFont="1" applyFill="1" applyBorder="1" applyAlignment="1">
      <alignment horizontal="center" vertical="center" wrapText="1"/>
    </xf>
    <xf numFmtId="0" fontId="16" fillId="9" borderId="25" xfId="1" applyFont="1" applyFill="1" applyBorder="1" applyAlignment="1">
      <alignment horizontal="center" vertical="center" wrapText="1"/>
    </xf>
    <xf numFmtId="0" fontId="16" fillId="9" borderId="26" xfId="1" applyFont="1" applyFill="1" applyBorder="1" applyAlignment="1">
      <alignment horizontal="center" vertical="center" wrapText="1"/>
    </xf>
    <xf numFmtId="0" fontId="13" fillId="0" borderId="64" xfId="1" applyFont="1" applyBorder="1" applyAlignment="1">
      <alignment horizontal="center" vertical="center" wrapText="1"/>
    </xf>
    <xf numFmtId="0" fontId="13" fillId="6" borderId="45" xfId="1" applyFont="1" applyFill="1" applyBorder="1" applyAlignment="1">
      <alignment horizontal="center" vertical="center" wrapText="1"/>
    </xf>
    <xf numFmtId="0" fontId="13" fillId="8" borderId="71" xfId="1" applyFont="1" applyFill="1" applyBorder="1" applyAlignment="1">
      <alignment horizontal="center" vertical="center" wrapText="1"/>
    </xf>
    <xf numFmtId="0" fontId="13" fillId="12" borderId="71" xfId="1" applyFont="1" applyFill="1" applyBorder="1" applyAlignment="1">
      <alignment horizontal="center" vertical="center" wrapText="1"/>
    </xf>
    <xf numFmtId="0" fontId="13" fillId="9" borderId="71" xfId="1" applyFont="1" applyFill="1" applyBorder="1" applyAlignment="1">
      <alignment horizontal="center" vertical="center" wrapText="1"/>
    </xf>
    <xf numFmtId="0" fontId="13" fillId="16" borderId="71" xfId="1" applyFont="1" applyFill="1" applyBorder="1" applyAlignment="1">
      <alignment horizontal="center" vertical="center" wrapText="1"/>
    </xf>
    <xf numFmtId="0" fontId="6" fillId="0" borderId="58" xfId="1" applyFont="1" applyBorder="1" applyAlignment="1">
      <alignment horizontal="center" vertical="center" wrapText="1"/>
    </xf>
    <xf numFmtId="0" fontId="6" fillId="0" borderId="37" xfId="1" applyFont="1" applyBorder="1" applyAlignment="1">
      <alignment horizontal="center" vertical="center" wrapText="1"/>
    </xf>
    <xf numFmtId="0" fontId="6" fillId="0" borderId="59" xfId="1" applyFont="1" applyBorder="1" applyAlignment="1">
      <alignment horizontal="center" vertical="center" wrapText="1"/>
    </xf>
    <xf numFmtId="0" fontId="13" fillId="18" borderId="47" xfId="1" applyFont="1" applyFill="1" applyBorder="1" applyAlignment="1">
      <alignment horizontal="center" vertical="center" wrapText="1"/>
    </xf>
    <xf numFmtId="0" fontId="6" fillId="0" borderId="41" xfId="1" applyFont="1" applyBorder="1" applyAlignment="1">
      <alignment horizontal="center" vertical="center" wrapText="1"/>
    </xf>
    <xf numFmtId="0" fontId="15" fillId="0" borderId="0" xfId="1" applyFont="1" applyAlignment="1">
      <alignment horizontal="center" vertical="center" textRotation="90" wrapText="1"/>
    </xf>
    <xf numFmtId="0" fontId="15" fillId="0" borderId="0" xfId="1" applyFont="1" applyAlignment="1">
      <alignment vertical="center" textRotation="90" wrapText="1"/>
    </xf>
    <xf numFmtId="0" fontId="13" fillId="8" borderId="46" xfId="1" applyFont="1" applyFill="1" applyBorder="1" applyAlignment="1">
      <alignment horizontal="center" vertical="center" wrapText="1"/>
    </xf>
    <xf numFmtId="0" fontId="13" fillId="8" borderId="74" xfId="1" applyFont="1" applyFill="1" applyBorder="1" applyAlignment="1">
      <alignment horizontal="center" vertical="center" wrapText="1"/>
    </xf>
    <xf numFmtId="0" fontId="13" fillId="13" borderId="75" xfId="1" applyFont="1" applyFill="1" applyBorder="1" applyAlignment="1">
      <alignment horizontal="center" vertical="center" wrapText="1"/>
    </xf>
    <xf numFmtId="0" fontId="13" fillId="11" borderId="71" xfId="1" applyFont="1" applyFill="1" applyBorder="1" applyAlignment="1">
      <alignment horizontal="center" vertical="center" wrapText="1"/>
    </xf>
    <xf numFmtId="0" fontId="13" fillId="11" borderId="72" xfId="1" applyFont="1" applyFill="1" applyBorder="1" applyAlignment="1">
      <alignment horizontal="center" vertical="center" wrapText="1"/>
    </xf>
    <xf numFmtId="0" fontId="13" fillId="11" borderId="75" xfId="1" applyFont="1" applyFill="1" applyBorder="1" applyAlignment="1">
      <alignment horizontal="center" vertical="center" wrapText="1"/>
    </xf>
    <xf numFmtId="0" fontId="13" fillId="14" borderId="71" xfId="1" applyFont="1" applyFill="1" applyBorder="1" applyAlignment="1">
      <alignment horizontal="center" vertical="center" wrapText="1"/>
    </xf>
    <xf numFmtId="0" fontId="13" fillId="14" borderId="72" xfId="1" applyFont="1" applyFill="1" applyBorder="1" applyAlignment="1">
      <alignment horizontal="center" vertical="center" wrapText="1"/>
    </xf>
    <xf numFmtId="0" fontId="13" fillId="14" borderId="75" xfId="1" applyFont="1" applyFill="1" applyBorder="1" applyAlignment="1">
      <alignment horizontal="center" vertical="center" wrapText="1"/>
    </xf>
    <xf numFmtId="0" fontId="13" fillId="17" borderId="71" xfId="1" applyFont="1" applyFill="1" applyBorder="1" applyAlignment="1">
      <alignment horizontal="center" vertical="center" wrapText="1"/>
    </xf>
    <xf numFmtId="0" fontId="13" fillId="17" borderId="72" xfId="1" applyFont="1" applyFill="1" applyBorder="1" applyAlignment="1">
      <alignment horizontal="center" vertical="center" wrapText="1"/>
    </xf>
    <xf numFmtId="0" fontId="13" fillId="17" borderId="75" xfId="1" applyFont="1" applyFill="1" applyBorder="1" applyAlignment="1">
      <alignment horizontal="center" vertical="center" wrapText="1"/>
    </xf>
    <xf numFmtId="0" fontId="13" fillId="0" borderId="71" xfId="1" applyFont="1" applyBorder="1" applyAlignment="1">
      <alignment horizontal="center" vertical="center" wrapText="1"/>
    </xf>
    <xf numFmtId="0" fontId="13" fillId="0" borderId="48" xfId="1" applyFont="1" applyBorder="1" applyAlignment="1">
      <alignment horizontal="center" vertical="center" wrapText="1"/>
    </xf>
    <xf numFmtId="0" fontId="13" fillId="0" borderId="76" xfId="1" applyFont="1" applyBorder="1" applyAlignment="1">
      <alignment horizontal="center" vertical="center" wrapText="1"/>
    </xf>
    <xf numFmtId="0" fontId="2" fillId="3" borderId="30" xfId="1" applyFill="1" applyBorder="1" applyAlignment="1">
      <alignment horizontal="center" vertical="center" wrapText="1"/>
    </xf>
    <xf numFmtId="0" fontId="16" fillId="0" borderId="0" xfId="1" applyFont="1" applyAlignment="1">
      <alignment vertical="center" wrapText="1"/>
    </xf>
    <xf numFmtId="0" fontId="6" fillId="0" borderId="0" xfId="1" applyFont="1" applyAlignment="1">
      <alignment vertical="center" wrapText="1"/>
    </xf>
    <xf numFmtId="0" fontId="2" fillId="0" borderId="0" xfId="1" applyAlignment="1">
      <alignment vertical="center" wrapText="1"/>
    </xf>
    <xf numFmtId="0" fontId="6" fillId="0" borderId="0" xfId="1" applyFont="1" applyAlignment="1">
      <alignment horizontal="center" vertical="center" wrapText="1"/>
    </xf>
    <xf numFmtId="0" fontId="6" fillId="0" borderId="42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1" fontId="3" fillId="2" borderId="9" xfId="0" applyNumberFormat="1" applyFont="1" applyFill="1" applyBorder="1" applyAlignment="1" applyProtection="1">
      <alignment horizontal="center"/>
      <protection locked="0"/>
    </xf>
    <xf numFmtId="1" fontId="3" fillId="2" borderId="10" xfId="0" applyNumberFormat="1" applyFont="1" applyFill="1" applyBorder="1" applyAlignment="1" applyProtection="1">
      <alignment horizontal="center"/>
      <protection locked="0"/>
    </xf>
    <xf numFmtId="1" fontId="3" fillId="2" borderId="11" xfId="0" applyNumberFormat="1" applyFont="1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13" fillId="0" borderId="9" xfId="1" applyFont="1" applyBorder="1" applyAlignment="1">
      <alignment horizontal="center" vertical="center" wrapText="1"/>
    </xf>
    <xf numFmtId="0" fontId="13" fillId="0" borderId="10" xfId="1" applyFont="1" applyBorder="1" applyAlignment="1">
      <alignment horizontal="center" vertical="center" wrapText="1"/>
    </xf>
    <xf numFmtId="0" fontId="13" fillId="0" borderId="11" xfId="1" applyFont="1" applyBorder="1" applyAlignment="1">
      <alignment horizontal="center" vertical="center" wrapText="1"/>
    </xf>
    <xf numFmtId="0" fontId="15" fillId="0" borderId="34" xfId="1" applyFont="1" applyBorder="1" applyAlignment="1">
      <alignment horizontal="center" vertical="center" textRotation="90" wrapText="1"/>
    </xf>
    <xf numFmtId="0" fontId="15" fillId="0" borderId="35" xfId="1" applyFont="1" applyBorder="1" applyAlignment="1">
      <alignment horizontal="center" vertical="center" textRotation="90" wrapText="1"/>
    </xf>
    <xf numFmtId="0" fontId="15" fillId="0" borderId="36" xfId="1" applyFont="1" applyBorder="1" applyAlignment="1">
      <alignment horizontal="center" vertical="center" textRotation="90" wrapText="1"/>
    </xf>
    <xf numFmtId="0" fontId="13" fillId="0" borderId="1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2" fillId="3" borderId="49" xfId="1" applyFill="1" applyBorder="1" applyAlignment="1">
      <alignment horizontal="center" vertical="center" wrapText="1"/>
    </xf>
    <xf numFmtId="0" fontId="2" fillId="3" borderId="56" xfId="1" applyFill="1" applyBorder="1" applyAlignment="1">
      <alignment horizontal="center" vertical="center" wrapText="1"/>
    </xf>
    <xf numFmtId="0" fontId="2" fillId="3" borderId="62" xfId="1" applyFill="1" applyBorder="1" applyAlignment="1">
      <alignment horizontal="center" vertical="center" wrapText="1"/>
    </xf>
    <xf numFmtId="0" fontId="2" fillId="4" borderId="50" xfId="1" applyFill="1" applyBorder="1" applyAlignment="1">
      <alignment horizontal="center" vertical="center" wrapText="1"/>
    </xf>
    <xf numFmtId="0" fontId="2" fillId="4" borderId="57" xfId="1" applyFill="1" applyBorder="1" applyAlignment="1">
      <alignment horizontal="center" vertical="center" wrapText="1"/>
    </xf>
    <xf numFmtId="0" fontId="2" fillId="4" borderId="63" xfId="1" applyFill="1" applyBorder="1" applyAlignment="1">
      <alignment horizontal="center" vertical="center" wrapText="1"/>
    </xf>
    <xf numFmtId="0" fontId="2" fillId="3" borderId="51" xfId="1" applyFill="1" applyBorder="1" applyAlignment="1">
      <alignment horizontal="center" vertical="center" wrapText="1"/>
    </xf>
    <xf numFmtId="0" fontId="2" fillId="3" borderId="60" xfId="1" applyFill="1" applyBorder="1" applyAlignment="1">
      <alignment horizontal="center" vertical="center" wrapText="1"/>
    </xf>
    <xf numFmtId="0" fontId="2" fillId="3" borderId="64" xfId="1" applyFill="1" applyBorder="1" applyAlignment="1">
      <alignment horizontal="center" vertical="center" wrapText="1"/>
    </xf>
    <xf numFmtId="0" fontId="2" fillId="4" borderId="52" xfId="1" applyFill="1" applyBorder="1" applyAlignment="1">
      <alignment horizontal="center" vertical="center" wrapText="1"/>
    </xf>
    <xf numFmtId="0" fontId="2" fillId="4" borderId="61" xfId="1" applyFill="1" applyBorder="1" applyAlignment="1">
      <alignment horizontal="center" vertical="center" wrapText="1"/>
    </xf>
    <xf numFmtId="0" fontId="2" fillId="4" borderId="65" xfId="1" applyFill="1" applyBorder="1" applyAlignment="1">
      <alignment horizontal="center" vertical="center" wrapText="1"/>
    </xf>
    <xf numFmtId="0" fontId="16" fillId="9" borderId="49" xfId="1" applyFont="1" applyFill="1" applyBorder="1" applyAlignment="1">
      <alignment horizontal="center" vertical="center" wrapText="1"/>
    </xf>
    <xf numFmtId="0" fontId="16" fillId="9" borderId="56" xfId="1" applyFont="1" applyFill="1" applyBorder="1" applyAlignment="1">
      <alignment horizontal="center" vertical="center" wrapText="1"/>
    </xf>
    <xf numFmtId="0" fontId="16" fillId="9" borderId="62" xfId="1" applyFont="1" applyFill="1" applyBorder="1" applyAlignment="1">
      <alignment horizontal="center" vertical="center" wrapText="1"/>
    </xf>
    <xf numFmtId="0" fontId="2" fillId="3" borderId="3" xfId="1" applyFill="1" applyBorder="1" applyAlignment="1">
      <alignment horizontal="center" vertical="center" wrapText="1"/>
    </xf>
    <xf numFmtId="0" fontId="2" fillId="3" borderId="8" xfId="1" applyFill="1" applyBorder="1" applyAlignment="1">
      <alignment horizontal="center" vertical="center" wrapText="1"/>
    </xf>
    <xf numFmtId="0" fontId="2" fillId="3" borderId="6" xfId="1" applyFill="1" applyBorder="1" applyAlignment="1">
      <alignment horizontal="center" vertical="center" wrapText="1"/>
    </xf>
    <xf numFmtId="0" fontId="16" fillId="9" borderId="34" xfId="1" applyFont="1" applyFill="1" applyBorder="1" applyAlignment="1">
      <alignment horizontal="center" vertical="center" wrapText="1"/>
    </xf>
    <xf numFmtId="0" fontId="16" fillId="9" borderId="35" xfId="1" applyFont="1" applyFill="1" applyBorder="1" applyAlignment="1">
      <alignment horizontal="center" vertical="center" wrapText="1"/>
    </xf>
    <xf numFmtId="0" fontId="16" fillId="9" borderId="36" xfId="1" applyFont="1" applyFill="1" applyBorder="1" applyAlignment="1">
      <alignment horizontal="center" vertical="center" wrapText="1"/>
    </xf>
    <xf numFmtId="0" fontId="16" fillId="9" borderId="51" xfId="1" applyFont="1" applyFill="1" applyBorder="1" applyAlignment="1">
      <alignment horizontal="center" vertical="center" wrapText="1"/>
    </xf>
    <xf numFmtId="0" fontId="16" fillId="9" borderId="60" xfId="1" applyFont="1" applyFill="1" applyBorder="1" applyAlignment="1">
      <alignment horizontal="center" vertical="center" wrapText="1"/>
    </xf>
    <xf numFmtId="0" fontId="16" fillId="9" borderId="64" xfId="1" applyFont="1" applyFill="1" applyBorder="1" applyAlignment="1">
      <alignment horizontal="center" vertical="center" wrapText="1"/>
    </xf>
    <xf numFmtId="0" fontId="16" fillId="9" borderId="52" xfId="1" applyFont="1" applyFill="1" applyBorder="1" applyAlignment="1">
      <alignment horizontal="center" vertical="center" wrapText="1"/>
    </xf>
    <xf numFmtId="0" fontId="16" fillId="9" borderId="61" xfId="1" applyFont="1" applyFill="1" applyBorder="1" applyAlignment="1">
      <alignment horizontal="center" vertical="center" wrapText="1"/>
    </xf>
    <xf numFmtId="0" fontId="16" fillId="9" borderId="65" xfId="1" applyFont="1" applyFill="1" applyBorder="1" applyAlignment="1">
      <alignment horizontal="center" vertical="center" wrapText="1"/>
    </xf>
    <xf numFmtId="0" fontId="6" fillId="4" borderId="50" xfId="1" applyFont="1" applyFill="1" applyBorder="1" applyAlignment="1">
      <alignment horizontal="center" vertical="center" wrapText="1"/>
    </xf>
    <xf numFmtId="0" fontId="6" fillId="4" borderId="57" xfId="1" applyFont="1" applyFill="1" applyBorder="1" applyAlignment="1">
      <alignment horizontal="center" vertical="center" wrapText="1"/>
    </xf>
    <xf numFmtId="0" fontId="6" fillId="4" borderId="63" xfId="1" applyFont="1" applyFill="1" applyBorder="1" applyAlignment="1">
      <alignment horizontal="center" vertical="center" wrapText="1"/>
    </xf>
    <xf numFmtId="0" fontId="13" fillId="0" borderId="7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0" fontId="13" fillId="0" borderId="8" xfId="1" applyFont="1" applyBorder="1" applyAlignment="1">
      <alignment horizontal="center" vertical="center" wrapText="1"/>
    </xf>
    <xf numFmtId="0" fontId="13" fillId="0" borderId="24" xfId="1" applyFont="1" applyBorder="1" applyAlignment="1">
      <alignment horizontal="center" vertical="center" wrapText="1"/>
    </xf>
    <xf numFmtId="0" fontId="13" fillId="0" borderId="25" xfId="1" applyFont="1" applyBorder="1" applyAlignment="1">
      <alignment horizontal="center" vertical="center" wrapText="1"/>
    </xf>
    <xf numFmtId="0" fontId="13" fillId="0" borderId="26" xfId="1" applyFont="1" applyBorder="1" applyAlignment="1">
      <alignment horizontal="center" vertical="center" wrapText="1"/>
    </xf>
    <xf numFmtId="0" fontId="2" fillId="19" borderId="9" xfId="1" applyFill="1" applyBorder="1" applyAlignment="1">
      <alignment horizontal="center" vertical="center" wrapText="1"/>
    </xf>
    <xf numFmtId="0" fontId="2" fillId="19" borderId="10" xfId="1" applyFill="1" applyBorder="1" applyAlignment="1">
      <alignment horizontal="center" vertical="center" wrapText="1"/>
    </xf>
    <xf numFmtId="0" fontId="2" fillId="19" borderId="11" xfId="1" applyFill="1" applyBorder="1" applyAlignment="1">
      <alignment horizontal="center" vertical="center" wrapText="1"/>
    </xf>
    <xf numFmtId="0" fontId="2" fillId="19" borderId="9" xfId="1" applyFill="1" applyBorder="1" applyAlignment="1">
      <alignment horizontal="center" wrapText="1"/>
    </xf>
    <xf numFmtId="0" fontId="2" fillId="19" borderId="10" xfId="1" applyFill="1" applyBorder="1" applyAlignment="1">
      <alignment horizontal="center" wrapText="1"/>
    </xf>
    <xf numFmtId="0" fontId="2" fillId="19" borderId="5" xfId="1" applyFill="1" applyBorder="1" applyAlignment="1">
      <alignment horizontal="center" wrapText="1"/>
    </xf>
    <xf numFmtId="0" fontId="2" fillId="19" borderId="11" xfId="1" applyFill="1" applyBorder="1" applyAlignment="1">
      <alignment horizontal="center" wrapText="1"/>
    </xf>
    <xf numFmtId="0" fontId="16" fillId="9" borderId="50" xfId="1" applyFont="1" applyFill="1" applyBorder="1" applyAlignment="1">
      <alignment horizontal="center" vertical="center" wrapText="1"/>
    </xf>
    <xf numFmtId="0" fontId="16" fillId="9" borderId="57" xfId="1" applyFont="1" applyFill="1" applyBorder="1" applyAlignment="1">
      <alignment horizontal="center" vertical="center" wrapText="1"/>
    </xf>
    <xf numFmtId="0" fontId="16" fillId="9" borderId="63" xfId="1" applyFont="1" applyFill="1" applyBorder="1" applyAlignment="1">
      <alignment horizontal="center" vertical="center" wrapText="1"/>
    </xf>
    <xf numFmtId="0" fontId="6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horizontal="center" vertical="center" wrapText="1"/>
    </xf>
    <xf numFmtId="0" fontId="6" fillId="4" borderId="5" xfId="1" applyFont="1" applyFill="1" applyBorder="1" applyAlignment="1">
      <alignment horizontal="center" vertical="center" wrapText="1"/>
    </xf>
    <xf numFmtId="0" fontId="16" fillId="9" borderId="2" xfId="1" applyFont="1" applyFill="1" applyBorder="1" applyAlignment="1">
      <alignment horizontal="center" vertical="center" wrapText="1"/>
    </xf>
    <xf numFmtId="0" fontId="16" fillId="9" borderId="3" xfId="1" applyFont="1" applyFill="1" applyBorder="1" applyAlignment="1">
      <alignment horizontal="center" vertical="center" wrapText="1"/>
    </xf>
    <xf numFmtId="0" fontId="16" fillId="9" borderId="0" xfId="1" applyFont="1" applyFill="1" applyAlignment="1">
      <alignment horizontal="center" vertical="center" wrapText="1"/>
    </xf>
    <xf numFmtId="0" fontId="16" fillId="9" borderId="8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6" fillId="4" borderId="3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6" fillId="4" borderId="8" xfId="1" applyFont="1" applyFill="1" applyBorder="1" applyAlignment="1">
      <alignment horizontal="center" vertical="center" wrapText="1"/>
    </xf>
    <xf numFmtId="0" fontId="6" fillId="4" borderId="4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16" fillId="9" borderId="1" xfId="1" applyFont="1" applyFill="1" applyBorder="1" applyAlignment="1">
      <alignment horizontal="center" vertical="center" wrapText="1"/>
    </xf>
    <xf numFmtId="0" fontId="16" fillId="9" borderId="7" xfId="1" applyFont="1" applyFill="1" applyBorder="1" applyAlignment="1">
      <alignment horizontal="center" vertical="center" wrapText="1"/>
    </xf>
    <xf numFmtId="0" fontId="16" fillId="9" borderId="4" xfId="1" applyFont="1" applyFill="1" applyBorder="1" applyAlignment="1">
      <alignment horizontal="center" vertical="center" wrapText="1"/>
    </xf>
    <xf numFmtId="0" fontId="16" fillId="9" borderId="5" xfId="1" applyFont="1" applyFill="1" applyBorder="1" applyAlignment="1">
      <alignment horizontal="center" vertical="center" wrapText="1"/>
    </xf>
    <xf numFmtId="0" fontId="16" fillId="9" borderId="6" xfId="1" applyFont="1" applyFill="1" applyBorder="1" applyAlignment="1">
      <alignment horizontal="center" vertical="center" wrapText="1"/>
    </xf>
    <xf numFmtId="0" fontId="2" fillId="0" borderId="10" xfId="1" applyBorder="1" applyAlignment="1">
      <alignment horizontal="center" vertical="center" wrapText="1"/>
    </xf>
    <xf numFmtId="0" fontId="2" fillId="0" borderId="5" xfId="1" applyBorder="1" applyAlignment="1">
      <alignment horizontal="center" vertical="center" wrapText="1"/>
    </xf>
    <xf numFmtId="0" fontId="2" fillId="4" borderId="34" xfId="1" applyFill="1" applyBorder="1" applyAlignment="1">
      <alignment horizontal="center" vertical="center" wrapText="1"/>
    </xf>
    <xf numFmtId="0" fontId="2" fillId="4" borderId="35" xfId="1" applyFill="1" applyBorder="1" applyAlignment="1">
      <alignment horizontal="center" vertical="center" wrapText="1"/>
    </xf>
    <xf numFmtId="0" fontId="2" fillId="4" borderId="36" xfId="1" applyFill="1" applyBorder="1" applyAlignment="1">
      <alignment horizontal="center" vertical="center" wrapText="1"/>
    </xf>
    <xf numFmtId="0" fontId="1" fillId="0" borderId="0" xfId="2" applyAlignment="1">
      <alignment wrapText="1"/>
    </xf>
    <xf numFmtId="0" fontId="1" fillId="0" borderId="0" xfId="2" applyAlignment="1">
      <alignment horizontal="center" vertical="center" wrapText="1"/>
    </xf>
    <xf numFmtId="0" fontId="1" fillId="0" borderId="0" xfId="2"/>
    <xf numFmtId="0" fontId="15" fillId="0" borderId="34" xfId="2" applyFont="1" applyBorder="1" applyAlignment="1">
      <alignment horizontal="center" vertical="center" textRotation="90" wrapText="1"/>
    </xf>
    <xf numFmtId="0" fontId="13" fillId="0" borderId="49" xfId="2" applyFont="1" applyBorder="1" applyAlignment="1">
      <alignment horizontal="center" vertical="center" wrapText="1"/>
    </xf>
    <xf numFmtId="0" fontId="13" fillId="0" borderId="50" xfId="2" applyFont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13" fillId="0" borderId="2" xfId="2" applyFont="1" applyBorder="1" applyAlignment="1">
      <alignment horizontal="center" vertical="center" wrapText="1"/>
    </xf>
    <xf numFmtId="0" fontId="13" fillId="0" borderId="3" xfId="2" applyFont="1" applyBorder="1" applyAlignment="1">
      <alignment horizontal="center" vertical="center" wrapText="1"/>
    </xf>
    <xf numFmtId="0" fontId="13" fillId="0" borderId="51" xfId="2" applyFont="1" applyBorder="1" applyAlignment="1">
      <alignment horizontal="center" vertical="center" wrapText="1"/>
    </xf>
    <xf numFmtId="0" fontId="13" fillId="0" borderId="52" xfId="2" applyFont="1" applyBorder="1" applyAlignment="1">
      <alignment horizontal="center" vertical="center" wrapText="1"/>
    </xf>
    <xf numFmtId="0" fontId="15" fillId="0" borderId="35" xfId="2" applyFont="1" applyBorder="1" applyAlignment="1">
      <alignment horizontal="center" vertical="center" textRotation="90" wrapText="1"/>
    </xf>
    <xf numFmtId="0" fontId="13" fillId="0" borderId="3" xfId="2" applyFont="1" applyBorder="1" applyAlignment="1">
      <alignment horizontal="center" vertical="center" wrapText="1"/>
    </xf>
    <xf numFmtId="0" fontId="13" fillId="0" borderId="9" xfId="2" applyFont="1" applyBorder="1" applyAlignment="1">
      <alignment horizontal="center" vertical="center" wrapText="1"/>
    </xf>
    <xf numFmtId="0" fontId="13" fillId="0" borderId="10" xfId="2" applyFont="1" applyBorder="1" applyAlignment="1">
      <alignment horizontal="center" vertical="center" wrapText="1"/>
    </xf>
    <xf numFmtId="0" fontId="13" fillId="0" borderId="11" xfId="2" applyFont="1" applyBorder="1" applyAlignment="1">
      <alignment horizontal="center" vertical="center" wrapText="1"/>
    </xf>
    <xf numFmtId="0" fontId="13" fillId="0" borderId="24" xfId="2" applyFont="1" applyBorder="1" applyAlignment="1">
      <alignment horizontal="center" vertical="center" wrapText="1"/>
    </xf>
    <xf numFmtId="0" fontId="13" fillId="0" borderId="25" xfId="2" applyFont="1" applyBorder="1" applyAlignment="1">
      <alignment horizontal="center" vertical="center" wrapText="1"/>
    </xf>
    <xf numFmtId="0" fontId="13" fillId="0" borderId="26" xfId="2" applyFont="1" applyBorder="1" applyAlignment="1">
      <alignment horizontal="center" vertical="center" wrapText="1"/>
    </xf>
    <xf numFmtId="0" fontId="1" fillId="3" borderId="49" xfId="2" applyFill="1" applyBorder="1" applyAlignment="1">
      <alignment horizontal="center" vertical="center" wrapText="1"/>
    </xf>
    <xf numFmtId="0" fontId="1" fillId="4" borderId="50" xfId="2" applyFill="1" applyBorder="1" applyAlignment="1">
      <alignment horizontal="center" vertical="center" wrapText="1"/>
    </xf>
    <xf numFmtId="0" fontId="13" fillId="5" borderId="38" xfId="2" applyFont="1" applyFill="1" applyBorder="1" applyAlignment="1">
      <alignment horizontal="center" vertical="center" wrapText="1"/>
    </xf>
    <xf numFmtId="0" fontId="13" fillId="5" borderId="39" xfId="2" applyFont="1" applyFill="1" applyBorder="1" applyAlignment="1">
      <alignment horizontal="center" vertical="center" wrapText="1"/>
    </xf>
    <xf numFmtId="0" fontId="13" fillId="5" borderId="40" xfId="2" applyFont="1" applyFill="1" applyBorder="1" applyAlignment="1">
      <alignment horizontal="center" vertical="center" wrapText="1"/>
    </xf>
    <xf numFmtId="0" fontId="13" fillId="6" borderId="38" xfId="2" applyFont="1" applyFill="1" applyBorder="1" applyAlignment="1">
      <alignment horizontal="center" vertical="center" wrapText="1"/>
    </xf>
    <xf numFmtId="0" fontId="13" fillId="6" borderId="39" xfId="2" applyFont="1" applyFill="1" applyBorder="1" applyAlignment="1">
      <alignment horizontal="center" vertical="center" wrapText="1"/>
    </xf>
    <xf numFmtId="0" fontId="13" fillId="6" borderId="40" xfId="2" applyFont="1" applyFill="1" applyBorder="1" applyAlignment="1">
      <alignment horizontal="center" vertical="center" wrapText="1"/>
    </xf>
    <xf numFmtId="0" fontId="13" fillId="7" borderId="38" xfId="2" applyFont="1" applyFill="1" applyBorder="1" applyAlignment="1">
      <alignment horizontal="center" vertical="center" wrapText="1"/>
    </xf>
    <xf numFmtId="0" fontId="13" fillId="7" borderId="39" xfId="2" applyFont="1" applyFill="1" applyBorder="1" applyAlignment="1">
      <alignment horizontal="center" vertical="center" wrapText="1"/>
    </xf>
    <xf numFmtId="0" fontId="13" fillId="7" borderId="40" xfId="2" applyFont="1" applyFill="1" applyBorder="1" applyAlignment="1">
      <alignment horizontal="center" vertical="center" wrapText="1"/>
    </xf>
    <xf numFmtId="0" fontId="13" fillId="8" borderId="38" xfId="2" applyFont="1" applyFill="1" applyBorder="1" applyAlignment="1">
      <alignment horizontal="center" vertical="center" wrapText="1"/>
    </xf>
    <xf numFmtId="0" fontId="13" fillId="8" borderId="39" xfId="2" applyFont="1" applyFill="1" applyBorder="1" applyAlignment="1">
      <alignment horizontal="center" vertical="center" wrapText="1"/>
    </xf>
    <xf numFmtId="0" fontId="13" fillId="8" borderId="40" xfId="2" applyFont="1" applyFill="1" applyBorder="1" applyAlignment="1">
      <alignment horizontal="center" vertical="center" wrapText="1"/>
    </xf>
    <xf numFmtId="0" fontId="1" fillId="3" borderId="51" xfId="2" applyFill="1" applyBorder="1" applyAlignment="1">
      <alignment horizontal="center" vertical="center" wrapText="1"/>
    </xf>
    <xf numFmtId="0" fontId="1" fillId="4" borderId="52" xfId="2" applyFill="1" applyBorder="1" applyAlignment="1">
      <alignment horizontal="center" vertical="center" wrapText="1"/>
    </xf>
    <xf numFmtId="0" fontId="16" fillId="9" borderId="49" xfId="2" applyFont="1" applyFill="1" applyBorder="1" applyAlignment="1">
      <alignment horizontal="center" vertical="center" wrapText="1"/>
    </xf>
    <xf numFmtId="0" fontId="13" fillId="10" borderId="53" xfId="2" applyFont="1" applyFill="1" applyBorder="1" applyAlignment="1">
      <alignment horizontal="center" vertical="center" wrapText="1"/>
    </xf>
    <xf numFmtId="0" fontId="13" fillId="10" borderId="54" xfId="2" applyFont="1" applyFill="1" applyBorder="1" applyAlignment="1">
      <alignment horizontal="center" vertical="center" wrapText="1"/>
    </xf>
    <xf numFmtId="0" fontId="13" fillId="10" borderId="55" xfId="2" applyFont="1" applyFill="1" applyBorder="1" applyAlignment="1">
      <alignment horizontal="center" vertical="center" wrapText="1"/>
    </xf>
    <xf numFmtId="0" fontId="13" fillId="5" borderId="53" xfId="2" applyFont="1" applyFill="1" applyBorder="1" applyAlignment="1">
      <alignment horizontal="center" vertical="center" wrapText="1"/>
    </xf>
    <xf numFmtId="0" fontId="13" fillId="5" borderId="54" xfId="2" applyFont="1" applyFill="1" applyBorder="1" applyAlignment="1">
      <alignment horizontal="center" vertical="center" wrapText="1"/>
    </xf>
    <xf numFmtId="0" fontId="13" fillId="5" borderId="55" xfId="2" applyFont="1" applyFill="1" applyBorder="1" applyAlignment="1">
      <alignment horizontal="center" vertical="center" wrapText="1"/>
    </xf>
    <xf numFmtId="0" fontId="13" fillId="7" borderId="53" xfId="2" applyFont="1" applyFill="1" applyBorder="1" applyAlignment="1">
      <alignment horizontal="center" vertical="center" wrapText="1"/>
    </xf>
    <xf numFmtId="0" fontId="13" fillId="7" borderId="54" xfId="2" applyFont="1" applyFill="1" applyBorder="1" applyAlignment="1">
      <alignment horizontal="center" vertical="center" wrapText="1"/>
    </xf>
    <xf numFmtId="0" fontId="13" fillId="7" borderId="55" xfId="2" applyFont="1" applyFill="1" applyBorder="1" applyAlignment="1">
      <alignment horizontal="center" vertical="center" wrapText="1"/>
    </xf>
    <xf numFmtId="0" fontId="13" fillId="6" borderId="53" xfId="2" applyFont="1" applyFill="1" applyBorder="1" applyAlignment="1">
      <alignment horizontal="center" vertical="center" wrapText="1"/>
    </xf>
    <xf numFmtId="0" fontId="13" fillId="6" borderId="54" xfId="2" applyFont="1" applyFill="1" applyBorder="1" applyAlignment="1">
      <alignment horizontal="center" vertical="center" wrapText="1"/>
    </xf>
    <xf numFmtId="0" fontId="13" fillId="6" borderId="77" xfId="2" applyFont="1" applyFill="1" applyBorder="1" applyAlignment="1">
      <alignment horizontal="center" vertical="center" wrapText="1"/>
    </xf>
    <xf numFmtId="0" fontId="1" fillId="3" borderId="38" xfId="2" applyFill="1" applyBorder="1" applyAlignment="1">
      <alignment horizontal="center" vertical="center" wrapText="1"/>
    </xf>
    <xf numFmtId="0" fontId="16" fillId="9" borderId="40" xfId="2" applyFont="1" applyFill="1" applyBorder="1" applyAlignment="1">
      <alignment horizontal="center" vertical="center" wrapText="1"/>
    </xf>
    <xf numFmtId="0" fontId="13" fillId="11" borderId="53" xfId="2" applyFont="1" applyFill="1" applyBorder="1" applyAlignment="1">
      <alignment horizontal="center" vertical="center" wrapText="1"/>
    </xf>
    <xf numFmtId="0" fontId="13" fillId="0" borderId="54" xfId="2" applyFont="1" applyBorder="1" applyAlignment="1">
      <alignment horizontal="center" vertical="center" wrapText="1"/>
    </xf>
    <xf numFmtId="0" fontId="1" fillId="0" borderId="55" xfId="2" applyBorder="1" applyAlignment="1">
      <alignment horizontal="center" vertical="center" wrapText="1"/>
    </xf>
    <xf numFmtId="0" fontId="1" fillId="3" borderId="56" xfId="2" applyFill="1" applyBorder="1" applyAlignment="1">
      <alignment horizontal="center" vertical="center" wrapText="1"/>
    </xf>
    <xf numFmtId="0" fontId="1" fillId="4" borderId="57" xfId="2" applyFill="1" applyBorder="1" applyAlignment="1">
      <alignment horizontal="center" vertical="center" wrapText="1"/>
    </xf>
    <xf numFmtId="0" fontId="13" fillId="12" borderId="58" xfId="2" applyFont="1" applyFill="1" applyBorder="1" applyAlignment="1">
      <alignment horizontal="center" vertical="center" wrapText="1"/>
    </xf>
    <xf numFmtId="0" fontId="13" fillId="12" borderId="37" xfId="2" applyFont="1" applyFill="1" applyBorder="1" applyAlignment="1">
      <alignment horizontal="center" vertical="center" wrapText="1"/>
    </xf>
    <xf numFmtId="0" fontId="13" fillId="12" borderId="59" xfId="2" applyFont="1" applyFill="1" applyBorder="1" applyAlignment="1">
      <alignment horizontal="center" vertical="center" wrapText="1"/>
    </xf>
    <xf numFmtId="0" fontId="13" fillId="13" borderId="58" xfId="2" applyFont="1" applyFill="1" applyBorder="1" applyAlignment="1">
      <alignment horizontal="center" vertical="center" wrapText="1"/>
    </xf>
    <xf numFmtId="0" fontId="13" fillId="13" borderId="37" xfId="2" applyFont="1" applyFill="1" applyBorder="1" applyAlignment="1">
      <alignment horizontal="center" vertical="center" wrapText="1"/>
    </xf>
    <xf numFmtId="0" fontId="13" fillId="13" borderId="59" xfId="2" applyFont="1" applyFill="1" applyBorder="1" applyAlignment="1">
      <alignment horizontal="center" vertical="center" wrapText="1"/>
    </xf>
    <xf numFmtId="0" fontId="13" fillId="5" borderId="58" xfId="2" applyFont="1" applyFill="1" applyBorder="1" applyAlignment="1">
      <alignment horizontal="center" vertical="center" wrapText="1"/>
    </xf>
    <xf numFmtId="0" fontId="13" fillId="5" borderId="37" xfId="2" applyFont="1" applyFill="1" applyBorder="1" applyAlignment="1">
      <alignment horizontal="center" vertical="center" wrapText="1"/>
    </xf>
    <xf numFmtId="0" fontId="13" fillId="5" borderId="59" xfId="2" applyFont="1" applyFill="1" applyBorder="1" applyAlignment="1">
      <alignment horizontal="center" vertical="center" wrapText="1"/>
    </xf>
    <xf numFmtId="0" fontId="1" fillId="3" borderId="60" xfId="2" applyFill="1" applyBorder="1" applyAlignment="1">
      <alignment horizontal="center" vertical="center" wrapText="1"/>
    </xf>
    <xf numFmtId="0" fontId="1" fillId="4" borderId="61" xfId="2" applyFill="1" applyBorder="1" applyAlignment="1">
      <alignment horizontal="center" vertical="center" wrapText="1"/>
    </xf>
    <xf numFmtId="0" fontId="16" fillId="9" borderId="56" xfId="2" applyFont="1" applyFill="1" applyBorder="1" applyAlignment="1">
      <alignment horizontal="center" vertical="center" wrapText="1"/>
    </xf>
    <xf numFmtId="0" fontId="13" fillId="8" borderId="58" xfId="2" applyFont="1" applyFill="1" applyBorder="1" applyAlignment="1">
      <alignment horizontal="center" vertical="center" wrapText="1"/>
    </xf>
    <xf numFmtId="0" fontId="13" fillId="8" borderId="37" xfId="2" applyFont="1" applyFill="1" applyBorder="1" applyAlignment="1">
      <alignment horizontal="center" vertical="center" wrapText="1"/>
    </xf>
    <xf numFmtId="0" fontId="13" fillId="8" borderId="59" xfId="2" applyFont="1" applyFill="1" applyBorder="1" applyAlignment="1">
      <alignment horizontal="center" vertical="center" wrapText="1"/>
    </xf>
    <xf numFmtId="0" fontId="13" fillId="10" borderId="58" xfId="2" applyFont="1" applyFill="1" applyBorder="1" applyAlignment="1">
      <alignment horizontal="center" vertical="center" wrapText="1"/>
    </xf>
    <xf numFmtId="0" fontId="13" fillId="10" borderId="37" xfId="2" applyFont="1" applyFill="1" applyBorder="1" applyAlignment="1">
      <alignment horizontal="center" vertical="center" wrapText="1"/>
    </xf>
    <xf numFmtId="0" fontId="13" fillId="10" borderId="59" xfId="2" applyFont="1" applyFill="1" applyBorder="1" applyAlignment="1">
      <alignment horizontal="center" vertical="center" wrapText="1"/>
    </xf>
    <xf numFmtId="0" fontId="13" fillId="13" borderId="71" xfId="2" applyFont="1" applyFill="1" applyBorder="1" applyAlignment="1">
      <alignment horizontal="center" vertical="center" wrapText="1"/>
    </xf>
    <xf numFmtId="0" fontId="1" fillId="3" borderId="58" xfId="2" applyFill="1" applyBorder="1" applyAlignment="1">
      <alignment horizontal="center" vertical="center" wrapText="1"/>
    </xf>
    <xf numFmtId="0" fontId="16" fillId="9" borderId="59" xfId="2" applyFont="1" applyFill="1" applyBorder="1" applyAlignment="1">
      <alignment horizontal="center" vertical="center" wrapText="1"/>
    </xf>
    <xf numFmtId="0" fontId="13" fillId="14" borderId="58" xfId="2" applyFont="1" applyFill="1" applyBorder="1" applyAlignment="1">
      <alignment horizontal="center" vertical="center" wrapText="1"/>
    </xf>
    <xf numFmtId="0" fontId="13" fillId="0" borderId="37" xfId="2" applyFont="1" applyBorder="1" applyAlignment="1">
      <alignment horizontal="center" vertical="center" wrapText="1"/>
    </xf>
    <xf numFmtId="0" fontId="1" fillId="0" borderId="59" xfId="2" applyBorder="1" applyAlignment="1">
      <alignment horizontal="center" vertical="center" wrapText="1"/>
    </xf>
    <xf numFmtId="0" fontId="13" fillId="9" borderId="58" xfId="2" applyFont="1" applyFill="1" applyBorder="1" applyAlignment="1">
      <alignment horizontal="center" vertical="center" wrapText="1"/>
    </xf>
    <xf numFmtId="0" fontId="13" fillId="9" borderId="37" xfId="2" applyFont="1" applyFill="1" applyBorder="1" applyAlignment="1">
      <alignment horizontal="center" vertical="center" wrapText="1"/>
    </xf>
    <xf numFmtId="0" fontId="13" fillId="9" borderId="59" xfId="2" applyFont="1" applyFill="1" applyBorder="1" applyAlignment="1">
      <alignment horizontal="center" vertical="center" wrapText="1"/>
    </xf>
    <xf numFmtId="0" fontId="13" fillId="11" borderId="58" xfId="2" applyFont="1" applyFill="1" applyBorder="1" applyAlignment="1">
      <alignment horizontal="center" vertical="center" wrapText="1"/>
    </xf>
    <xf numFmtId="0" fontId="13" fillId="11" borderId="37" xfId="2" applyFont="1" applyFill="1" applyBorder="1" applyAlignment="1">
      <alignment horizontal="center" vertical="center" wrapText="1"/>
    </xf>
    <xf numFmtId="0" fontId="13" fillId="11" borderId="59" xfId="2" applyFont="1" applyFill="1" applyBorder="1" applyAlignment="1">
      <alignment horizontal="center" vertical="center" wrapText="1"/>
    </xf>
    <xf numFmtId="0" fontId="13" fillId="15" borderId="58" xfId="2" applyFont="1" applyFill="1" applyBorder="1" applyAlignment="1">
      <alignment horizontal="center" vertical="center" wrapText="1"/>
    </xf>
    <xf numFmtId="0" fontId="13" fillId="15" borderId="37" xfId="2" applyFont="1" applyFill="1" applyBorder="1" applyAlignment="1">
      <alignment horizontal="center" vertical="center" wrapText="1"/>
    </xf>
    <xf numFmtId="0" fontId="13" fillId="15" borderId="59" xfId="2" applyFont="1" applyFill="1" applyBorder="1" applyAlignment="1">
      <alignment horizontal="center" vertical="center" wrapText="1"/>
    </xf>
    <xf numFmtId="0" fontId="13" fillId="16" borderId="58" xfId="2" applyFont="1" applyFill="1" applyBorder="1" applyAlignment="1">
      <alignment horizontal="center" vertical="center" wrapText="1"/>
    </xf>
    <xf numFmtId="0" fontId="13" fillId="16" borderId="37" xfId="2" applyFont="1" applyFill="1" applyBorder="1" applyAlignment="1">
      <alignment horizontal="center" vertical="center" wrapText="1"/>
    </xf>
    <xf numFmtId="0" fontId="13" fillId="16" borderId="71" xfId="2" applyFont="1" applyFill="1" applyBorder="1" applyAlignment="1">
      <alignment horizontal="center" vertical="center" wrapText="1"/>
    </xf>
    <xf numFmtId="0" fontId="13" fillId="16" borderId="59" xfId="2" applyFont="1" applyFill="1" applyBorder="1" applyAlignment="1">
      <alignment horizontal="center" vertical="center" wrapText="1"/>
    </xf>
    <xf numFmtId="0" fontId="13" fillId="14" borderId="37" xfId="2" applyFont="1" applyFill="1" applyBorder="1" applyAlignment="1">
      <alignment horizontal="center" vertical="center" wrapText="1"/>
    </xf>
    <xf numFmtId="0" fontId="13" fillId="14" borderId="59" xfId="2" applyFont="1" applyFill="1" applyBorder="1" applyAlignment="1">
      <alignment horizontal="center" vertical="center" wrapText="1"/>
    </xf>
    <xf numFmtId="0" fontId="1" fillId="0" borderId="58" xfId="2" applyBorder="1" applyAlignment="1">
      <alignment vertical="center" wrapText="1"/>
    </xf>
    <xf numFmtId="0" fontId="1" fillId="0" borderId="37" xfId="2" applyBorder="1" applyAlignment="1">
      <alignment vertical="center" wrapText="1"/>
    </xf>
    <xf numFmtId="0" fontId="1" fillId="0" borderId="59" xfId="2" applyBorder="1" applyAlignment="1">
      <alignment vertical="center" wrapText="1"/>
    </xf>
    <xf numFmtId="0" fontId="13" fillId="17" borderId="58" xfId="2" applyFont="1" applyFill="1" applyBorder="1" applyAlignment="1">
      <alignment horizontal="center" vertical="center" wrapText="1"/>
    </xf>
    <xf numFmtId="0" fontId="13" fillId="17" borderId="37" xfId="2" applyFont="1" applyFill="1" applyBorder="1" applyAlignment="1">
      <alignment horizontal="center" vertical="center" wrapText="1"/>
    </xf>
    <xf numFmtId="0" fontId="13" fillId="17" borderId="71" xfId="2" applyFont="1" applyFill="1" applyBorder="1" applyAlignment="1">
      <alignment horizontal="center" vertical="center" wrapText="1"/>
    </xf>
    <xf numFmtId="0" fontId="13" fillId="18" borderId="58" xfId="2" applyFont="1" applyFill="1" applyBorder="1" applyAlignment="1">
      <alignment horizontal="center" vertical="center" wrapText="1"/>
    </xf>
    <xf numFmtId="0" fontId="13" fillId="18" borderId="37" xfId="2" applyFont="1" applyFill="1" applyBorder="1" applyAlignment="1">
      <alignment horizontal="center" vertical="center" wrapText="1"/>
    </xf>
    <xf numFmtId="0" fontId="13" fillId="18" borderId="59" xfId="2" applyFont="1" applyFill="1" applyBorder="1" applyAlignment="1">
      <alignment horizontal="center" vertical="center" wrapText="1"/>
    </xf>
    <xf numFmtId="0" fontId="13" fillId="17" borderId="59" xfId="2" applyFont="1" applyFill="1" applyBorder="1" applyAlignment="1">
      <alignment horizontal="center" vertical="center" wrapText="1"/>
    </xf>
    <xf numFmtId="0" fontId="13" fillId="0" borderId="58" xfId="2" applyFont="1" applyBorder="1" applyAlignment="1">
      <alignment horizontal="center" vertical="center" wrapText="1"/>
    </xf>
    <xf numFmtId="0" fontId="13" fillId="0" borderId="59" xfId="2" applyFont="1" applyBorder="1" applyAlignment="1">
      <alignment horizontal="center" vertical="center" wrapText="1"/>
    </xf>
    <xf numFmtId="0" fontId="1" fillId="0" borderId="58" xfId="2" applyBorder="1" applyAlignment="1">
      <alignment wrapText="1"/>
    </xf>
    <xf numFmtId="0" fontId="1" fillId="0" borderId="37" xfId="2" applyBorder="1" applyAlignment="1">
      <alignment wrapText="1"/>
    </xf>
    <xf numFmtId="0" fontId="1" fillId="0" borderId="71" xfId="2" applyBorder="1" applyAlignment="1">
      <alignment wrapText="1"/>
    </xf>
    <xf numFmtId="0" fontId="13" fillId="6" borderId="58" xfId="2" applyFont="1" applyFill="1" applyBorder="1" applyAlignment="1">
      <alignment horizontal="center" vertical="center" wrapText="1"/>
    </xf>
    <xf numFmtId="0" fontId="1" fillId="3" borderId="62" xfId="2" applyFill="1" applyBorder="1" applyAlignment="1">
      <alignment horizontal="center" vertical="center" wrapText="1"/>
    </xf>
    <xf numFmtId="0" fontId="1" fillId="4" borderId="63" xfId="2" applyFill="1" applyBorder="1" applyAlignment="1">
      <alignment horizontal="center" vertical="center" wrapText="1"/>
    </xf>
    <xf numFmtId="0" fontId="1" fillId="0" borderId="41" xfId="2" applyBorder="1" applyAlignment="1">
      <alignment wrapText="1"/>
    </xf>
    <xf numFmtId="0" fontId="1" fillId="0" borderId="42" xfId="2" applyBorder="1" applyAlignment="1">
      <alignment wrapText="1"/>
    </xf>
    <xf numFmtId="0" fontId="1" fillId="0" borderId="43" xfId="2" applyBorder="1" applyAlignment="1">
      <alignment wrapText="1"/>
    </xf>
    <xf numFmtId="0" fontId="1" fillId="0" borderId="41" xfId="2" applyBorder="1" applyAlignment="1">
      <alignment vertical="center" wrapText="1"/>
    </xf>
    <xf numFmtId="0" fontId="1" fillId="0" borderId="42" xfId="2" applyBorder="1" applyAlignment="1">
      <alignment vertical="center" wrapText="1"/>
    </xf>
    <xf numFmtId="0" fontId="1" fillId="0" borderId="43" xfId="2" applyBorder="1" applyAlignment="1">
      <alignment vertical="center" wrapText="1"/>
    </xf>
    <xf numFmtId="0" fontId="1" fillId="3" borderId="64" xfId="2" applyFill="1" applyBorder="1" applyAlignment="1">
      <alignment horizontal="center" vertical="center" wrapText="1"/>
    </xf>
    <xf numFmtId="0" fontId="1" fillId="4" borderId="65" xfId="2" applyFill="1" applyBorder="1" applyAlignment="1">
      <alignment horizontal="center" vertical="center" wrapText="1"/>
    </xf>
    <xf numFmtId="0" fontId="16" fillId="9" borderId="62" xfId="2" applyFont="1" applyFill="1" applyBorder="1" applyAlignment="1">
      <alignment horizontal="center" vertical="center" wrapText="1"/>
    </xf>
    <xf numFmtId="0" fontId="13" fillId="17" borderId="66" xfId="2" applyFont="1" applyFill="1" applyBorder="1" applyAlignment="1">
      <alignment horizontal="center" vertical="center" wrapText="1"/>
    </xf>
    <xf numFmtId="0" fontId="13" fillId="17" borderId="44" xfId="2" applyFont="1" applyFill="1" applyBorder="1" applyAlignment="1">
      <alignment horizontal="center" vertical="center" wrapText="1"/>
    </xf>
    <xf numFmtId="0" fontId="13" fillId="17" borderId="67" xfId="2" applyFont="1" applyFill="1" applyBorder="1" applyAlignment="1">
      <alignment horizontal="center" vertical="center" wrapText="1"/>
    </xf>
    <xf numFmtId="0" fontId="1" fillId="0" borderId="66" xfId="2" applyBorder="1" applyAlignment="1">
      <alignment wrapText="1"/>
    </xf>
    <xf numFmtId="0" fontId="1" fillId="0" borderId="44" xfId="2" applyBorder="1" applyAlignment="1">
      <alignment wrapText="1"/>
    </xf>
    <xf numFmtId="0" fontId="1" fillId="0" borderId="67" xfId="2" applyBorder="1" applyAlignment="1">
      <alignment wrapText="1"/>
    </xf>
    <xf numFmtId="0" fontId="13" fillId="0" borderId="66" xfId="2" applyFont="1" applyBorder="1" applyAlignment="1">
      <alignment horizontal="center" vertical="center" wrapText="1"/>
    </xf>
    <xf numFmtId="0" fontId="13" fillId="0" borderId="44" xfId="2" applyFont="1" applyBorder="1" applyAlignment="1">
      <alignment horizontal="center" vertical="center" wrapText="1"/>
    </xf>
    <xf numFmtId="0" fontId="13" fillId="0" borderId="67" xfId="2" applyFont="1" applyBorder="1" applyAlignment="1">
      <alignment horizontal="center" vertical="center" wrapText="1"/>
    </xf>
    <xf numFmtId="0" fontId="1" fillId="0" borderId="78" xfId="2" applyBorder="1" applyAlignment="1">
      <alignment wrapText="1"/>
    </xf>
    <xf numFmtId="0" fontId="1" fillId="3" borderId="41" xfId="2" applyFill="1" applyBorder="1" applyAlignment="1">
      <alignment horizontal="center" vertical="center" wrapText="1"/>
    </xf>
    <xf numFmtId="0" fontId="16" fillId="9" borderId="43" xfId="2" applyFont="1" applyFill="1" applyBorder="1" applyAlignment="1">
      <alignment horizontal="center" vertical="center" wrapText="1"/>
    </xf>
    <xf numFmtId="0" fontId="1" fillId="3" borderId="56" xfId="2" applyFill="1" applyBorder="1" applyAlignment="1">
      <alignment horizontal="center" vertical="center" wrapText="1"/>
    </xf>
    <xf numFmtId="0" fontId="13" fillId="0" borderId="68" xfId="2" applyFont="1" applyBorder="1" applyAlignment="1">
      <alignment horizontal="center" vertical="center" wrapText="1"/>
    </xf>
    <xf numFmtId="0" fontId="13" fillId="0" borderId="2" xfId="2" applyFont="1" applyBorder="1" applyAlignment="1">
      <alignment horizontal="center" vertical="center" wrapText="1"/>
    </xf>
    <xf numFmtId="0" fontId="16" fillId="9" borderId="3" xfId="2" applyFont="1" applyFill="1" applyBorder="1" applyAlignment="1">
      <alignment horizontal="center" vertical="center" wrapText="1"/>
    </xf>
    <xf numFmtId="0" fontId="16" fillId="0" borderId="24" xfId="2" applyFont="1" applyBorder="1" applyAlignment="1">
      <alignment horizontal="center" vertical="center" wrapText="1"/>
    </xf>
    <xf numFmtId="0" fontId="13" fillId="0" borderId="69" xfId="2" applyFont="1" applyBorder="1" applyAlignment="1">
      <alignment horizontal="center" vertical="center" wrapText="1"/>
    </xf>
    <xf numFmtId="0" fontId="13" fillId="0" borderId="5" xfId="2" applyFont="1" applyBorder="1" applyAlignment="1">
      <alignment horizontal="center" vertical="center" wrapText="1"/>
    </xf>
    <xf numFmtId="0" fontId="16" fillId="9" borderId="6" xfId="2" applyFont="1" applyFill="1" applyBorder="1" applyAlignment="1">
      <alignment horizontal="center" vertical="center" wrapText="1"/>
    </xf>
    <xf numFmtId="0" fontId="13" fillId="0" borderId="70" xfId="2" applyFont="1" applyBorder="1" applyAlignment="1">
      <alignment horizontal="center" vertical="center" wrapText="1"/>
    </xf>
    <xf numFmtId="0" fontId="13" fillId="0" borderId="56" xfId="2" applyFont="1" applyBorder="1" applyAlignment="1">
      <alignment horizontal="center" vertical="center" wrapText="1"/>
    </xf>
    <xf numFmtId="0" fontId="13" fillId="0" borderId="57" xfId="2" applyFont="1" applyBorder="1" applyAlignment="1">
      <alignment horizontal="center" vertical="center" wrapText="1"/>
    </xf>
    <xf numFmtId="0" fontId="13" fillId="0" borderId="7" xfId="2" applyFont="1" applyBorder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8" xfId="2" applyFont="1" applyBorder="1" applyAlignment="1">
      <alignment horizontal="center" vertical="center" wrapText="1"/>
    </xf>
    <xf numFmtId="0" fontId="13" fillId="0" borderId="24" xfId="2" applyFont="1" applyBorder="1" applyAlignment="1">
      <alignment horizontal="center" vertical="center" wrapText="1"/>
    </xf>
    <xf numFmtId="0" fontId="13" fillId="0" borderId="25" xfId="2" applyFont="1" applyBorder="1" applyAlignment="1">
      <alignment horizontal="center" vertical="center" wrapText="1"/>
    </xf>
    <xf numFmtId="0" fontId="13" fillId="0" borderId="26" xfId="2" applyFont="1" applyBorder="1" applyAlignment="1">
      <alignment horizontal="center" vertical="center" wrapText="1"/>
    </xf>
    <xf numFmtId="0" fontId="13" fillId="0" borderId="60" xfId="2" applyFont="1" applyBorder="1" applyAlignment="1">
      <alignment horizontal="center" vertical="center" wrapText="1"/>
    </xf>
    <xf numFmtId="0" fontId="13" fillId="0" borderId="8" xfId="2" applyFont="1" applyBorder="1" applyAlignment="1">
      <alignment horizontal="center" vertical="center" wrapText="1"/>
    </xf>
    <xf numFmtId="0" fontId="16" fillId="9" borderId="51" xfId="2" applyFont="1" applyFill="1" applyBorder="1" applyAlignment="1">
      <alignment horizontal="center" vertical="center" wrapText="1"/>
    </xf>
    <xf numFmtId="0" fontId="16" fillId="9" borderId="52" xfId="2" applyFont="1" applyFill="1" applyBorder="1" applyAlignment="1">
      <alignment horizontal="center" vertical="center" wrapText="1"/>
    </xf>
    <xf numFmtId="0" fontId="6" fillId="4" borderId="50" xfId="2" applyFont="1" applyFill="1" applyBorder="1" applyAlignment="1">
      <alignment horizontal="center" vertical="center" wrapText="1"/>
    </xf>
    <xf numFmtId="0" fontId="16" fillId="9" borderId="60" xfId="2" applyFont="1" applyFill="1" applyBorder="1" applyAlignment="1">
      <alignment horizontal="center" vertical="center" wrapText="1"/>
    </xf>
    <xf numFmtId="0" fontId="16" fillId="9" borderId="61" xfId="2" applyFont="1" applyFill="1" applyBorder="1" applyAlignment="1">
      <alignment horizontal="center" vertical="center" wrapText="1"/>
    </xf>
    <xf numFmtId="0" fontId="6" fillId="4" borderId="57" xfId="2" applyFont="1" applyFill="1" applyBorder="1" applyAlignment="1">
      <alignment horizontal="center" vertical="center" wrapText="1"/>
    </xf>
    <xf numFmtId="0" fontId="13" fillId="7" borderId="58" xfId="2" applyFont="1" applyFill="1" applyBorder="1" applyAlignment="1">
      <alignment horizontal="center" vertical="center" wrapText="1"/>
    </xf>
    <xf numFmtId="0" fontId="1" fillId="0" borderId="58" xfId="2" applyBorder="1" applyAlignment="1">
      <alignment horizontal="center" vertical="center" wrapText="1"/>
    </xf>
    <xf numFmtId="0" fontId="1" fillId="0" borderId="37" xfId="2" applyBorder="1" applyAlignment="1">
      <alignment horizontal="center" vertical="center" wrapText="1"/>
    </xf>
    <xf numFmtId="0" fontId="1" fillId="0" borderId="59" xfId="2" applyBorder="1" applyAlignment="1">
      <alignment wrapText="1"/>
    </xf>
    <xf numFmtId="0" fontId="13" fillId="10" borderId="41" xfId="2" applyFont="1" applyFill="1" applyBorder="1" applyAlignment="1">
      <alignment horizontal="center" vertical="center" wrapText="1"/>
    </xf>
    <xf numFmtId="0" fontId="13" fillId="0" borderId="42" xfId="2" applyFont="1" applyBorder="1" applyAlignment="1">
      <alignment horizontal="center" vertical="center" wrapText="1"/>
    </xf>
    <xf numFmtId="0" fontId="1" fillId="0" borderId="43" xfId="2" applyBorder="1" applyAlignment="1">
      <alignment horizontal="center" vertical="center" wrapText="1"/>
    </xf>
    <xf numFmtId="0" fontId="15" fillId="0" borderId="36" xfId="2" applyFont="1" applyBorder="1" applyAlignment="1">
      <alignment horizontal="center" vertical="center" textRotation="90" wrapText="1"/>
    </xf>
    <xf numFmtId="0" fontId="13" fillId="17" borderId="41" xfId="2" applyFont="1" applyFill="1" applyBorder="1" applyAlignment="1">
      <alignment horizontal="center" vertical="center" wrapText="1"/>
    </xf>
    <xf numFmtId="0" fontId="13" fillId="17" borderId="42" xfId="2" applyFont="1" applyFill="1" applyBorder="1" applyAlignment="1">
      <alignment horizontal="center" vertical="center" wrapText="1"/>
    </xf>
    <xf numFmtId="0" fontId="13" fillId="17" borderId="43" xfId="2" applyFont="1" applyFill="1" applyBorder="1" applyAlignment="1">
      <alignment horizontal="center" vertical="center" wrapText="1"/>
    </xf>
    <xf numFmtId="0" fontId="14" fillId="0" borderId="41" xfId="2" applyFont="1" applyBorder="1" applyAlignment="1">
      <alignment horizontal="center" vertical="center" wrapText="1"/>
    </xf>
    <xf numFmtId="0" fontId="14" fillId="0" borderId="42" xfId="2" applyFont="1" applyBorder="1" applyAlignment="1">
      <alignment horizontal="center" vertical="center" wrapText="1"/>
    </xf>
    <xf numFmtId="0" fontId="14" fillId="0" borderId="43" xfId="2" applyFont="1" applyBorder="1" applyAlignment="1">
      <alignment horizontal="center" vertical="center" wrapText="1"/>
    </xf>
    <xf numFmtId="0" fontId="1" fillId="0" borderId="41" xfId="2" applyBorder="1" applyAlignment="1">
      <alignment horizontal="center" vertical="center" wrapText="1"/>
    </xf>
    <xf numFmtId="0" fontId="1" fillId="0" borderId="42" xfId="2" applyBorder="1" applyAlignment="1">
      <alignment horizontal="center" vertical="center" wrapText="1"/>
    </xf>
    <xf numFmtId="0" fontId="16" fillId="9" borderId="64" xfId="2" applyFont="1" applyFill="1" applyBorder="1" applyAlignment="1">
      <alignment horizontal="center" vertical="center" wrapText="1"/>
    </xf>
    <xf numFmtId="0" fontId="16" fillId="9" borderId="65" xfId="2" applyFont="1" applyFill="1" applyBorder="1" applyAlignment="1">
      <alignment horizontal="center" vertical="center" wrapText="1"/>
    </xf>
    <xf numFmtId="0" fontId="6" fillId="4" borderId="63" xfId="2" applyFont="1" applyFill="1" applyBorder="1" applyAlignment="1">
      <alignment horizontal="center" vertical="center" wrapText="1"/>
    </xf>
    <xf numFmtId="0" fontId="15" fillId="0" borderId="35" xfId="2" applyFont="1" applyBorder="1" applyAlignment="1">
      <alignment horizontal="center" vertical="center" textRotation="90" wrapText="1"/>
    </xf>
    <xf numFmtId="0" fontId="13" fillId="0" borderId="10" xfId="2" applyFont="1" applyBorder="1" applyAlignment="1">
      <alignment horizontal="center" vertical="center" wrapText="1"/>
    </xf>
    <xf numFmtId="0" fontId="16" fillId="9" borderId="11" xfId="2" applyFont="1" applyFill="1" applyBorder="1" applyAlignment="1">
      <alignment horizontal="center" vertical="center" wrapText="1"/>
    </xf>
    <xf numFmtId="0" fontId="15" fillId="0" borderId="7" xfId="2" applyFont="1" applyBorder="1" applyAlignment="1">
      <alignment horizontal="center" vertical="center" textRotation="90" wrapText="1"/>
    </xf>
    <xf numFmtId="0" fontId="1" fillId="0" borderId="4" xfId="2" applyBorder="1" applyAlignment="1">
      <alignment horizontal="center" vertical="center" wrapText="1"/>
    </xf>
    <xf numFmtId="0" fontId="1" fillId="3" borderId="5" xfId="2" applyFill="1" applyBorder="1" applyAlignment="1">
      <alignment horizontal="center" vertical="center" wrapText="1"/>
    </xf>
    <xf numFmtId="0" fontId="1" fillId="19" borderId="9" xfId="2" applyFill="1" applyBorder="1" applyAlignment="1">
      <alignment horizontal="center" vertical="center" wrapText="1"/>
    </xf>
    <xf numFmtId="0" fontId="1" fillId="19" borderId="10" xfId="2" applyFill="1" applyBorder="1" applyAlignment="1">
      <alignment horizontal="center" vertical="center" wrapText="1"/>
    </xf>
    <xf numFmtId="0" fontId="1" fillId="19" borderId="11" xfId="2" applyFill="1" applyBorder="1" applyAlignment="1">
      <alignment horizontal="center" vertical="center" wrapText="1"/>
    </xf>
    <xf numFmtId="0" fontId="1" fillId="0" borderId="7" xfId="2" applyBorder="1" applyAlignment="1">
      <alignment wrapText="1"/>
    </xf>
    <xf numFmtId="0" fontId="1" fillId="19" borderId="9" xfId="2" applyFill="1" applyBorder="1" applyAlignment="1">
      <alignment horizontal="center" wrapText="1"/>
    </xf>
    <xf numFmtId="0" fontId="1" fillId="19" borderId="10" xfId="2" applyFill="1" applyBorder="1" applyAlignment="1">
      <alignment horizontal="center" wrapText="1"/>
    </xf>
    <xf numFmtId="0" fontId="1" fillId="19" borderId="5" xfId="2" applyFill="1" applyBorder="1" applyAlignment="1">
      <alignment horizontal="center" wrapText="1"/>
    </xf>
    <xf numFmtId="0" fontId="1" fillId="19" borderId="11" xfId="2" applyFill="1" applyBorder="1" applyAlignment="1">
      <alignment horizontal="center" wrapText="1"/>
    </xf>
    <xf numFmtId="0" fontId="16" fillId="9" borderId="50" xfId="2" applyFont="1" applyFill="1" applyBorder="1" applyAlignment="1">
      <alignment horizontal="center" vertical="center" wrapText="1"/>
    </xf>
    <xf numFmtId="0" fontId="6" fillId="4" borderId="2" xfId="2" applyFont="1" applyFill="1" applyBorder="1" applyAlignment="1">
      <alignment horizontal="center" vertical="center" wrapText="1"/>
    </xf>
    <xf numFmtId="0" fontId="13" fillId="7" borderId="45" xfId="2" applyFont="1" applyFill="1" applyBorder="1" applyAlignment="1">
      <alignment horizontal="center" vertical="center" wrapText="1"/>
    </xf>
    <xf numFmtId="0" fontId="13" fillId="5" borderId="46" xfId="2" applyFont="1" applyFill="1" applyBorder="1" applyAlignment="1">
      <alignment horizontal="center" vertical="center" wrapText="1"/>
    </xf>
    <xf numFmtId="0" fontId="16" fillId="9" borderId="2" xfId="2" applyFont="1" applyFill="1" applyBorder="1" applyAlignment="1">
      <alignment horizontal="center" vertical="center" wrapText="1"/>
    </xf>
    <xf numFmtId="0" fontId="16" fillId="9" borderId="38" xfId="2" applyFont="1" applyFill="1" applyBorder="1" applyAlignment="1">
      <alignment horizontal="center" vertical="center" wrapText="1"/>
    </xf>
    <xf numFmtId="0" fontId="16" fillId="9" borderId="57" xfId="2" applyFont="1" applyFill="1" applyBorder="1" applyAlignment="1">
      <alignment horizontal="center" vertical="center" wrapText="1"/>
    </xf>
    <xf numFmtId="0" fontId="6" fillId="4" borderId="0" xfId="2" applyFont="1" applyFill="1" applyAlignment="1">
      <alignment horizontal="center" vertical="center" wrapText="1"/>
    </xf>
    <xf numFmtId="0" fontId="13" fillId="5" borderId="71" xfId="2" applyFont="1" applyFill="1" applyBorder="1" applyAlignment="1">
      <alignment horizontal="center" vertical="center" wrapText="1"/>
    </xf>
    <xf numFmtId="0" fontId="13" fillId="13" borderId="72" xfId="2" applyFont="1" applyFill="1" applyBorder="1" applyAlignment="1">
      <alignment horizontal="center" vertical="center" wrapText="1"/>
    </xf>
    <xf numFmtId="0" fontId="16" fillId="9" borderId="0" xfId="2" applyFont="1" applyFill="1" applyAlignment="1">
      <alignment horizontal="center" vertical="center" wrapText="1"/>
    </xf>
    <xf numFmtId="0" fontId="16" fillId="9" borderId="58" xfId="2" applyFont="1" applyFill="1" applyBorder="1" applyAlignment="1">
      <alignment horizontal="center" vertical="center" wrapText="1"/>
    </xf>
    <xf numFmtId="0" fontId="13" fillId="6" borderId="37" xfId="2" applyFont="1" applyFill="1" applyBorder="1" applyAlignment="1">
      <alignment horizontal="center" vertical="center" wrapText="1"/>
    </xf>
    <xf numFmtId="0" fontId="13" fillId="6" borderId="59" xfId="2" applyFont="1" applyFill="1" applyBorder="1" applyAlignment="1">
      <alignment horizontal="center" vertical="center" wrapText="1"/>
    </xf>
    <xf numFmtId="0" fontId="13" fillId="15" borderId="71" xfId="2" applyFont="1" applyFill="1" applyBorder="1" applyAlignment="1">
      <alignment horizontal="center" vertical="center" wrapText="1"/>
    </xf>
    <xf numFmtId="0" fontId="13" fillId="16" borderId="72" xfId="2" applyFont="1" applyFill="1" applyBorder="1" applyAlignment="1">
      <alignment horizontal="center" vertical="center" wrapText="1"/>
    </xf>
    <xf numFmtId="0" fontId="13" fillId="0" borderId="72" xfId="2" applyFont="1" applyBorder="1" applyAlignment="1">
      <alignment horizontal="center" vertical="center" wrapText="1"/>
    </xf>
    <xf numFmtId="0" fontId="1" fillId="0" borderId="72" xfId="2" applyBorder="1" applyAlignment="1">
      <alignment vertical="center" wrapText="1"/>
    </xf>
    <xf numFmtId="0" fontId="16" fillId="9" borderId="63" xfId="2" applyFont="1" applyFill="1" applyBorder="1" applyAlignment="1">
      <alignment horizontal="center" vertical="center" wrapText="1"/>
    </xf>
    <xf numFmtId="0" fontId="6" fillId="4" borderId="5" xfId="2" applyFont="1" applyFill="1" applyBorder="1" applyAlignment="1">
      <alignment horizontal="center" vertical="center" wrapText="1"/>
    </xf>
    <xf numFmtId="0" fontId="13" fillId="18" borderId="41" xfId="2" applyFont="1" applyFill="1" applyBorder="1" applyAlignment="1">
      <alignment horizontal="center" vertical="center" wrapText="1"/>
    </xf>
    <xf numFmtId="0" fontId="13" fillId="18" borderId="42" xfId="2" applyFont="1" applyFill="1" applyBorder="1" applyAlignment="1">
      <alignment horizontal="center" vertical="center" wrapText="1"/>
    </xf>
    <xf numFmtId="0" fontId="13" fillId="18" borderId="43" xfId="2" applyFont="1" applyFill="1" applyBorder="1" applyAlignment="1">
      <alignment horizontal="center" vertical="center" wrapText="1"/>
    </xf>
    <xf numFmtId="0" fontId="1" fillId="0" borderId="47" xfId="2" applyBorder="1" applyAlignment="1">
      <alignment wrapText="1"/>
    </xf>
    <xf numFmtId="0" fontId="13" fillId="0" borderId="41" xfId="2" applyFont="1" applyBorder="1" applyAlignment="1">
      <alignment horizontal="center" vertical="center" wrapText="1"/>
    </xf>
    <xf numFmtId="0" fontId="13" fillId="0" borderId="43" xfId="2" applyFont="1" applyBorder="1" applyAlignment="1">
      <alignment horizontal="center" vertical="center" wrapText="1"/>
    </xf>
    <xf numFmtId="0" fontId="6" fillId="0" borderId="48" xfId="2" applyFont="1" applyBorder="1" applyAlignment="1">
      <alignment horizontal="center" vertical="center" wrapText="1"/>
    </xf>
    <xf numFmtId="0" fontId="6" fillId="0" borderId="42" xfId="2" applyFont="1" applyBorder="1" applyAlignment="1">
      <alignment horizontal="center" vertical="center" wrapText="1"/>
    </xf>
    <xf numFmtId="0" fontId="6" fillId="0" borderId="43" xfId="2" applyFont="1" applyBorder="1" applyAlignment="1">
      <alignment horizontal="center" vertical="center" wrapText="1"/>
    </xf>
    <xf numFmtId="0" fontId="16" fillId="9" borderId="41" xfId="2" applyFont="1" applyFill="1" applyBorder="1" applyAlignment="1">
      <alignment horizontal="center" vertical="center" wrapText="1"/>
    </xf>
    <xf numFmtId="0" fontId="13" fillId="0" borderId="62" xfId="2" applyFont="1" applyBorder="1" applyAlignment="1">
      <alignment horizontal="center" vertical="center" wrapText="1"/>
    </xf>
    <xf numFmtId="0" fontId="13" fillId="0" borderId="73" xfId="2" applyFont="1" applyBorder="1" applyAlignment="1">
      <alignment horizontal="center" vertical="center" wrapText="1"/>
    </xf>
    <xf numFmtId="0" fontId="13" fillId="0" borderId="65" xfId="2" applyFont="1" applyBorder="1" applyAlignment="1">
      <alignment horizontal="center" vertical="center" wrapText="1"/>
    </xf>
    <xf numFmtId="0" fontId="16" fillId="9" borderId="62" xfId="2" applyFont="1" applyFill="1" applyBorder="1" applyAlignment="1">
      <alignment horizontal="center" vertical="center" wrapText="1"/>
    </xf>
    <xf numFmtId="0" fontId="13" fillId="9" borderId="24" xfId="2" applyFont="1" applyFill="1" applyBorder="1" applyAlignment="1">
      <alignment horizontal="center" vertical="center" wrapText="1"/>
    </xf>
    <xf numFmtId="0" fontId="13" fillId="9" borderId="25" xfId="2" applyFont="1" applyFill="1" applyBorder="1" applyAlignment="1">
      <alignment horizontal="center" vertical="center" wrapText="1"/>
    </xf>
    <xf numFmtId="0" fontId="16" fillId="9" borderId="73" xfId="2" applyFont="1" applyFill="1" applyBorder="1" applyAlignment="1">
      <alignment horizontal="center" vertical="center" wrapText="1"/>
    </xf>
    <xf numFmtId="0" fontId="16" fillId="9" borderId="65" xfId="2" applyFont="1" applyFill="1" applyBorder="1" applyAlignment="1">
      <alignment horizontal="center" vertical="center" wrapText="1"/>
    </xf>
    <xf numFmtId="0" fontId="13" fillId="0" borderId="64" xfId="2" applyFont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 wrapText="1"/>
    </xf>
    <xf numFmtId="0" fontId="6" fillId="4" borderId="3" xfId="2" applyFont="1" applyFill="1" applyBorder="1" applyAlignment="1">
      <alignment horizontal="center" vertical="center" wrapText="1"/>
    </xf>
    <xf numFmtId="0" fontId="13" fillId="6" borderId="45" xfId="2" applyFont="1" applyFill="1" applyBorder="1" applyAlignment="1">
      <alignment horizontal="center" vertical="center" wrapText="1"/>
    </xf>
    <xf numFmtId="0" fontId="16" fillId="9" borderId="1" xfId="2" applyFont="1" applyFill="1" applyBorder="1" applyAlignment="1">
      <alignment horizontal="center" vertical="center" wrapText="1"/>
    </xf>
    <xf numFmtId="0" fontId="6" fillId="4" borderId="7" xfId="2" applyFont="1" applyFill="1" applyBorder="1" applyAlignment="1">
      <alignment horizontal="center" vertical="center" wrapText="1"/>
    </xf>
    <xf numFmtId="0" fontId="6" fillId="4" borderId="8" xfId="2" applyFont="1" applyFill="1" applyBorder="1" applyAlignment="1">
      <alignment horizontal="center" vertical="center" wrapText="1"/>
    </xf>
    <xf numFmtId="0" fontId="13" fillId="8" borderId="71" xfId="2" applyFont="1" applyFill="1" applyBorder="1" applyAlignment="1">
      <alignment horizontal="center" vertical="center" wrapText="1"/>
    </xf>
    <xf numFmtId="0" fontId="16" fillId="9" borderId="7" xfId="2" applyFont="1" applyFill="1" applyBorder="1" applyAlignment="1">
      <alignment horizontal="center" vertical="center" wrapText="1"/>
    </xf>
    <xf numFmtId="0" fontId="13" fillId="12" borderId="71" xfId="2" applyFont="1" applyFill="1" applyBorder="1" applyAlignment="1">
      <alignment horizontal="center" vertical="center" wrapText="1"/>
    </xf>
    <xf numFmtId="0" fontId="13" fillId="9" borderId="71" xfId="2" applyFont="1" applyFill="1" applyBorder="1" applyAlignment="1">
      <alignment horizontal="center" vertical="center" wrapText="1"/>
    </xf>
    <xf numFmtId="0" fontId="6" fillId="0" borderId="58" xfId="2" applyFont="1" applyBorder="1" applyAlignment="1">
      <alignment horizontal="center" vertical="center" wrapText="1"/>
    </xf>
    <xf numFmtId="0" fontId="6" fillId="0" borderId="37" xfId="2" applyFont="1" applyBorder="1" applyAlignment="1">
      <alignment horizontal="center" vertical="center" wrapText="1"/>
    </xf>
    <xf numFmtId="0" fontId="6" fillId="0" borderId="59" xfId="2" applyFont="1" applyBorder="1" applyAlignment="1">
      <alignment horizontal="center" vertical="center" wrapText="1"/>
    </xf>
    <xf numFmtId="0" fontId="6" fillId="4" borderId="4" xfId="2" applyFont="1" applyFill="1" applyBorder="1" applyAlignment="1">
      <alignment horizontal="center" vertical="center" wrapText="1"/>
    </xf>
    <xf numFmtId="0" fontId="6" fillId="4" borderId="6" xfId="2" applyFont="1" applyFill="1" applyBorder="1" applyAlignment="1">
      <alignment horizontal="center" vertical="center" wrapText="1"/>
    </xf>
    <xf numFmtId="0" fontId="13" fillId="18" borderId="47" xfId="2" applyFont="1" applyFill="1" applyBorder="1" applyAlignment="1">
      <alignment horizontal="center" vertical="center" wrapText="1"/>
    </xf>
    <xf numFmtId="0" fontId="6" fillId="0" borderId="41" xfId="2" applyFont="1" applyBorder="1" applyAlignment="1">
      <alignment horizontal="center" vertical="center" wrapText="1"/>
    </xf>
    <xf numFmtId="0" fontId="16" fillId="9" borderId="4" xfId="2" applyFont="1" applyFill="1" applyBorder="1" applyAlignment="1">
      <alignment horizontal="center" vertical="center" wrapText="1"/>
    </xf>
    <xf numFmtId="0" fontId="16" fillId="9" borderId="5" xfId="2" applyFont="1" applyFill="1" applyBorder="1" applyAlignment="1">
      <alignment horizontal="center" vertical="center" wrapText="1"/>
    </xf>
    <xf numFmtId="0" fontId="15" fillId="0" borderId="0" xfId="2" applyFont="1" applyAlignment="1">
      <alignment horizontal="center" vertical="center" textRotation="90" wrapText="1"/>
    </xf>
    <xf numFmtId="0" fontId="15" fillId="0" borderId="0" xfId="2" applyFont="1" applyAlignment="1">
      <alignment vertical="center" textRotation="90" wrapText="1"/>
    </xf>
    <xf numFmtId="0" fontId="13" fillId="8" borderId="46" xfId="2" applyFont="1" applyFill="1" applyBorder="1" applyAlignment="1">
      <alignment horizontal="center" vertical="center" wrapText="1"/>
    </xf>
    <xf numFmtId="0" fontId="13" fillId="8" borderId="74" xfId="2" applyFont="1" applyFill="1" applyBorder="1" applyAlignment="1">
      <alignment horizontal="center" vertical="center" wrapText="1"/>
    </xf>
    <xf numFmtId="0" fontId="13" fillId="5" borderId="45" xfId="2" applyFont="1" applyFill="1" applyBorder="1" applyAlignment="1">
      <alignment horizontal="center" vertical="center" wrapText="1"/>
    </xf>
    <xf numFmtId="0" fontId="1" fillId="4" borderId="40" xfId="2" applyFill="1" applyBorder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13" borderId="75" xfId="2" applyFont="1" applyFill="1" applyBorder="1" applyAlignment="1">
      <alignment horizontal="center" vertical="center" wrapText="1"/>
    </xf>
    <xf numFmtId="0" fontId="13" fillId="11" borderId="71" xfId="2" applyFont="1" applyFill="1" applyBorder="1" applyAlignment="1">
      <alignment horizontal="center" vertical="center" wrapText="1"/>
    </xf>
    <xf numFmtId="0" fontId="1" fillId="4" borderId="59" xfId="2" applyFill="1" applyBorder="1" applyAlignment="1">
      <alignment horizontal="center" vertical="center" wrapText="1"/>
    </xf>
    <xf numFmtId="0" fontId="13" fillId="11" borderId="72" xfId="2" applyFont="1" applyFill="1" applyBorder="1" applyAlignment="1">
      <alignment horizontal="center" vertical="center" wrapText="1"/>
    </xf>
    <xf numFmtId="0" fontId="13" fillId="11" borderId="75" xfId="2" applyFont="1" applyFill="1" applyBorder="1" applyAlignment="1">
      <alignment horizontal="center" vertical="center" wrapText="1"/>
    </xf>
    <xf numFmtId="0" fontId="13" fillId="14" borderId="71" xfId="2" applyFont="1" applyFill="1" applyBorder="1" applyAlignment="1">
      <alignment horizontal="center" vertical="center" wrapText="1"/>
    </xf>
    <xf numFmtId="0" fontId="13" fillId="14" borderId="72" xfId="2" applyFont="1" applyFill="1" applyBorder="1" applyAlignment="1">
      <alignment horizontal="center" vertical="center" wrapText="1"/>
    </xf>
    <xf numFmtId="0" fontId="13" fillId="14" borderId="75" xfId="2" applyFont="1" applyFill="1" applyBorder="1" applyAlignment="1">
      <alignment horizontal="center" vertical="center" wrapText="1"/>
    </xf>
    <xf numFmtId="0" fontId="13" fillId="0" borderId="71" xfId="2" applyFont="1" applyBorder="1" applyAlignment="1">
      <alignment horizontal="center" vertical="center" wrapText="1"/>
    </xf>
    <xf numFmtId="0" fontId="13" fillId="17" borderId="72" xfId="2" applyFont="1" applyFill="1" applyBorder="1" applyAlignment="1">
      <alignment horizontal="center" vertical="center" wrapText="1"/>
    </xf>
    <xf numFmtId="0" fontId="13" fillId="17" borderId="75" xfId="2" applyFont="1" applyFill="1" applyBorder="1" applyAlignment="1">
      <alignment horizontal="center" vertical="center" wrapText="1"/>
    </xf>
    <xf numFmtId="0" fontId="1" fillId="0" borderId="71" xfId="2" applyBorder="1" applyAlignment="1">
      <alignment horizontal="center" vertical="center" wrapText="1"/>
    </xf>
    <xf numFmtId="0" fontId="13" fillId="0" borderId="48" xfId="2" applyFont="1" applyBorder="1" applyAlignment="1">
      <alignment horizontal="center" vertical="center" wrapText="1"/>
    </xf>
    <xf numFmtId="0" fontId="13" fillId="0" borderId="76" xfId="2" applyFont="1" applyBorder="1" applyAlignment="1">
      <alignment horizontal="center" vertical="center" wrapText="1"/>
    </xf>
    <xf numFmtId="0" fontId="13" fillId="0" borderId="47" xfId="2" applyFont="1" applyBorder="1" applyAlignment="1">
      <alignment horizontal="center" vertical="center" wrapText="1"/>
    </xf>
    <xf numFmtId="0" fontId="1" fillId="4" borderId="43" xfId="2" applyFill="1" applyBorder="1" applyAlignment="1">
      <alignment horizontal="center" vertical="center" wrapText="1"/>
    </xf>
    <xf numFmtId="0" fontId="1" fillId="3" borderId="30" xfId="2" applyFill="1" applyBorder="1" applyAlignment="1">
      <alignment horizontal="center" vertical="center" wrapText="1"/>
    </xf>
  </cellXfs>
  <cellStyles count="3">
    <cellStyle name="Standard" xfId="0" builtinId="0"/>
    <cellStyle name="Standard 2" xfId="1" xr:uid="{488990CC-ECE0-4451-9DC6-1B067085FA66}"/>
    <cellStyle name="Standard 3" xfId="2" xr:uid="{9FA1DEAC-EFF5-43E0-8657-4AA974B10F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435769</xdr:colOff>
      <xdr:row>1</xdr:row>
      <xdr:rowOff>50556</xdr:rowOff>
    </xdr:from>
    <xdr:to>
      <xdr:col>19</xdr:col>
      <xdr:colOff>779897</xdr:colOff>
      <xdr:row>6</xdr:row>
      <xdr:rowOff>122360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53925" y="264869"/>
          <a:ext cx="2844441" cy="10838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24250</xdr:rowOff>
    </xdr:from>
    <xdr:to>
      <xdr:col>19</xdr:col>
      <xdr:colOff>833983</xdr:colOff>
      <xdr:row>6</xdr:row>
      <xdr:rowOff>122223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97297" y="224776"/>
          <a:ext cx="2968686" cy="11006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411955</xdr:colOff>
      <xdr:row>1</xdr:row>
      <xdr:rowOff>43059</xdr:rowOff>
    </xdr:from>
    <xdr:to>
      <xdr:col>19</xdr:col>
      <xdr:colOff>756083</xdr:colOff>
      <xdr:row>6</xdr:row>
      <xdr:rowOff>114863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0111" y="257372"/>
          <a:ext cx="2844441" cy="10838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39104</xdr:rowOff>
    </xdr:from>
    <xdr:to>
      <xdr:col>19</xdr:col>
      <xdr:colOff>833983</xdr:colOff>
      <xdr:row>6</xdr:row>
      <xdr:rowOff>137077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25256" y="250771"/>
          <a:ext cx="2941949" cy="1085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495301</xdr:colOff>
      <xdr:row>1</xdr:row>
      <xdr:rowOff>46281</xdr:rowOff>
    </xdr:from>
    <xdr:to>
      <xdr:col>19</xdr:col>
      <xdr:colOff>839429</xdr:colOff>
      <xdr:row>6</xdr:row>
      <xdr:rowOff>118085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09147" y="251435"/>
          <a:ext cx="2893897" cy="10487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37618</xdr:rowOff>
    </xdr:from>
    <xdr:to>
      <xdr:col>19</xdr:col>
      <xdr:colOff>833983</xdr:colOff>
      <xdr:row>6</xdr:row>
      <xdr:rowOff>135591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97297" y="238144"/>
          <a:ext cx="2968686" cy="11006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495301</xdr:colOff>
      <xdr:row>1</xdr:row>
      <xdr:rowOff>36512</xdr:rowOff>
    </xdr:from>
    <xdr:to>
      <xdr:col>19</xdr:col>
      <xdr:colOff>839429</xdr:colOff>
      <xdr:row>6</xdr:row>
      <xdr:rowOff>108316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09147" y="241666"/>
          <a:ext cx="2893897" cy="104872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93554" y="216622"/>
          <a:ext cx="2962269" cy="108857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495301</xdr:colOff>
      <xdr:row>1</xdr:row>
      <xdr:rowOff>26743</xdr:rowOff>
    </xdr:from>
    <xdr:to>
      <xdr:col>19</xdr:col>
      <xdr:colOff>839429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6821" y="232483"/>
          <a:ext cx="2904448" cy="106240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93554" y="216622"/>
          <a:ext cx="2962269" cy="108857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495301</xdr:colOff>
      <xdr:row>1</xdr:row>
      <xdr:rowOff>26743</xdr:rowOff>
    </xdr:from>
    <xdr:to>
      <xdr:col>19</xdr:col>
      <xdr:colOff>839429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6821" y="232483"/>
          <a:ext cx="2904448" cy="106240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20</xdr:col>
      <xdr:colOff>546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93554" y="216622"/>
          <a:ext cx="2962269" cy="108857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410635</xdr:colOff>
      <xdr:row>1</xdr:row>
      <xdr:rowOff>26743</xdr:rowOff>
    </xdr:from>
    <xdr:to>
      <xdr:col>19</xdr:col>
      <xdr:colOff>754763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3085" y="236293"/>
          <a:ext cx="2858728" cy="107192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14484" y="220432"/>
          <a:ext cx="2916549" cy="109809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410635</xdr:colOff>
      <xdr:row>1</xdr:row>
      <xdr:rowOff>26743</xdr:rowOff>
    </xdr:from>
    <xdr:to>
      <xdr:col>19</xdr:col>
      <xdr:colOff>754763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3085" y="236293"/>
          <a:ext cx="2858728" cy="107192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14484" y="220432"/>
          <a:ext cx="2916549" cy="1098098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410635</xdr:colOff>
      <xdr:row>1</xdr:row>
      <xdr:rowOff>26743</xdr:rowOff>
    </xdr:from>
    <xdr:to>
      <xdr:col>19</xdr:col>
      <xdr:colOff>754763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3085" y="236293"/>
          <a:ext cx="2858728" cy="107192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14484" y="220432"/>
          <a:ext cx="2916549" cy="1098098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410635</xdr:colOff>
      <xdr:row>1</xdr:row>
      <xdr:rowOff>26743</xdr:rowOff>
    </xdr:from>
    <xdr:to>
      <xdr:col>19</xdr:col>
      <xdr:colOff>754763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F2752B1F-4066-4BDB-8933-35851B2C0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3085" y="236293"/>
          <a:ext cx="2858728" cy="107192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AF87251-9E7F-48EB-84B1-206FF7B125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14484" y="220432"/>
          <a:ext cx="2916549" cy="1098098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410635</xdr:colOff>
      <xdr:row>1</xdr:row>
      <xdr:rowOff>26743</xdr:rowOff>
    </xdr:from>
    <xdr:to>
      <xdr:col>19</xdr:col>
      <xdr:colOff>754763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6B5D3BC2-0445-471F-81F0-72AD46FFF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3085" y="236293"/>
          <a:ext cx="2858728" cy="107192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B670FCA6-E80C-4F9E-919B-E0CEA185A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14484" y="220432"/>
          <a:ext cx="2916549" cy="1098098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410635</xdr:colOff>
      <xdr:row>1</xdr:row>
      <xdr:rowOff>26743</xdr:rowOff>
    </xdr:from>
    <xdr:to>
      <xdr:col>19</xdr:col>
      <xdr:colOff>754763</xdr:colOff>
      <xdr:row>6</xdr:row>
      <xdr:rowOff>98547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B94FB8C7-13E1-4C2A-8E0A-7991B228F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3085" y="236293"/>
          <a:ext cx="2858728" cy="107192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432034</xdr:colOff>
      <xdr:row>1</xdr:row>
      <xdr:rowOff>10882</xdr:rowOff>
    </xdr:from>
    <xdr:to>
      <xdr:col>19</xdr:col>
      <xdr:colOff>833983</xdr:colOff>
      <xdr:row>6</xdr:row>
      <xdr:rowOff>108855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B6C16393-95A1-4D24-8059-DD86DAFD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14484" y="220432"/>
          <a:ext cx="2916549" cy="109809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Konzeption/Level_2026-1_2x12_Vorlage_Krafttrai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terkörperplan"/>
      <sheetName val="Tabelle1"/>
      <sheetName val="Krafttraining Progressionen"/>
      <sheetName val="Oberkörperplan"/>
      <sheetName val="Krafttraining Progressionen (2"/>
      <sheetName val="Warm Up"/>
    </sheetNames>
    <sheetDataSet>
      <sheetData sheetId="0">
        <row r="5">
          <cell r="C5" t="str">
            <v>NAME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X49"/>
  <sheetViews>
    <sheetView zoomScale="80" zoomScaleNormal="80" workbookViewId="0">
      <selection activeCell="R25" sqref="R25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4" ht="16.5" thickBot="1" x14ac:dyDescent="0.3"/>
    <row r="2" spans="2:24" x14ac:dyDescent="0.25">
      <c r="B2" s="10"/>
      <c r="C2" s="11"/>
      <c r="D2" s="11"/>
      <c r="E2" s="11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4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4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4" x14ac:dyDescent="0.25">
      <c r="B5" s="7"/>
      <c r="C5" s="60" t="s">
        <v>216</v>
      </c>
      <c r="E5" t="s">
        <v>2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4" x14ac:dyDescent="0.25">
      <c r="B6" s="7"/>
      <c r="C6" s="60"/>
      <c r="O6" s="343"/>
      <c r="P6" s="343"/>
      <c r="Q6" s="343"/>
      <c r="R6" s="343"/>
      <c r="S6" s="343"/>
      <c r="T6" s="344"/>
      <c r="U6" s="2"/>
      <c r="V6" s="2"/>
      <c r="W6" s="2"/>
    </row>
    <row r="7" spans="2:24" ht="16.5" thickBot="1" x14ac:dyDescent="0.3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4" ht="16.5" thickBot="1" x14ac:dyDescent="0.3">
      <c r="B8" s="362" t="s">
        <v>748</v>
      </c>
      <c r="C8" s="363"/>
      <c r="D8" s="363"/>
      <c r="E8" s="363"/>
      <c r="F8" s="363"/>
      <c r="G8" s="363"/>
      <c r="H8" s="363"/>
      <c r="I8" s="363"/>
      <c r="J8" s="363"/>
      <c r="K8" s="363"/>
      <c r="L8" s="363"/>
      <c r="M8" s="363"/>
      <c r="N8" s="363"/>
      <c r="O8" s="363"/>
      <c r="P8" s="363"/>
      <c r="Q8" s="363"/>
      <c r="R8" s="363"/>
      <c r="S8" s="363"/>
      <c r="T8" s="364"/>
      <c r="U8" s="2"/>
      <c r="V8" s="2"/>
      <c r="W8" s="2"/>
    </row>
    <row r="9" spans="2:24" s="34" customFormat="1" ht="20.100000000000001" customHeight="1" x14ac:dyDescent="0.25">
      <c r="B9" s="360" t="s">
        <v>30</v>
      </c>
      <c r="C9" s="330"/>
      <c r="D9" s="330"/>
      <c r="E9" s="330" t="s">
        <v>221</v>
      </c>
      <c r="F9" s="330"/>
      <c r="G9" s="330" t="s">
        <v>31</v>
      </c>
      <c r="H9" s="330"/>
      <c r="I9" s="330"/>
      <c r="J9" s="330" t="s">
        <v>394</v>
      </c>
      <c r="K9" s="330"/>
      <c r="L9" s="330"/>
      <c r="M9" s="330"/>
      <c r="N9" s="330" t="s">
        <v>415</v>
      </c>
      <c r="O9" s="330"/>
      <c r="P9" s="330"/>
      <c r="Q9" s="330"/>
      <c r="R9" s="330" t="s">
        <v>559</v>
      </c>
      <c r="S9" s="330"/>
      <c r="T9" s="331"/>
    </row>
    <row r="10" spans="2:24" s="34" customFormat="1" ht="20.100000000000001" customHeight="1" thickBot="1" x14ac:dyDescent="0.3">
      <c r="B10" s="361" t="s">
        <v>32</v>
      </c>
      <c r="C10" s="329"/>
      <c r="D10" s="329"/>
      <c r="E10" s="329" t="s">
        <v>576</v>
      </c>
      <c r="F10" s="329"/>
      <c r="G10" s="329" t="s">
        <v>134</v>
      </c>
      <c r="H10" s="329"/>
      <c r="I10" s="329"/>
      <c r="J10" s="329" t="s">
        <v>136</v>
      </c>
      <c r="K10" s="329"/>
      <c r="L10" s="329"/>
      <c r="M10" s="329"/>
      <c r="N10" s="329" t="s">
        <v>133</v>
      </c>
      <c r="O10" s="329"/>
      <c r="P10" s="329"/>
      <c r="Q10" s="329"/>
      <c r="R10" s="329" t="s">
        <v>35</v>
      </c>
      <c r="S10" s="329"/>
      <c r="T10" s="332"/>
    </row>
    <row r="11" spans="2:24" ht="16.5" thickBot="1" x14ac:dyDescent="0.3">
      <c r="B11" s="352" t="s">
        <v>588</v>
      </c>
      <c r="C11" s="353"/>
      <c r="D11" s="353"/>
      <c r="E11" s="354"/>
      <c r="F11" s="1"/>
      <c r="G11" s="349" t="s">
        <v>132</v>
      </c>
      <c r="H11" s="350"/>
      <c r="I11" s="350"/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1"/>
      <c r="X11" t="s">
        <v>311</v>
      </c>
    </row>
    <row r="12" spans="2:24" ht="21.6" customHeight="1" thickBot="1" x14ac:dyDescent="0.3">
      <c r="B12" s="355"/>
      <c r="C12" s="356"/>
      <c r="D12" s="356"/>
      <c r="E12" s="357"/>
      <c r="F12" s="1"/>
      <c r="G12" s="71" t="s">
        <v>162</v>
      </c>
      <c r="H12" s="358" t="s">
        <v>50</v>
      </c>
      <c r="I12" s="359"/>
      <c r="J12" s="72" t="s">
        <v>163</v>
      </c>
      <c r="K12" s="65"/>
      <c r="L12" s="71" t="s">
        <v>164</v>
      </c>
      <c r="M12" s="358" t="s">
        <v>49</v>
      </c>
      <c r="N12" s="359"/>
      <c r="O12" s="72" t="s">
        <v>166</v>
      </c>
      <c r="P12" s="65"/>
      <c r="Q12" s="72" t="s">
        <v>165</v>
      </c>
      <c r="R12" s="358" t="s">
        <v>51</v>
      </c>
      <c r="S12" s="359"/>
      <c r="T12" s="72" t="s">
        <v>167</v>
      </c>
      <c r="W12" s="36"/>
      <c r="X12" s="1" t="s">
        <v>588</v>
      </c>
    </row>
    <row r="13" spans="2:24" ht="16.5" thickBot="1" x14ac:dyDescent="0.3">
      <c r="B13" s="338" t="s">
        <v>18</v>
      </c>
      <c r="C13" s="339"/>
      <c r="D13" s="339"/>
      <c r="E13" s="340"/>
      <c r="F13" s="73"/>
      <c r="G13" s="15" t="s">
        <v>19</v>
      </c>
      <c r="H13" s="16" t="s">
        <v>20</v>
      </c>
      <c r="I13" s="16" t="s">
        <v>21</v>
      </c>
      <c r="J13" s="17" t="s">
        <v>22</v>
      </c>
      <c r="K13" s="1"/>
      <c r="L13" s="15" t="s">
        <v>19</v>
      </c>
      <c r="M13" s="16" t="s">
        <v>20</v>
      </c>
      <c r="N13" s="16" t="s">
        <v>21</v>
      </c>
      <c r="O13" s="17" t="s">
        <v>22</v>
      </c>
      <c r="P13" s="1"/>
      <c r="Q13" s="41" t="s">
        <v>19</v>
      </c>
      <c r="R13" s="42" t="s">
        <v>20</v>
      </c>
      <c r="S13" s="42" t="s">
        <v>21</v>
      </c>
      <c r="T13" s="43" t="s">
        <v>22</v>
      </c>
      <c r="W13" s="37"/>
      <c r="X13" s="1" t="s">
        <v>312</v>
      </c>
    </row>
    <row r="14" spans="2:24" s="1" customFormat="1" ht="19.899999999999999" customHeight="1" x14ac:dyDescent="0.25">
      <c r="B14" s="9">
        <v>1</v>
      </c>
      <c r="C14" s="336" t="s">
        <v>385</v>
      </c>
      <c r="D14" s="336"/>
      <c r="E14" s="337"/>
      <c r="G14" s="18" t="s">
        <v>23</v>
      </c>
      <c r="H14" s="19"/>
      <c r="I14" s="19" t="s">
        <v>589</v>
      </c>
      <c r="J14" s="20" t="s">
        <v>27</v>
      </c>
      <c r="L14" s="18" t="s">
        <v>23</v>
      </c>
      <c r="M14" s="19"/>
      <c r="N14" s="19" t="s">
        <v>590</v>
      </c>
      <c r="O14" s="20" t="s">
        <v>27</v>
      </c>
      <c r="Q14" s="44" t="s">
        <v>23</v>
      </c>
      <c r="R14" s="45"/>
      <c r="S14" s="45" t="s">
        <v>591</v>
      </c>
      <c r="T14" s="46" t="s">
        <v>27</v>
      </c>
      <c r="W14" s="36"/>
      <c r="X14" s="1" t="s">
        <v>337</v>
      </c>
    </row>
    <row r="15" spans="2:24" s="1" customFormat="1" ht="19.899999999999999" customHeight="1" x14ac:dyDescent="0.25">
      <c r="B15" s="3">
        <v>2</v>
      </c>
      <c r="C15" s="343" t="s">
        <v>608</v>
      </c>
      <c r="D15" s="343"/>
      <c r="E15" s="344"/>
      <c r="G15" s="68" t="s">
        <v>23</v>
      </c>
      <c r="H15" s="69"/>
      <c r="I15" s="69" t="s">
        <v>25</v>
      </c>
      <c r="J15" s="70"/>
      <c r="L15" s="68" t="s">
        <v>23</v>
      </c>
      <c r="M15" s="69"/>
      <c r="N15" s="69" t="s">
        <v>25</v>
      </c>
      <c r="O15" s="70"/>
      <c r="Q15" s="68" t="s">
        <v>23</v>
      </c>
      <c r="R15" s="69"/>
      <c r="S15" s="69" t="s">
        <v>25</v>
      </c>
      <c r="T15" s="70"/>
      <c r="W15" s="36"/>
    </row>
    <row r="16" spans="2:24" s="1" customFormat="1" ht="19.899999999999999" customHeight="1" thickBot="1" x14ac:dyDescent="0.3">
      <c r="B16" s="4">
        <v>3</v>
      </c>
      <c r="C16" s="341" t="s">
        <v>618</v>
      </c>
      <c r="D16" s="341"/>
      <c r="E16" s="342"/>
      <c r="G16" s="24" t="s">
        <v>23</v>
      </c>
      <c r="H16" s="25"/>
      <c r="I16" s="25" t="s">
        <v>25</v>
      </c>
      <c r="J16" s="26"/>
      <c r="L16" s="24" t="s">
        <v>23</v>
      </c>
      <c r="M16" s="25"/>
      <c r="N16" s="25" t="s">
        <v>25</v>
      </c>
      <c r="O16" s="26"/>
      <c r="Q16" s="47" t="s">
        <v>23</v>
      </c>
      <c r="R16" s="48"/>
      <c r="S16" s="48" t="s">
        <v>25</v>
      </c>
      <c r="T16" s="49"/>
    </row>
    <row r="17" spans="2:24" s="2" customFormat="1" ht="4.9000000000000004" customHeight="1" thickBot="1" x14ac:dyDescent="0.3">
      <c r="B17" s="74"/>
      <c r="Q17" s="50"/>
      <c r="R17" s="50"/>
      <c r="S17" s="50"/>
      <c r="T17" s="75"/>
      <c r="X17" s="1"/>
    </row>
    <row r="18" spans="2:24" s="1" customFormat="1" ht="16.5" thickBot="1" x14ac:dyDescent="0.3">
      <c r="B18" s="338" t="s">
        <v>379</v>
      </c>
      <c r="C18" s="339"/>
      <c r="D18" s="339"/>
      <c r="E18" s="340"/>
      <c r="G18" s="82" t="s">
        <v>22</v>
      </c>
      <c r="H18" s="83" t="s">
        <v>20</v>
      </c>
      <c r="I18" s="83" t="s">
        <v>21</v>
      </c>
      <c r="J18" s="84" t="s">
        <v>22</v>
      </c>
      <c r="K18" s="73"/>
      <c r="L18" s="82" t="str">
        <f>G18</f>
        <v>WEIGHT</v>
      </c>
      <c r="M18" s="83" t="s">
        <v>20</v>
      </c>
      <c r="N18" s="83" t="s">
        <v>21</v>
      </c>
      <c r="O18" s="84" t="s">
        <v>22</v>
      </c>
      <c r="P18" s="73"/>
      <c r="Q18" s="85" t="str">
        <f>L18</f>
        <v>WEIGHT</v>
      </c>
      <c r="R18" s="86" t="s">
        <v>20</v>
      </c>
      <c r="S18" s="86" t="s">
        <v>21</v>
      </c>
      <c r="T18" s="87" t="s">
        <v>22</v>
      </c>
    </row>
    <row r="19" spans="2:24" s="1" customFormat="1" ht="19.899999999999999" customHeight="1" x14ac:dyDescent="0.25">
      <c r="B19" s="9">
        <v>1</v>
      </c>
      <c r="C19" s="336" t="s">
        <v>394</v>
      </c>
      <c r="D19" s="336"/>
      <c r="E19" s="337"/>
      <c r="G19" s="21"/>
      <c r="H19" s="22" t="s">
        <v>24</v>
      </c>
      <c r="I19" s="22" t="s">
        <v>17</v>
      </c>
      <c r="J19" s="23"/>
      <c r="L19" s="21"/>
      <c r="M19" s="22" t="s">
        <v>24</v>
      </c>
      <c r="N19" s="22" t="str">
        <f t="shared" ref="N19:N27" si="0">I19</f>
        <v>1x20</v>
      </c>
      <c r="O19" s="23"/>
      <c r="Q19" s="51"/>
      <c r="R19" s="53" t="s">
        <v>24</v>
      </c>
      <c r="S19" s="53" t="str">
        <f>N19</f>
        <v>1x20</v>
      </c>
      <c r="T19" s="54"/>
    </row>
    <row r="20" spans="2:24" s="1" customFormat="1" ht="19.899999999999999" customHeight="1" x14ac:dyDescent="0.25">
      <c r="B20" s="3">
        <v>2</v>
      </c>
      <c r="C20" s="343" t="s">
        <v>559</v>
      </c>
      <c r="D20" s="343"/>
      <c r="E20" s="344"/>
      <c r="G20" s="27"/>
      <c r="H20" s="28" t="s">
        <v>24</v>
      </c>
      <c r="I20" s="28" t="s">
        <v>657</v>
      </c>
      <c r="J20" s="29"/>
      <c r="L20" s="27"/>
      <c r="M20" s="28" t="s">
        <v>24</v>
      </c>
      <c r="N20" s="28" t="str">
        <f t="shared" si="0"/>
        <v>1x10/ea</v>
      </c>
      <c r="O20" s="29"/>
      <c r="Q20" s="55"/>
      <c r="R20" s="57" t="s">
        <v>24</v>
      </c>
      <c r="S20" s="57" t="str">
        <f>N20</f>
        <v>1x10/ea</v>
      </c>
      <c r="T20" s="58"/>
    </row>
    <row r="21" spans="2:24" s="1" customFormat="1" ht="19.899999999999999" customHeight="1" thickBot="1" x14ac:dyDescent="0.3">
      <c r="B21" s="4">
        <v>3</v>
      </c>
      <c r="C21" s="341" t="s">
        <v>421</v>
      </c>
      <c r="D21" s="341"/>
      <c r="E21" s="342"/>
      <c r="G21" s="24"/>
      <c r="H21" s="25" t="s">
        <v>24</v>
      </c>
      <c r="I21" s="25" t="s">
        <v>593</v>
      </c>
      <c r="J21" s="26"/>
      <c r="L21" s="24"/>
      <c r="M21" s="25" t="s">
        <v>24</v>
      </c>
      <c r="N21" s="25" t="str">
        <f t="shared" si="0"/>
        <v>1x10ea</v>
      </c>
      <c r="O21" s="26"/>
      <c r="Q21" s="47"/>
      <c r="R21" s="48" t="s">
        <v>24</v>
      </c>
      <c r="S21" s="48" t="str">
        <f>N21</f>
        <v>1x10ea</v>
      </c>
      <c r="T21" s="49"/>
    </row>
    <row r="22" spans="2:24" s="1" customFormat="1" ht="19.899999999999999" customHeight="1" x14ac:dyDescent="0.25">
      <c r="B22" s="9">
        <v>4</v>
      </c>
      <c r="C22" s="336" t="s">
        <v>415</v>
      </c>
      <c r="D22" s="336"/>
      <c r="E22" s="337"/>
      <c r="G22" s="21"/>
      <c r="H22" s="22" t="s">
        <v>24</v>
      </c>
      <c r="I22" s="22" t="s">
        <v>17</v>
      </c>
      <c r="J22" s="23"/>
      <c r="L22" s="21"/>
      <c r="M22" s="22" t="s">
        <v>24</v>
      </c>
      <c r="N22" s="22" t="str">
        <f t="shared" si="0"/>
        <v>1x20</v>
      </c>
      <c r="O22" s="23"/>
      <c r="Q22" s="51"/>
      <c r="R22" s="53" t="s">
        <v>24</v>
      </c>
      <c r="S22" s="53" t="s">
        <v>17</v>
      </c>
      <c r="T22" s="54"/>
    </row>
    <row r="23" spans="2:24" s="1" customFormat="1" ht="19.899999999999999" customHeight="1" x14ac:dyDescent="0.25">
      <c r="B23" s="3">
        <v>5</v>
      </c>
      <c r="C23" s="343" t="s">
        <v>422</v>
      </c>
      <c r="D23" s="343"/>
      <c r="E23" s="344"/>
      <c r="G23" s="27"/>
      <c r="H23" s="28" t="s">
        <v>24</v>
      </c>
      <c r="I23" s="28" t="s">
        <v>17</v>
      </c>
      <c r="J23" s="29"/>
      <c r="L23" s="27"/>
      <c r="M23" s="28" t="s">
        <v>24</v>
      </c>
      <c r="N23" s="28" t="str">
        <f t="shared" si="0"/>
        <v>1x20</v>
      </c>
      <c r="O23" s="29"/>
      <c r="Q23" s="55"/>
      <c r="R23" s="57" t="s">
        <v>24</v>
      </c>
      <c r="S23" s="28" t="s">
        <v>17</v>
      </c>
      <c r="T23" s="58"/>
    </row>
    <row r="24" spans="2:24" s="1" customFormat="1" ht="19.899999999999999" customHeight="1" thickBot="1" x14ac:dyDescent="0.3">
      <c r="B24" s="4">
        <v>6</v>
      </c>
      <c r="C24" s="341" t="s">
        <v>41</v>
      </c>
      <c r="D24" s="341"/>
      <c r="E24" s="342"/>
      <c r="G24" s="24"/>
      <c r="H24" s="25" t="s">
        <v>24</v>
      </c>
      <c r="I24" s="25" t="s">
        <v>317</v>
      </c>
      <c r="J24" s="26"/>
      <c r="L24" s="24"/>
      <c r="M24" s="25" t="s">
        <v>24</v>
      </c>
      <c r="N24" s="25" t="str">
        <f t="shared" si="0"/>
        <v>3x10s/ea</v>
      </c>
      <c r="O24" s="26"/>
      <c r="Q24" s="47"/>
      <c r="R24" s="48" t="s">
        <v>24</v>
      </c>
      <c r="S24" s="48" t="str">
        <f>N24</f>
        <v>3x10s/ea</v>
      </c>
      <c r="T24" s="49"/>
    </row>
    <row r="25" spans="2:24" s="1" customFormat="1" ht="19.899999999999999" customHeight="1" x14ac:dyDescent="0.25">
      <c r="B25" s="9">
        <v>7</v>
      </c>
      <c r="C25" s="336" t="s">
        <v>497</v>
      </c>
      <c r="D25" s="336"/>
      <c r="E25" s="337"/>
      <c r="G25" s="21"/>
      <c r="H25" s="22" t="s">
        <v>24</v>
      </c>
      <c r="I25" s="22" t="s">
        <v>624</v>
      </c>
      <c r="J25" s="23"/>
      <c r="L25" s="21"/>
      <c r="M25" s="22" t="s">
        <v>24</v>
      </c>
      <c r="N25" s="22" t="str">
        <f t="shared" si="0"/>
        <v>1x20/ea</v>
      </c>
      <c r="O25" s="23"/>
      <c r="Q25" s="51"/>
      <c r="R25" s="53" t="s">
        <v>24</v>
      </c>
      <c r="S25" s="53" t="str">
        <f>N25</f>
        <v>1x20/ea</v>
      </c>
      <c r="T25" s="54"/>
    </row>
    <row r="26" spans="2:24" s="1" customFormat="1" ht="19.899999999999999" customHeight="1" x14ac:dyDescent="0.25">
      <c r="B26" s="3">
        <v>8</v>
      </c>
      <c r="C26" s="343" t="s">
        <v>443</v>
      </c>
      <c r="D26" s="343"/>
      <c r="E26" s="344"/>
      <c r="G26" s="27"/>
      <c r="H26" s="28" t="s">
        <v>24</v>
      </c>
      <c r="I26" s="28" t="s">
        <v>135</v>
      </c>
      <c r="J26" s="29"/>
      <c r="L26" s="27"/>
      <c r="M26" s="28" t="s">
        <v>24</v>
      </c>
      <c r="N26" s="28" t="str">
        <f t="shared" si="0"/>
        <v>1x30s/ea</v>
      </c>
      <c r="O26" s="29"/>
      <c r="Q26" s="55"/>
      <c r="R26" s="57" t="s">
        <v>24</v>
      </c>
      <c r="S26" s="57" t="str">
        <f>N26</f>
        <v>1x30s/ea</v>
      </c>
      <c r="T26" s="58"/>
    </row>
    <row r="27" spans="2:24" s="1" customFormat="1" ht="19.899999999999999" customHeight="1" thickBot="1" x14ac:dyDescent="0.3">
      <c r="B27" s="4">
        <v>9</v>
      </c>
      <c r="C27" s="341" t="s">
        <v>43</v>
      </c>
      <c r="D27" s="341"/>
      <c r="E27" s="342"/>
      <c r="G27" s="24"/>
      <c r="H27" s="25" t="s">
        <v>24</v>
      </c>
      <c r="I27" s="25" t="s">
        <v>317</v>
      </c>
      <c r="J27" s="26"/>
      <c r="L27" s="24"/>
      <c r="M27" s="25" t="s">
        <v>24</v>
      </c>
      <c r="N27" s="25" t="str">
        <f t="shared" si="0"/>
        <v>3x10s/ea</v>
      </c>
      <c r="O27" s="26"/>
      <c r="Q27" s="47"/>
      <c r="R27" s="48" t="s">
        <v>24</v>
      </c>
      <c r="S27" s="25" t="str">
        <f>N27</f>
        <v>3x10s/ea</v>
      </c>
      <c r="T27" s="49"/>
    </row>
    <row r="28" spans="2:24" s="1" customFormat="1" ht="19.899999999999999" customHeight="1" x14ac:dyDescent="0.25">
      <c r="B28" s="9">
        <v>10</v>
      </c>
      <c r="C28" s="336" t="s">
        <v>504</v>
      </c>
      <c r="D28" s="336"/>
      <c r="E28" s="337"/>
      <c r="G28" s="21"/>
      <c r="H28" s="22" t="s">
        <v>24</v>
      </c>
      <c r="I28" s="22" t="s">
        <v>624</v>
      </c>
      <c r="J28" s="23"/>
      <c r="L28" s="21"/>
      <c r="M28" s="22" t="s">
        <v>24</v>
      </c>
      <c r="N28" s="22" t="str">
        <f t="shared" ref="N28:N34" si="1">I28</f>
        <v>1x20/ea</v>
      </c>
      <c r="O28" s="23"/>
      <c r="Q28" s="21"/>
      <c r="R28" s="22" t="s">
        <v>24</v>
      </c>
      <c r="S28" s="22" t="str">
        <f>I28</f>
        <v>1x20/ea</v>
      </c>
      <c r="T28" s="23"/>
    </row>
    <row r="29" spans="2:24" s="1" customFormat="1" ht="19.899999999999999" customHeight="1" x14ac:dyDescent="0.25">
      <c r="B29" s="3">
        <v>11</v>
      </c>
      <c r="C29" s="343" t="s">
        <v>40</v>
      </c>
      <c r="D29" s="343"/>
      <c r="E29" s="344"/>
      <c r="G29" s="27"/>
      <c r="H29" s="28" t="s">
        <v>24</v>
      </c>
      <c r="I29" s="28" t="s">
        <v>17</v>
      </c>
      <c r="J29" s="29"/>
      <c r="L29" s="27"/>
      <c r="M29" s="28" t="s">
        <v>24</v>
      </c>
      <c r="N29" s="28" t="str">
        <f t="shared" si="1"/>
        <v>1x20</v>
      </c>
      <c r="O29" s="29"/>
      <c r="Q29" s="27"/>
      <c r="R29" s="28" t="s">
        <v>24</v>
      </c>
      <c r="S29" s="28" t="str">
        <f>N29</f>
        <v>1x20</v>
      </c>
      <c r="T29" s="29"/>
    </row>
    <row r="30" spans="2:24" s="1" customFormat="1" ht="19.899999999999999" customHeight="1" thickBot="1" x14ac:dyDescent="0.3">
      <c r="B30" s="3">
        <v>12</v>
      </c>
      <c r="C30" s="343" t="s">
        <v>197</v>
      </c>
      <c r="D30" s="343"/>
      <c r="E30" s="344"/>
      <c r="G30" s="24"/>
      <c r="H30" s="25" t="s">
        <v>24</v>
      </c>
      <c r="I30" s="25" t="s">
        <v>624</v>
      </c>
      <c r="J30" s="26"/>
      <c r="L30" s="24"/>
      <c r="M30" s="25" t="s">
        <v>24</v>
      </c>
      <c r="N30" s="25" t="str">
        <f t="shared" si="1"/>
        <v>1x20/ea</v>
      </c>
      <c r="O30" s="26"/>
      <c r="Q30" s="47"/>
      <c r="R30" s="48" t="s">
        <v>24</v>
      </c>
      <c r="S30" s="48" t="str">
        <f>N30</f>
        <v>1x20/ea</v>
      </c>
      <c r="T30" s="49"/>
    </row>
    <row r="31" spans="2:24" s="1" customFormat="1" ht="19.899999999999999" customHeight="1" x14ac:dyDescent="0.25">
      <c r="B31" s="9">
        <v>13</v>
      </c>
      <c r="C31" s="336" t="s">
        <v>44</v>
      </c>
      <c r="D31" s="336"/>
      <c r="E31" s="337"/>
      <c r="G31" s="103"/>
      <c r="H31" s="22" t="s">
        <v>24</v>
      </c>
      <c r="I31" s="22" t="s">
        <v>624</v>
      </c>
      <c r="J31" s="23"/>
      <c r="L31" s="21"/>
      <c r="M31" s="22" t="s">
        <v>24</v>
      </c>
      <c r="N31" s="22" t="str">
        <f t="shared" si="1"/>
        <v>1x20/ea</v>
      </c>
      <c r="O31" s="23"/>
      <c r="Q31" s="21"/>
      <c r="R31" s="22" t="s">
        <v>24</v>
      </c>
      <c r="S31" s="22" t="str">
        <f>I31</f>
        <v>1x20/ea</v>
      </c>
      <c r="T31" s="23"/>
    </row>
    <row r="32" spans="2:24" s="1" customFormat="1" ht="19.899999999999999" customHeight="1" x14ac:dyDescent="0.25">
      <c r="B32" s="3">
        <v>14</v>
      </c>
      <c r="C32" s="343" t="s">
        <v>45</v>
      </c>
      <c r="D32" s="343"/>
      <c r="E32" s="344"/>
      <c r="G32" s="100"/>
      <c r="H32" s="28" t="s">
        <v>24</v>
      </c>
      <c r="I32" s="28" t="s">
        <v>624</v>
      </c>
      <c r="J32" s="29"/>
      <c r="L32" s="27"/>
      <c r="M32" s="28" t="s">
        <v>24</v>
      </c>
      <c r="N32" s="28" t="str">
        <f t="shared" si="1"/>
        <v>1x20/ea</v>
      </c>
      <c r="O32" s="29"/>
      <c r="Q32" s="27"/>
      <c r="R32" s="28" t="s">
        <v>24</v>
      </c>
      <c r="S32" s="28" t="str">
        <f>N32</f>
        <v>1x20/ea</v>
      </c>
      <c r="T32" s="29"/>
    </row>
    <row r="33" spans="2:22" s="1" customFormat="1" ht="19.899999999999999" customHeight="1" x14ac:dyDescent="0.25">
      <c r="B33" s="3">
        <v>15</v>
      </c>
      <c r="C33" s="343" t="s">
        <v>46</v>
      </c>
      <c r="D33" s="343"/>
      <c r="E33" s="344"/>
      <c r="G33" s="100"/>
      <c r="H33" s="28" t="s">
        <v>24</v>
      </c>
      <c r="I33" s="28" t="s">
        <v>624</v>
      </c>
      <c r="J33" s="29"/>
      <c r="L33" s="27"/>
      <c r="M33" s="28" t="s">
        <v>24</v>
      </c>
      <c r="N33" s="28" t="str">
        <f t="shared" si="1"/>
        <v>1x20/ea</v>
      </c>
      <c r="O33" s="29"/>
      <c r="Q33" s="27"/>
      <c r="R33" s="28" t="s">
        <v>24</v>
      </c>
      <c r="S33" s="28" t="str">
        <f>N33</f>
        <v>1x20/ea</v>
      </c>
      <c r="T33" s="29"/>
    </row>
    <row r="34" spans="2:22" s="1" customFormat="1" ht="19.899999999999999" customHeight="1" thickBot="1" x14ac:dyDescent="0.3">
      <c r="B34" s="4">
        <v>16</v>
      </c>
      <c r="C34" s="341" t="s">
        <v>468</v>
      </c>
      <c r="D34" s="341"/>
      <c r="E34" s="342"/>
      <c r="G34" s="24"/>
      <c r="H34" s="25" t="s">
        <v>24</v>
      </c>
      <c r="I34" s="25" t="s">
        <v>17</v>
      </c>
      <c r="J34" s="26"/>
      <c r="L34" s="24"/>
      <c r="M34" s="25" t="s">
        <v>24</v>
      </c>
      <c r="N34" s="25" t="str">
        <f t="shared" si="1"/>
        <v>1x20</v>
      </c>
      <c r="O34" s="26"/>
      <c r="Q34" s="24"/>
      <c r="R34" s="25" t="s">
        <v>24</v>
      </c>
      <c r="S34" s="25" t="str">
        <f>N34</f>
        <v>1x20</v>
      </c>
      <c r="T34" s="26"/>
    </row>
    <row r="35" spans="2:22" s="2" customFormat="1" ht="16.149999999999999" customHeight="1" thickBot="1" x14ac:dyDescent="0.3">
      <c r="B35" s="349" t="s">
        <v>383</v>
      </c>
      <c r="C35" s="350"/>
      <c r="D35" s="350"/>
      <c r="E35" s="351"/>
      <c r="F35" s="81"/>
      <c r="G35" s="333"/>
      <c r="H35" s="334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5"/>
    </row>
    <row r="36" spans="2:22" s="1" customFormat="1" ht="19.899999999999999" customHeight="1" x14ac:dyDescent="0.25">
      <c r="B36" s="9">
        <v>17</v>
      </c>
      <c r="C36" s="336" t="s">
        <v>205</v>
      </c>
      <c r="D36" s="336"/>
      <c r="E36" s="337"/>
      <c r="G36" s="21"/>
      <c r="H36" s="30" t="s">
        <v>24</v>
      </c>
      <c r="I36" s="22" t="s">
        <v>135</v>
      </c>
      <c r="J36" s="23"/>
      <c r="L36" s="21"/>
      <c r="M36" s="30" t="s">
        <v>24</v>
      </c>
      <c r="N36" s="22" t="str">
        <f>I36</f>
        <v>1x30s/ea</v>
      </c>
      <c r="O36" s="23"/>
      <c r="Q36" s="51"/>
      <c r="R36" s="52" t="s">
        <v>24</v>
      </c>
      <c r="S36" s="53" t="str">
        <f>N36</f>
        <v>1x30s/ea</v>
      </c>
      <c r="T36" s="54"/>
    </row>
    <row r="37" spans="2:22" s="1" customFormat="1" ht="19.899999999999999" customHeight="1" x14ac:dyDescent="0.25">
      <c r="B37" s="3">
        <v>18</v>
      </c>
      <c r="C37" s="345" t="s">
        <v>638</v>
      </c>
      <c r="D37" s="345"/>
      <c r="E37" s="346"/>
      <c r="G37" s="27"/>
      <c r="H37" s="31" t="s">
        <v>24</v>
      </c>
      <c r="I37" s="28" t="s">
        <v>135</v>
      </c>
      <c r="J37" s="29"/>
      <c r="L37" s="27"/>
      <c r="M37" s="31" t="s">
        <v>24</v>
      </c>
      <c r="N37" s="28" t="str">
        <f>I37</f>
        <v>1x30s/ea</v>
      </c>
      <c r="O37" s="29"/>
      <c r="Q37" s="55"/>
      <c r="R37" s="56" t="s">
        <v>24</v>
      </c>
      <c r="S37" s="57" t="str">
        <f>N37</f>
        <v>1x30s/ea</v>
      </c>
      <c r="T37" s="58"/>
    </row>
    <row r="38" spans="2:22" s="1" customFormat="1" ht="19.899999999999999" customHeight="1" thickBot="1" x14ac:dyDescent="0.3">
      <c r="B38" s="4">
        <v>19</v>
      </c>
      <c r="C38" s="347" t="s">
        <v>47</v>
      </c>
      <c r="D38" s="347"/>
      <c r="E38" s="348"/>
      <c r="F38" s="67"/>
      <c r="G38" s="24"/>
      <c r="H38" s="32" t="s">
        <v>24</v>
      </c>
      <c r="I38" s="25" t="s">
        <v>135</v>
      </c>
      <c r="J38" s="26"/>
      <c r="K38" s="67"/>
      <c r="L38" s="24"/>
      <c r="M38" s="32" t="s">
        <v>24</v>
      </c>
      <c r="N38" s="25" t="str">
        <f>I38</f>
        <v>1x30s/ea</v>
      </c>
      <c r="O38" s="26"/>
      <c r="P38" s="67"/>
      <c r="Q38" s="47"/>
      <c r="R38" s="59" t="s">
        <v>24</v>
      </c>
      <c r="S38" s="48" t="str">
        <f>N38</f>
        <v>1x30s/ea</v>
      </c>
      <c r="T38" s="49"/>
    </row>
    <row r="39" spans="2:22" s="2" customFormat="1" ht="4.9000000000000004" customHeight="1" x14ac:dyDescent="0.25">
      <c r="Q39" s="50"/>
      <c r="R39" s="50"/>
      <c r="S39" s="50"/>
      <c r="T39" s="50"/>
      <c r="V39" s="2" t="s">
        <v>624</v>
      </c>
    </row>
    <row r="40" spans="2:22" x14ac:dyDescent="0.25">
      <c r="V40" s="1" t="s">
        <v>314</v>
      </c>
    </row>
    <row r="41" spans="2:22" x14ac:dyDescent="0.25">
      <c r="V41" s="1" t="s">
        <v>338</v>
      </c>
    </row>
    <row r="42" spans="2:22" x14ac:dyDescent="0.25">
      <c r="V42" s="1" t="s">
        <v>48</v>
      </c>
    </row>
    <row r="43" spans="2:22" x14ac:dyDescent="0.25">
      <c r="V43" s="1" t="s">
        <v>135</v>
      </c>
    </row>
    <row r="44" spans="2:22" x14ac:dyDescent="0.25">
      <c r="V44" s="1" t="s">
        <v>315</v>
      </c>
    </row>
    <row r="45" spans="2:22" x14ac:dyDescent="0.25">
      <c r="V45" s="1" t="s">
        <v>316</v>
      </c>
    </row>
    <row r="46" spans="2:22" x14ac:dyDescent="0.25">
      <c r="V46" s="1" t="s">
        <v>317</v>
      </c>
    </row>
    <row r="47" spans="2:22" x14ac:dyDescent="0.25">
      <c r="V47" s="1" t="s">
        <v>364</v>
      </c>
    </row>
    <row r="48" spans="2:22" x14ac:dyDescent="0.25">
      <c r="V48" s="1" t="s">
        <v>26</v>
      </c>
    </row>
    <row r="49" spans="22:22" x14ac:dyDescent="0.25">
      <c r="V49" s="1" t="s">
        <v>657</v>
      </c>
    </row>
  </sheetData>
  <mergeCells count="45">
    <mergeCell ref="O2:T7"/>
    <mergeCell ref="B11:E12"/>
    <mergeCell ref="G11:T11"/>
    <mergeCell ref="H12:I12"/>
    <mergeCell ref="M12:N12"/>
    <mergeCell ref="R12:S12"/>
    <mergeCell ref="B9:D9"/>
    <mergeCell ref="B10:D10"/>
    <mergeCell ref="G9:I9"/>
    <mergeCell ref="G10:I10"/>
    <mergeCell ref="J9:M9"/>
    <mergeCell ref="J10:M10"/>
    <mergeCell ref="B8:T8"/>
    <mergeCell ref="E9:F9"/>
    <mergeCell ref="E10:F10"/>
    <mergeCell ref="N9:Q9"/>
    <mergeCell ref="C37:E37"/>
    <mergeCell ref="C25:E25"/>
    <mergeCell ref="C26:E26"/>
    <mergeCell ref="C27:E27"/>
    <mergeCell ref="C38:E38"/>
    <mergeCell ref="C29:E29"/>
    <mergeCell ref="C33:E33"/>
    <mergeCell ref="B35:E35"/>
    <mergeCell ref="C28:E28"/>
    <mergeCell ref="C30:E30"/>
    <mergeCell ref="C31:E31"/>
    <mergeCell ref="C32:E32"/>
    <mergeCell ref="C34:E34"/>
    <mergeCell ref="N10:Q10"/>
    <mergeCell ref="R9:T9"/>
    <mergeCell ref="R10:T10"/>
    <mergeCell ref="G35:T35"/>
    <mergeCell ref="C36:E36"/>
    <mergeCell ref="B13:E13"/>
    <mergeCell ref="B18:E18"/>
    <mergeCell ref="C19:E19"/>
    <mergeCell ref="C22:E22"/>
    <mergeCell ref="C21:E21"/>
    <mergeCell ref="C23:E23"/>
    <mergeCell ref="C14:E14"/>
    <mergeCell ref="C16:E16"/>
    <mergeCell ref="C20:E20"/>
    <mergeCell ref="C24:E24"/>
    <mergeCell ref="C15:E15"/>
  </mergeCells>
  <phoneticPr fontId="4" type="noConversion"/>
  <dataValidations count="12">
    <dataValidation type="list" allowBlank="1" showInputMessage="1" showErrorMessage="1" sqref="B11:E12" xr:uid="{00000000-0002-0000-0000-000000000000}">
      <formula1>$X$12:$X$16</formula1>
    </dataValidation>
    <dataValidation type="list" allowBlank="1" showInputMessage="1" showErrorMessage="1" sqref="M36 R36 H36" xr:uid="{00000000-0002-0000-0000-000001000000}">
      <formula1>$W$12:$W$16</formula1>
    </dataValidation>
    <dataValidation type="list" allowBlank="1" showInputMessage="1" showErrorMessage="1" sqref="M37:M38 R37:R38 H37:H38" xr:uid="{00000000-0002-0000-0000-000002000000}">
      <formula1>$W$12:$W$14</formula1>
    </dataValidation>
    <dataValidation type="list" allowBlank="1" showInputMessage="1" showErrorMessage="1" sqref="N36:N38 I38" xr:uid="{00000000-0002-0000-0000-000003000000}">
      <formula1>$V$40:$V$45</formula1>
    </dataValidation>
    <dataValidation type="list" allowBlank="1" showInputMessage="1" showErrorMessage="1" sqref="S23 I23 N23" xr:uid="{00000000-0002-0000-0000-000004000000}">
      <formula1>$V$36:$V$44</formula1>
    </dataValidation>
    <dataValidation type="list" allowBlank="1" showInputMessage="1" showErrorMessage="1" sqref="S27" xr:uid="{00000000-0002-0000-0000-000005000000}">
      <formula1>$V$36:$V$46</formula1>
    </dataValidation>
    <dataValidation type="list" allowBlank="1" showInputMessage="1" showErrorMessage="1" sqref="N27" xr:uid="{00000000-0002-0000-0000-000006000000}">
      <formula1>$V$36:$V$47</formula1>
    </dataValidation>
    <dataValidation type="list" allowBlank="1" showInputMessage="1" showErrorMessage="1" sqref="I33 I30" xr:uid="{00000000-0002-0000-0000-000007000000}">
      <formula1>$V$36:$V$45</formula1>
    </dataValidation>
    <dataValidation type="list" allowBlank="1" showInputMessage="1" showErrorMessage="1" sqref="M19:M34 H19:H34 R19:R34" xr:uid="{00000000-0002-0000-0000-000008000000}">
      <formula1>$W$18:$W$20</formula1>
    </dataValidation>
    <dataValidation type="list" allowBlank="1" showInputMessage="1" showErrorMessage="1" sqref="I36:I37" xr:uid="{00000000-0002-0000-0000-000009000000}">
      <formula1>$V$40:$V$50</formula1>
    </dataValidation>
    <dataValidation type="list" allowBlank="1" showInputMessage="1" showErrorMessage="1" sqref="I20" xr:uid="{00000000-0002-0000-0000-00000A000000}">
      <formula1>$V$36:$V$51</formula1>
    </dataValidation>
    <dataValidation type="list" allowBlank="1" showInputMessage="1" showErrorMessage="1" sqref="I27" xr:uid="{00000000-0002-0000-0000-00000B000000}">
      <formula1>$V$39:$V$49</formula1>
    </dataValidation>
  </dataValidations>
  <pageMargins left="0.25" right="0.25" top="0.75" bottom="0.75" header="0.3" footer="0.3"/>
  <pageSetup paperSize="9" scale="67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4">
        <x14:dataValidation type="list" allowBlank="1" showInputMessage="1" showErrorMessage="1" xr:uid="{00000000-0002-0000-0000-00000C000000}">
          <x14:formula1>
            <xm:f>'Warm Up'!$L:$L</xm:f>
          </x14:formula1>
          <xm:sqref>N10</xm:sqref>
        </x14:dataValidation>
        <x14:dataValidation type="list" allowBlank="1" showInputMessage="1" showErrorMessage="1" xr:uid="{00000000-0002-0000-0000-00000D000000}">
          <x14:formula1>
            <xm:f>'Warm Up'!$B:$B</xm:f>
          </x14:formula1>
          <xm:sqref>B9</xm:sqref>
        </x14:dataValidation>
        <x14:dataValidation type="list" allowBlank="1" showInputMessage="1" showErrorMessage="1" xr:uid="{00000000-0002-0000-0000-00000E000000}">
          <x14:formula1>
            <xm:f>'Warm Up'!$C:$C</xm:f>
          </x14:formula1>
          <xm:sqref>E9</xm:sqref>
        </x14:dataValidation>
        <x14:dataValidation type="list" allowBlank="1" showInputMessage="1" showErrorMessage="1" xr:uid="{00000000-0002-0000-0000-00000F000000}">
          <x14:formula1>
            <xm:f>'Warm Up'!$D:$D</xm:f>
          </x14:formula1>
          <xm:sqref>G9</xm:sqref>
        </x14:dataValidation>
        <x14:dataValidation type="list" allowBlank="1" showInputMessage="1" showErrorMessage="1" xr:uid="{00000000-0002-0000-0000-000010000000}">
          <x14:formula1>
            <xm:f>'Warm Up'!$E:$E</xm:f>
          </x14:formula1>
          <xm:sqref>J9</xm:sqref>
        </x14:dataValidation>
        <x14:dataValidation type="list" allowBlank="1" showInputMessage="1" showErrorMessage="1" xr:uid="{00000000-0002-0000-0000-000011000000}">
          <x14:formula1>
            <xm:f>'Warm Up'!$F:$F</xm:f>
          </x14:formula1>
          <xm:sqref>N9</xm:sqref>
        </x14:dataValidation>
        <x14:dataValidation type="list" allowBlank="1" showInputMessage="1" showErrorMessage="1" xr:uid="{00000000-0002-0000-0000-000012000000}">
          <x14:formula1>
            <xm:f>'Warm Up'!$G:$G</xm:f>
          </x14:formula1>
          <xm:sqref>R9</xm:sqref>
        </x14:dataValidation>
        <x14:dataValidation type="list" allowBlank="1" showInputMessage="1" showErrorMessage="1" xr:uid="{00000000-0002-0000-0000-000013000000}">
          <x14:formula1>
            <xm:f>'Warm Up'!$H:$H</xm:f>
          </x14:formula1>
          <xm:sqref>B10</xm:sqref>
        </x14:dataValidation>
        <x14:dataValidation type="list" allowBlank="1" showInputMessage="1" showErrorMessage="1" xr:uid="{00000000-0002-0000-0000-000014000000}">
          <x14:formula1>
            <xm:f>'Warm Up'!$I:$I</xm:f>
          </x14:formula1>
          <xm:sqref>E10</xm:sqref>
        </x14:dataValidation>
        <x14:dataValidation type="list" allowBlank="1" showInputMessage="1" showErrorMessage="1" xr:uid="{00000000-0002-0000-0000-000015000000}">
          <x14:formula1>
            <xm:f>'Warm Up'!$J:$J</xm:f>
          </x14:formula1>
          <xm:sqref>G10</xm:sqref>
        </x14:dataValidation>
        <x14:dataValidation type="list" allowBlank="1" showInputMessage="1" showErrorMessage="1" xr:uid="{00000000-0002-0000-0000-000016000000}">
          <x14:formula1>
            <xm:f>'Warm Up'!$K:$K</xm:f>
          </x14:formula1>
          <xm:sqref>J10</xm:sqref>
        </x14:dataValidation>
        <x14:dataValidation type="list" allowBlank="1" showInputMessage="1" showErrorMessage="1" xr:uid="{00000000-0002-0000-0000-000017000000}">
          <x14:formula1>
            <xm:f>'Warm Up'!$M:$M</xm:f>
          </x14:formula1>
          <xm:sqref>R10</xm:sqref>
        </x14:dataValidation>
        <x14:dataValidation type="list" allowBlank="1" showInputMessage="1" showErrorMessage="1" xr:uid="{00000000-0002-0000-0000-000018000000}">
          <x14:formula1>
            <xm:f>' Unterkörper Progressionen '!$C:$C</xm:f>
          </x14:formula1>
          <xm:sqref>C15:E15</xm:sqref>
        </x14:dataValidation>
        <x14:dataValidation type="list" allowBlank="1" showInputMessage="1" showErrorMessage="1" xr:uid="{00000000-0002-0000-0000-000019000000}">
          <x14:formula1>
            <xm:f>' Unterkörper Progressionen '!$B:$B</xm:f>
          </x14:formula1>
          <xm:sqref>C14:E14</xm:sqref>
        </x14:dataValidation>
        <x14:dataValidation type="list" allowBlank="1" showInputMessage="1" showErrorMessage="1" xr:uid="{00000000-0002-0000-0000-00001A000000}">
          <x14:formula1>
            <xm:f>' Unterkörper Progressionen '!$G:$G</xm:f>
          </x14:formula1>
          <xm:sqref>C21:E21</xm:sqref>
        </x14:dataValidation>
        <x14:dataValidation type="list" allowBlank="1" showInputMessage="1" showErrorMessage="1" xr:uid="{00000000-0002-0000-0000-00001B000000}">
          <x14:formula1>
            <xm:f>' Unterkörper Progressionen '!$M:$M</xm:f>
          </x14:formula1>
          <xm:sqref>C27:E27</xm:sqref>
        </x14:dataValidation>
        <x14:dataValidation type="list" allowBlank="1" showInputMessage="1" showErrorMessage="1" xr:uid="{00000000-0002-0000-0000-00001C000000}">
          <x14:formula1>
            <xm:f>' Unterkörper Progressionen '!$N:$N</xm:f>
          </x14:formula1>
          <xm:sqref>C28:E28</xm:sqref>
        </x14:dataValidation>
        <x14:dataValidation type="list" allowBlank="1" showInputMessage="1" showErrorMessage="1" xr:uid="{00000000-0002-0000-0000-00001D000000}">
          <x14:formula1>
            <xm:f>' Unterkörper Progressionen '!$R:$R</xm:f>
          </x14:formula1>
          <xm:sqref>C32:E32</xm:sqref>
        </x14:dataValidation>
        <x14:dataValidation type="list" allowBlank="1" showInputMessage="1" showErrorMessage="1" xr:uid="{00000000-0002-0000-0000-00001E000000}">
          <x14:formula1>
            <xm:f>' Unterkörper Progressionen '!$S:$S</xm:f>
          </x14:formula1>
          <xm:sqref>C33:E33</xm:sqref>
        </x14:dataValidation>
        <x14:dataValidation type="list" allowBlank="1" showInputMessage="1" showErrorMessage="1" xr:uid="{00000000-0002-0000-0000-00001F000000}">
          <x14:formula1>
            <xm:f>' Unterkörper Progressionen '!$E:$E</xm:f>
          </x14:formula1>
          <xm:sqref>C19:E19</xm:sqref>
        </x14:dataValidation>
        <x14:dataValidation type="list" allowBlank="1" showInputMessage="1" showErrorMessage="1" xr:uid="{00000000-0002-0000-0000-000020000000}">
          <x14:formula1>
            <xm:f>' Unterkörper Progressionen '!$D:$D</xm:f>
          </x14:formula1>
          <xm:sqref>C16:E16</xm:sqref>
        </x14:dataValidation>
        <x14:dataValidation type="list" allowBlank="1" showInputMessage="1" showErrorMessage="1" xr:uid="{00000000-0002-0000-0000-000021000000}">
          <x14:formula1>
            <xm:f>' Unterkörper Progressionen '!$U:$U</xm:f>
          </x14:formula1>
          <xm:sqref>C36:E36</xm:sqref>
        </x14:dataValidation>
        <x14:dataValidation type="list" allowBlank="1" showInputMessage="1" showErrorMessage="1" xr:uid="{00000000-0002-0000-0000-000022000000}">
          <x14:formula1>
            <xm:f>' Unterkörper Progressionen '!$T:$T</xm:f>
          </x14:formula1>
          <xm:sqref>C34:E34</xm:sqref>
        </x14:dataValidation>
        <x14:dataValidation type="list" allowBlank="1" showInputMessage="1" showErrorMessage="1" xr:uid="{00000000-0002-0000-0000-000023000000}">
          <x14:formula1>
            <xm:f>' Unterkörper Progressionen '!$W:$W</xm:f>
          </x14:formula1>
          <xm:sqref>C37:E37</xm:sqref>
        </x14:dataValidation>
        <x14:dataValidation type="list" allowBlank="1" showInputMessage="1" showErrorMessage="1" xr:uid="{00000000-0002-0000-0000-000024000000}">
          <x14:formula1>
            <xm:f>' Unterkörper Progressionen '!$V:$V</xm:f>
          </x14:formula1>
          <xm:sqref>C38:E38</xm:sqref>
        </x14:dataValidation>
        <x14:dataValidation type="list" allowBlank="1" showInputMessage="1" showErrorMessage="1" xr:uid="{00000000-0002-0000-0000-000025000000}">
          <x14:formula1>
            <xm:f>' Unterkörper Progressionen '!$I:$I</xm:f>
          </x14:formula1>
          <xm:sqref>C23:E23</xm:sqref>
        </x14:dataValidation>
        <x14:dataValidation type="list" allowBlank="1" showInputMessage="1" showErrorMessage="1" xr:uid="{00000000-0002-0000-0000-000026000000}">
          <x14:formula1>
            <xm:f>' Unterkörper Progressionen '!$H:$H</xm:f>
          </x14:formula1>
          <xm:sqref>C22:E22</xm:sqref>
        </x14:dataValidation>
        <x14:dataValidation type="list" allowBlank="1" showInputMessage="1" showErrorMessage="1" xr:uid="{00000000-0002-0000-0000-000027000000}">
          <x14:formula1>
            <xm:f>' Unterkörper Progressionen '!$J:$J</xm:f>
          </x14:formula1>
          <xm:sqref>C24:E24</xm:sqref>
        </x14:dataValidation>
        <x14:dataValidation type="list" allowBlank="1" showInputMessage="1" showErrorMessage="1" xr:uid="{00000000-0002-0000-0000-000028000000}">
          <x14:formula1>
            <xm:f>' Unterkörper Progressionen '!$L:$L</xm:f>
          </x14:formula1>
          <xm:sqref>C26:E26</xm:sqref>
        </x14:dataValidation>
        <x14:dataValidation type="list" allowBlank="1" showInputMessage="1" showErrorMessage="1" xr:uid="{00000000-0002-0000-0000-000029000000}">
          <x14:formula1>
            <xm:f>' Unterkörper Progressionen '!$K:$K</xm:f>
          </x14:formula1>
          <xm:sqref>C25:E25</xm:sqref>
        </x14:dataValidation>
        <x14:dataValidation type="list" allowBlank="1" showInputMessage="1" showErrorMessage="1" xr:uid="{00000000-0002-0000-0000-00002A000000}">
          <x14:formula1>
            <xm:f>' Unterkörper Progressionen '!$O:$O</xm:f>
          </x14:formula1>
          <xm:sqref>C29:E29</xm:sqref>
        </x14:dataValidation>
        <x14:dataValidation type="list" allowBlank="1" showInputMessage="1" showErrorMessage="1" xr:uid="{00000000-0002-0000-0000-00002B000000}">
          <x14:formula1>
            <xm:f>' Unterkörper Progressionen '!$P:$P</xm:f>
          </x14:formula1>
          <xm:sqref>C30:E30</xm:sqref>
        </x14:dataValidation>
        <x14:dataValidation type="list" allowBlank="1" showInputMessage="1" showErrorMessage="1" xr:uid="{00000000-0002-0000-0000-00002C000000}">
          <x14:formula1>
            <xm:f>' Unterkörper Progressionen '!$Q:$Q</xm:f>
          </x14:formula1>
          <xm:sqref>C31:E31</xm:sqref>
        </x14:dataValidation>
        <x14:dataValidation type="list" allowBlank="1" showInputMessage="1" showErrorMessage="1" xr:uid="{00000000-0002-0000-0000-00002D000000}">
          <x14:formula1>
            <xm:f>' Unterkörper Progressionen '!$F:$F</xm:f>
          </x14:formula1>
          <xm:sqref>C20:E20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W45"/>
  <sheetViews>
    <sheetView zoomScale="77" zoomScaleNormal="70" workbookViewId="0">
      <selection activeCell="B8" sqref="B8:T8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1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76" t="str">
        <f>UnterkörperA!C5</f>
        <v>NAME</v>
      </c>
      <c r="E5" t="s">
        <v>2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76"/>
      <c r="O6" s="343"/>
      <c r="P6" s="343"/>
      <c r="Q6" s="343"/>
      <c r="R6" s="343"/>
      <c r="S6" s="343"/>
      <c r="T6" s="344"/>
      <c r="U6" s="2"/>
      <c r="V6" s="2"/>
      <c r="W6" s="2"/>
    </row>
    <row r="7" spans="2:23" ht="16.5" thickBot="1" x14ac:dyDescent="0.3">
      <c r="B7" s="7"/>
      <c r="C7" s="76"/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362" t="s">
        <v>748</v>
      </c>
      <c r="C8" s="363"/>
      <c r="D8" s="363"/>
      <c r="E8" s="363"/>
      <c r="F8" s="363"/>
      <c r="G8" s="363"/>
      <c r="H8" s="363"/>
      <c r="I8" s="363"/>
      <c r="J8" s="363"/>
      <c r="K8" s="363"/>
      <c r="L8" s="363"/>
      <c r="M8" s="363"/>
      <c r="N8" s="363"/>
      <c r="O8" s="363"/>
      <c r="P8" s="363"/>
      <c r="Q8" s="363"/>
      <c r="R8" s="363"/>
      <c r="S8" s="363"/>
      <c r="T8" s="364"/>
      <c r="U8" s="2"/>
      <c r="V8" s="2"/>
      <c r="W8" s="2"/>
    </row>
    <row r="9" spans="2:23" s="34" customFormat="1" ht="20.100000000000001" customHeight="1" x14ac:dyDescent="0.25">
      <c r="B9" s="360" t="str">
        <f>UnterkörperA!B9</f>
        <v>TGU ROLL TO 1-ARM PRESS</v>
      </c>
      <c r="C9" s="330"/>
      <c r="D9" s="330"/>
      <c r="E9" s="330" t="str">
        <f>UnterkörperA!E9</f>
        <v>FOOT HAND CRAWL</v>
      </c>
      <c r="F9" s="330"/>
      <c r="G9" s="330" t="str">
        <f>UnterkörperA!G9</f>
        <v>1KB SUITCASE CARRY</v>
      </c>
      <c r="H9" s="330"/>
      <c r="I9" s="330"/>
      <c r="J9" s="330" t="str">
        <f>UnterkörperA!J9</f>
        <v>PEZZIBALL SUPPORTED SQUAT - WALL</v>
      </c>
      <c r="K9" s="330"/>
      <c r="L9" s="330"/>
      <c r="M9" s="330"/>
      <c r="N9" s="330" t="str">
        <f>UnterkörperA!N9</f>
        <v>HIP HINGE WITH STICK</v>
      </c>
      <c r="O9" s="330"/>
      <c r="P9" s="330"/>
      <c r="Q9" s="330"/>
      <c r="R9" s="330" t="str">
        <f>UnterkörperA!R9</f>
        <v>SUPPORTED 1-LEG ISO HINGE</v>
      </c>
      <c r="S9" s="330"/>
      <c r="T9" s="331"/>
    </row>
    <row r="10" spans="2:23" s="34" customFormat="1" ht="20.100000000000001" customHeight="1" thickBot="1" x14ac:dyDescent="0.3">
      <c r="B10" s="361" t="str">
        <f>UnterkörperA!B10</f>
        <v>ANKLE ROCKERS WIPERS</v>
      </c>
      <c r="C10" s="329"/>
      <c r="D10" s="329"/>
      <c r="E10" s="329" t="str">
        <f>UnterkörperA!E10</f>
        <v>2-LEG TOE STANCE WIDE STAND</v>
      </c>
      <c r="F10" s="329"/>
      <c r="G10" s="329" t="str">
        <f>UnterkörperA!G10</f>
        <v>ANKLE MARCH</v>
      </c>
      <c r="H10" s="329"/>
      <c r="I10" s="329"/>
      <c r="J10" s="329" t="str">
        <f>UnterkörperA!J10</f>
        <v>1-LEG A-SKIP</v>
      </c>
      <c r="K10" s="329"/>
      <c r="L10" s="329"/>
      <c r="M10" s="329"/>
      <c r="N10" s="329" t="str">
        <f>UnterkörperA!N10</f>
        <v xml:space="preserve">2-LEG DROP &amp; CATCH </v>
      </c>
      <c r="O10" s="329"/>
      <c r="P10" s="329"/>
      <c r="Q10" s="329"/>
      <c r="R10" s="329" t="str">
        <f>UnterkörperA!R10</f>
        <v>SQUAT JUMP W/PASSIVE ELASTIC</v>
      </c>
      <c r="S10" s="329"/>
      <c r="T10" s="332"/>
    </row>
    <row r="11" spans="2:23" ht="16.5" thickBot="1" x14ac:dyDescent="0.3">
      <c r="B11" s="352" t="str">
        <f>UnterkörperA!B11</f>
        <v>Level A</v>
      </c>
      <c r="C11" s="353"/>
      <c r="D11" s="353"/>
      <c r="E11" s="354"/>
      <c r="F11" s="1"/>
      <c r="G11" s="368" t="s">
        <v>380</v>
      </c>
      <c r="H11" s="369"/>
      <c r="I11" s="369"/>
      <c r="J11" s="369"/>
      <c r="K11" s="369"/>
      <c r="L11" s="369"/>
      <c r="M11" s="369"/>
      <c r="N11" s="369"/>
      <c r="O11" s="369"/>
      <c r="P11" s="369"/>
      <c r="Q11" s="369"/>
      <c r="R11" s="369"/>
      <c r="S11" s="369"/>
      <c r="T11" s="370"/>
    </row>
    <row r="12" spans="2:23" ht="21.6" customHeight="1" thickBot="1" x14ac:dyDescent="0.3">
      <c r="B12" s="355"/>
      <c r="C12" s="356"/>
      <c r="D12" s="356"/>
      <c r="E12" s="357"/>
      <c r="F12" s="1"/>
      <c r="G12" s="71" t="s">
        <v>162</v>
      </c>
      <c r="H12" s="358" t="s">
        <v>50</v>
      </c>
      <c r="I12" s="359"/>
      <c r="J12" s="72" t="s">
        <v>163</v>
      </c>
      <c r="K12" s="65"/>
      <c r="L12" s="71" t="s">
        <v>164</v>
      </c>
      <c r="M12" s="358" t="s">
        <v>49</v>
      </c>
      <c r="N12" s="359"/>
      <c r="O12" s="72" t="s">
        <v>166</v>
      </c>
      <c r="P12" s="65"/>
      <c r="Q12" s="71" t="s">
        <v>165</v>
      </c>
      <c r="R12" s="371" t="s">
        <v>51</v>
      </c>
      <c r="S12" s="372"/>
      <c r="T12" s="72" t="s">
        <v>167</v>
      </c>
    </row>
    <row r="13" spans="2:23" ht="16.5" thickBot="1" x14ac:dyDescent="0.3">
      <c r="B13" s="365" t="s">
        <v>18</v>
      </c>
      <c r="C13" s="366"/>
      <c r="D13" s="366"/>
      <c r="E13" s="367"/>
      <c r="F13" s="73"/>
      <c r="G13" s="15" t="s">
        <v>19</v>
      </c>
      <c r="H13" s="16" t="s">
        <v>20</v>
      </c>
      <c r="I13" s="16" t="s">
        <v>21</v>
      </c>
      <c r="J13" s="17" t="s">
        <v>22</v>
      </c>
      <c r="K13" s="1"/>
      <c r="L13" s="15" t="s">
        <v>19</v>
      </c>
      <c r="M13" s="16" t="s">
        <v>20</v>
      </c>
      <c r="N13" s="16" t="s">
        <v>21</v>
      </c>
      <c r="O13" s="17" t="s">
        <v>22</v>
      </c>
      <c r="P13" s="1"/>
      <c r="Q13" s="41" t="s">
        <v>19</v>
      </c>
      <c r="R13" s="42" t="s">
        <v>20</v>
      </c>
      <c r="S13" s="42" t="s">
        <v>21</v>
      </c>
      <c r="T13" s="43" t="s">
        <v>22</v>
      </c>
    </row>
    <row r="14" spans="2:23" s="1" customFormat="1" ht="19.899999999999999" customHeight="1" x14ac:dyDescent="0.25">
      <c r="B14" s="9">
        <v>1</v>
      </c>
      <c r="C14" s="336" t="s">
        <v>234</v>
      </c>
      <c r="D14" s="336"/>
      <c r="E14" s="337"/>
      <c r="G14" s="18" t="s">
        <v>23</v>
      </c>
      <c r="H14" s="19"/>
      <c r="I14" s="19" t="s">
        <v>25</v>
      </c>
      <c r="J14" s="20" t="s">
        <v>27</v>
      </c>
      <c r="L14" s="18" t="s">
        <v>23</v>
      </c>
      <c r="M14" s="19"/>
      <c r="N14" s="19" t="s">
        <v>25</v>
      </c>
      <c r="O14" s="20" t="s">
        <v>27</v>
      </c>
      <c r="Q14" s="44" t="s">
        <v>23</v>
      </c>
      <c r="R14" s="45"/>
      <c r="S14" s="45" t="s">
        <v>25</v>
      </c>
      <c r="T14" s="46" t="s">
        <v>27</v>
      </c>
    </row>
    <row r="15" spans="2:23" s="1" customFormat="1" ht="19.899999999999999" customHeight="1" x14ac:dyDescent="0.25">
      <c r="B15" s="3">
        <v>2</v>
      </c>
      <c r="C15" s="343" t="s">
        <v>511</v>
      </c>
      <c r="D15" s="343"/>
      <c r="E15" s="344"/>
      <c r="G15" s="68" t="s">
        <v>23</v>
      </c>
      <c r="H15" s="69"/>
      <c r="I15" s="69" t="s">
        <v>25</v>
      </c>
      <c r="J15" s="70" t="s">
        <v>592</v>
      </c>
      <c r="L15" s="68" t="s">
        <v>23</v>
      </c>
      <c r="M15" s="69"/>
      <c r="N15" s="69" t="s">
        <v>25</v>
      </c>
      <c r="O15" s="70" t="s">
        <v>592</v>
      </c>
      <c r="Q15" s="77" t="s">
        <v>23</v>
      </c>
      <c r="R15" s="78"/>
      <c r="S15" s="78" t="s">
        <v>25</v>
      </c>
      <c r="T15" s="79" t="s">
        <v>592</v>
      </c>
    </row>
    <row r="16" spans="2:23" s="1" customFormat="1" ht="19.899999999999999" customHeight="1" thickBot="1" x14ac:dyDescent="0.3">
      <c r="B16" s="4">
        <v>3</v>
      </c>
      <c r="C16" s="341" t="s">
        <v>512</v>
      </c>
      <c r="D16" s="341"/>
      <c r="E16" s="342"/>
      <c r="G16" s="24" t="s">
        <v>23</v>
      </c>
      <c r="H16" s="25"/>
      <c r="I16" s="25" t="s">
        <v>25</v>
      </c>
      <c r="J16" s="26" t="s">
        <v>592</v>
      </c>
      <c r="L16" s="24" t="s">
        <v>23</v>
      </c>
      <c r="M16" s="25"/>
      <c r="N16" s="25" t="s">
        <v>25</v>
      </c>
      <c r="O16" s="26" t="s">
        <v>592</v>
      </c>
      <c r="Q16" s="47" t="s">
        <v>23</v>
      </c>
      <c r="R16" s="48"/>
      <c r="S16" s="48" t="s">
        <v>25</v>
      </c>
      <c r="T16" s="49" t="s">
        <v>592</v>
      </c>
    </row>
    <row r="17" spans="2:23" s="2" customFormat="1" ht="4.9000000000000004" customHeight="1" thickBot="1" x14ac:dyDescent="0.3">
      <c r="B17" s="74"/>
      <c r="Q17" s="50"/>
      <c r="R17" s="50"/>
      <c r="S17" s="50"/>
      <c r="T17" s="75"/>
    </row>
    <row r="18" spans="2:23" s="1" customFormat="1" ht="16.5" thickBot="1" x14ac:dyDescent="0.3">
      <c r="B18" s="338" t="s">
        <v>381</v>
      </c>
      <c r="C18" s="339"/>
      <c r="D18" s="339"/>
      <c r="E18" s="340"/>
      <c r="G18" s="82" t="s">
        <v>22</v>
      </c>
      <c r="H18" s="83" t="s">
        <v>20</v>
      </c>
      <c r="I18" s="83" t="s">
        <v>21</v>
      </c>
      <c r="J18" s="84" t="s">
        <v>22</v>
      </c>
      <c r="K18" s="73"/>
      <c r="L18" s="82" t="str">
        <f>G18</f>
        <v>WEIGHT</v>
      </c>
      <c r="M18" s="83" t="s">
        <v>20</v>
      </c>
      <c r="N18" s="83" t="s">
        <v>21</v>
      </c>
      <c r="O18" s="84" t="s">
        <v>22</v>
      </c>
      <c r="P18" s="73"/>
      <c r="Q18" s="85" t="str">
        <f>L18</f>
        <v>WEIGHT</v>
      </c>
      <c r="R18" s="86" t="s">
        <v>20</v>
      </c>
      <c r="S18" s="86" t="s">
        <v>21</v>
      </c>
      <c r="T18" s="87" t="s">
        <v>22</v>
      </c>
      <c r="W18" s="36"/>
    </row>
    <row r="19" spans="2:23" s="1" customFormat="1" ht="19.899999999999999" customHeight="1" x14ac:dyDescent="0.25">
      <c r="B19" s="9">
        <v>1</v>
      </c>
      <c r="C19" s="336" t="s">
        <v>219</v>
      </c>
      <c r="D19" s="336"/>
      <c r="E19" s="337"/>
      <c r="G19" s="21"/>
      <c r="H19" s="22" t="s">
        <v>24</v>
      </c>
      <c r="I19" s="22" t="s">
        <v>624</v>
      </c>
      <c r="J19" s="23"/>
      <c r="L19" s="21"/>
      <c r="M19" s="22" t="s">
        <v>24</v>
      </c>
      <c r="N19" s="22" t="str">
        <f t="shared" ref="N19:N27" si="0">I19</f>
        <v>1x20/ea</v>
      </c>
      <c r="O19" s="23"/>
      <c r="Q19" s="51"/>
      <c r="R19" s="53" t="s">
        <v>24</v>
      </c>
      <c r="S19" s="53" t="str">
        <f>N19</f>
        <v>1x20/ea</v>
      </c>
      <c r="T19" s="54"/>
      <c r="W19" s="36"/>
    </row>
    <row r="20" spans="2:23" s="1" customFormat="1" ht="19.899999999999999" customHeight="1" x14ac:dyDescent="0.25">
      <c r="B20" s="3">
        <v>2</v>
      </c>
      <c r="C20" s="343" t="s">
        <v>519</v>
      </c>
      <c r="D20" s="343"/>
      <c r="E20" s="344"/>
      <c r="G20" s="27"/>
      <c r="H20" s="28" t="s">
        <v>24</v>
      </c>
      <c r="I20" s="28" t="s">
        <v>624</v>
      </c>
      <c r="J20" s="29"/>
      <c r="L20" s="27"/>
      <c r="M20" s="28" t="s">
        <v>24</v>
      </c>
      <c r="N20" s="28" t="str">
        <f t="shared" si="0"/>
        <v>1x20/ea</v>
      </c>
      <c r="O20" s="29"/>
      <c r="Q20" s="55"/>
      <c r="R20" s="57" t="s">
        <v>24</v>
      </c>
      <c r="S20" s="57" t="str">
        <f>N20</f>
        <v>1x20/ea</v>
      </c>
      <c r="T20" s="58"/>
      <c r="W20" s="36"/>
    </row>
    <row r="21" spans="2:23" s="1" customFormat="1" ht="19.899999999999999" customHeight="1" thickBot="1" x14ac:dyDescent="0.3">
      <c r="B21" s="4">
        <v>3</v>
      </c>
      <c r="C21" s="341" t="s">
        <v>421</v>
      </c>
      <c r="D21" s="341"/>
      <c r="E21" s="342"/>
      <c r="G21" s="24"/>
      <c r="H21" s="25" t="s">
        <v>24</v>
      </c>
      <c r="I21" s="25" t="s">
        <v>657</v>
      </c>
      <c r="J21" s="26"/>
      <c r="L21" s="24"/>
      <c r="M21" s="25" t="s">
        <v>24</v>
      </c>
      <c r="N21" s="25" t="str">
        <f t="shared" si="0"/>
        <v>1x10/ea</v>
      </c>
      <c r="O21" s="26"/>
      <c r="Q21" s="47"/>
      <c r="R21" s="48" t="s">
        <v>24</v>
      </c>
      <c r="S21" s="48" t="str">
        <f>N21</f>
        <v>1x10/ea</v>
      </c>
      <c r="T21" s="49"/>
    </row>
    <row r="22" spans="2:23" s="1" customFormat="1" ht="19.899999999999999" customHeight="1" x14ac:dyDescent="0.25">
      <c r="B22" s="9">
        <v>4</v>
      </c>
      <c r="C22" s="336" t="s">
        <v>525</v>
      </c>
      <c r="D22" s="336"/>
      <c r="E22" s="337"/>
      <c r="G22" s="21"/>
      <c r="H22" s="22" t="s">
        <v>24</v>
      </c>
      <c r="I22" s="22" t="s">
        <v>624</v>
      </c>
      <c r="J22" s="23"/>
      <c r="L22" s="21"/>
      <c r="M22" s="22" t="s">
        <v>24</v>
      </c>
      <c r="N22" s="22" t="str">
        <f t="shared" si="0"/>
        <v>1x20/ea</v>
      </c>
      <c r="O22" s="23"/>
      <c r="Q22" s="51"/>
      <c r="R22" s="53" t="s">
        <v>24</v>
      </c>
      <c r="S22" s="53" t="s">
        <v>17</v>
      </c>
      <c r="T22" s="54"/>
    </row>
    <row r="23" spans="2:23" s="1" customFormat="1" ht="19.899999999999999" customHeight="1" x14ac:dyDescent="0.25">
      <c r="B23" s="3">
        <v>5</v>
      </c>
      <c r="C23" s="343" t="s">
        <v>529</v>
      </c>
      <c r="D23" s="343"/>
      <c r="E23" s="344"/>
      <c r="G23" s="27"/>
      <c r="H23" s="28" t="s">
        <v>24</v>
      </c>
      <c r="I23" s="28" t="s">
        <v>624</v>
      </c>
      <c r="J23" s="29"/>
      <c r="L23" s="27"/>
      <c r="M23" s="28" t="s">
        <v>24</v>
      </c>
      <c r="N23" s="28" t="str">
        <f t="shared" si="0"/>
        <v>1x20/ea</v>
      </c>
      <c r="O23" s="29"/>
      <c r="Q23" s="55"/>
      <c r="R23" s="57" t="s">
        <v>24</v>
      </c>
      <c r="S23" s="28" t="s">
        <v>17</v>
      </c>
      <c r="T23" s="58"/>
    </row>
    <row r="24" spans="2:23" s="1" customFormat="1" ht="19.899999999999999" customHeight="1" thickBot="1" x14ac:dyDescent="0.3">
      <c r="B24" s="4">
        <v>6</v>
      </c>
      <c r="C24" s="341" t="s">
        <v>41</v>
      </c>
      <c r="D24" s="341"/>
      <c r="E24" s="342"/>
      <c r="G24" s="24"/>
      <c r="H24" s="25" t="s">
        <v>24</v>
      </c>
      <c r="I24" s="25" t="s">
        <v>317</v>
      </c>
      <c r="J24" s="26"/>
      <c r="L24" s="24"/>
      <c r="M24" s="25" t="s">
        <v>24</v>
      </c>
      <c r="N24" s="25" t="str">
        <f t="shared" si="0"/>
        <v>3x10s/ea</v>
      </c>
      <c r="O24" s="26"/>
      <c r="Q24" s="47"/>
      <c r="R24" s="48" t="s">
        <v>24</v>
      </c>
      <c r="S24" s="48" t="str">
        <f>N24</f>
        <v>3x10s/ea</v>
      </c>
      <c r="T24" s="49"/>
    </row>
    <row r="25" spans="2:23" s="1" customFormat="1" ht="19.899999999999999" customHeight="1" x14ac:dyDescent="0.25">
      <c r="B25" s="9">
        <v>7</v>
      </c>
      <c r="C25" s="336" t="s">
        <v>224</v>
      </c>
      <c r="D25" s="336"/>
      <c r="E25" s="337"/>
      <c r="G25" s="21"/>
      <c r="H25" s="22" t="s">
        <v>24</v>
      </c>
      <c r="I25" s="22" t="s">
        <v>17</v>
      </c>
      <c r="J25" s="23"/>
      <c r="L25" s="21"/>
      <c r="M25" s="22" t="s">
        <v>24</v>
      </c>
      <c r="N25" s="22" t="str">
        <f t="shared" si="0"/>
        <v>1x20</v>
      </c>
      <c r="O25" s="23"/>
      <c r="Q25" s="51"/>
      <c r="R25" s="53" t="s">
        <v>24</v>
      </c>
      <c r="S25" s="53" t="str">
        <f>N25</f>
        <v>1x20</v>
      </c>
      <c r="T25" s="54"/>
    </row>
    <row r="26" spans="2:23" s="1" customFormat="1" ht="19.899999999999999" customHeight="1" x14ac:dyDescent="0.25">
      <c r="B26" s="3">
        <v>8</v>
      </c>
      <c r="C26" s="343" t="s">
        <v>225</v>
      </c>
      <c r="D26" s="343"/>
      <c r="E26" s="344"/>
      <c r="G26" s="27"/>
      <c r="H26" s="28" t="s">
        <v>24</v>
      </c>
      <c r="I26" s="28" t="s">
        <v>624</v>
      </c>
      <c r="J26" s="29"/>
      <c r="L26" s="27"/>
      <c r="M26" s="28" t="s">
        <v>24</v>
      </c>
      <c r="N26" s="28" t="str">
        <f t="shared" si="0"/>
        <v>1x20/ea</v>
      </c>
      <c r="O26" s="29"/>
      <c r="Q26" s="55"/>
      <c r="R26" s="57" t="s">
        <v>24</v>
      </c>
      <c r="S26" s="57" t="str">
        <f>N26</f>
        <v>1x20/ea</v>
      </c>
      <c r="T26" s="58"/>
    </row>
    <row r="27" spans="2:23" s="1" customFormat="1" ht="19.899999999999999" customHeight="1" thickBot="1" x14ac:dyDescent="0.3">
      <c r="B27" s="4">
        <v>9</v>
      </c>
      <c r="C27" s="341" t="s">
        <v>226</v>
      </c>
      <c r="D27" s="341"/>
      <c r="E27" s="342"/>
      <c r="G27" s="24"/>
      <c r="H27" s="25" t="s">
        <v>24</v>
      </c>
      <c r="I27" s="25" t="s">
        <v>624</v>
      </c>
      <c r="J27" s="26"/>
      <c r="L27" s="24"/>
      <c r="M27" s="25" t="s">
        <v>24</v>
      </c>
      <c r="N27" s="25" t="str">
        <f t="shared" si="0"/>
        <v>1x20/ea</v>
      </c>
      <c r="O27" s="26"/>
      <c r="Q27" s="47"/>
      <c r="R27" s="48" t="s">
        <v>24</v>
      </c>
      <c r="S27" s="25" t="str">
        <f>N27</f>
        <v>1x20/ea</v>
      </c>
      <c r="T27" s="49"/>
    </row>
    <row r="28" spans="2:23" s="1" customFormat="1" ht="19.899999999999999" customHeight="1" x14ac:dyDescent="0.25">
      <c r="B28" s="9">
        <v>10</v>
      </c>
      <c r="C28" s="336" t="s">
        <v>221</v>
      </c>
      <c r="D28" s="336"/>
      <c r="E28" s="337"/>
      <c r="G28" s="21"/>
      <c r="H28" s="22" t="s">
        <v>24</v>
      </c>
      <c r="I28" s="22" t="s">
        <v>594</v>
      </c>
      <c r="J28" s="23"/>
      <c r="L28" s="21"/>
      <c r="M28" s="22" t="s">
        <v>24</v>
      </c>
      <c r="N28" s="22" t="s">
        <v>595</v>
      </c>
      <c r="O28" s="23"/>
      <c r="Q28" s="21"/>
      <c r="R28" s="22" t="s">
        <v>24</v>
      </c>
      <c r="S28" s="22" t="s">
        <v>596</v>
      </c>
      <c r="T28" s="23"/>
    </row>
    <row r="29" spans="2:23" s="1" customFormat="1" ht="19.899999999999999" customHeight="1" x14ac:dyDescent="0.25">
      <c r="B29" s="3">
        <v>11</v>
      </c>
      <c r="C29" s="343" t="s">
        <v>540</v>
      </c>
      <c r="D29" s="343"/>
      <c r="E29" s="344"/>
      <c r="G29" s="27"/>
      <c r="H29" s="28" t="s">
        <v>24</v>
      </c>
      <c r="I29" s="28" t="s">
        <v>624</v>
      </c>
      <c r="J29" s="29"/>
      <c r="L29" s="27"/>
      <c r="M29" s="28" t="s">
        <v>24</v>
      </c>
      <c r="N29" s="28" t="str">
        <f>I29</f>
        <v>1x20/ea</v>
      </c>
      <c r="O29" s="29"/>
      <c r="Q29" s="27"/>
      <c r="R29" s="28" t="s">
        <v>24</v>
      </c>
      <c r="S29" s="28" t="str">
        <f>N29</f>
        <v>1x20/ea</v>
      </c>
      <c r="T29" s="29"/>
    </row>
    <row r="30" spans="2:23" s="1" customFormat="1" ht="19.899999999999999" customHeight="1" thickBot="1" x14ac:dyDescent="0.3">
      <c r="B30" s="4">
        <v>12</v>
      </c>
      <c r="C30" s="341" t="s">
        <v>543</v>
      </c>
      <c r="D30" s="341"/>
      <c r="E30" s="342"/>
      <c r="G30" s="24"/>
      <c r="H30" s="25" t="s">
        <v>24</v>
      </c>
      <c r="I30" s="25" t="s">
        <v>624</v>
      </c>
      <c r="J30" s="26"/>
      <c r="L30" s="24"/>
      <c r="M30" s="25" t="s">
        <v>24</v>
      </c>
      <c r="N30" s="25" t="str">
        <f>I30</f>
        <v>1x20/ea</v>
      </c>
      <c r="O30" s="26"/>
      <c r="Q30" s="47"/>
      <c r="R30" s="48" t="s">
        <v>24</v>
      </c>
      <c r="S30" s="48" t="str">
        <f>N30</f>
        <v>1x20/ea</v>
      </c>
      <c r="T30" s="49"/>
    </row>
    <row r="31" spans="2:23" s="2" customFormat="1" ht="16.149999999999999" customHeight="1" thickBot="1" x14ac:dyDescent="0.3">
      <c r="B31" s="338" t="s">
        <v>382</v>
      </c>
      <c r="C31" s="339"/>
      <c r="D31" s="339"/>
      <c r="E31" s="340"/>
      <c r="F31" s="81"/>
      <c r="G31" s="333"/>
      <c r="H31" s="334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5"/>
    </row>
    <row r="32" spans="2:23" s="1" customFormat="1" ht="19.899999999999999" customHeight="1" x14ac:dyDescent="0.25">
      <c r="B32" s="9">
        <v>13</v>
      </c>
      <c r="C32" s="336" t="s">
        <v>554</v>
      </c>
      <c r="D32" s="336"/>
      <c r="E32" s="337"/>
      <c r="G32" s="21"/>
      <c r="H32" s="22" t="s">
        <v>24</v>
      </c>
      <c r="I32" s="22" t="s">
        <v>26</v>
      </c>
      <c r="J32" s="23"/>
      <c r="L32" s="21"/>
      <c r="M32" s="22" t="s">
        <v>24</v>
      </c>
      <c r="N32" s="22" t="s">
        <v>26</v>
      </c>
      <c r="O32" s="23"/>
      <c r="Q32" s="21"/>
      <c r="R32" s="22" t="s">
        <v>24</v>
      </c>
      <c r="S32" s="22" t="s">
        <v>26</v>
      </c>
      <c r="T32" s="23"/>
    </row>
    <row r="33" spans="2:22" s="1" customFormat="1" ht="19.899999999999999" customHeight="1" x14ac:dyDescent="0.25">
      <c r="B33" s="3">
        <v>14</v>
      </c>
      <c r="C33" s="343" t="s">
        <v>555</v>
      </c>
      <c r="D33" s="343"/>
      <c r="E33" s="344"/>
      <c r="G33" s="18"/>
      <c r="H33" s="28" t="s">
        <v>24</v>
      </c>
      <c r="I33" s="19" t="s">
        <v>26</v>
      </c>
      <c r="J33" s="20"/>
      <c r="L33" s="18"/>
      <c r="M33" s="19" t="str">
        <f>H33</f>
        <v>8-9</v>
      </c>
      <c r="N33" s="19" t="str">
        <f>N34</f>
        <v>1x30s</v>
      </c>
      <c r="O33" s="20"/>
      <c r="Q33" s="18"/>
      <c r="R33" s="19" t="str">
        <f>M33</f>
        <v>8-9</v>
      </c>
      <c r="S33" s="19" t="str">
        <f>N33</f>
        <v>1x30s</v>
      </c>
      <c r="T33" s="20"/>
    </row>
    <row r="34" spans="2:22" s="1" customFormat="1" ht="19.899999999999999" customHeight="1" x14ac:dyDescent="0.25">
      <c r="B34" s="3">
        <v>15</v>
      </c>
      <c r="C34" s="343" t="s">
        <v>547</v>
      </c>
      <c r="D34" s="343"/>
      <c r="E34" s="344"/>
      <c r="G34" s="27"/>
      <c r="H34" s="28" t="s">
        <v>24</v>
      </c>
      <c r="I34" s="28" t="s">
        <v>26</v>
      </c>
      <c r="J34" s="29"/>
      <c r="L34" s="27"/>
      <c r="M34" s="28" t="s">
        <v>24</v>
      </c>
      <c r="N34" s="28" t="s">
        <v>26</v>
      </c>
      <c r="O34" s="29"/>
      <c r="Q34" s="27"/>
      <c r="R34" s="28" t="s">
        <v>24</v>
      </c>
      <c r="S34" s="28" t="s">
        <v>26</v>
      </c>
      <c r="T34" s="29"/>
    </row>
    <row r="35" spans="2:22" s="1" customFormat="1" ht="19.899999999999999" customHeight="1" thickBot="1" x14ac:dyDescent="0.3">
      <c r="B35" s="4">
        <v>16</v>
      </c>
      <c r="C35" s="347" t="s">
        <v>641</v>
      </c>
      <c r="D35" s="347"/>
      <c r="E35" s="348"/>
      <c r="F35" s="67"/>
      <c r="G35" s="24"/>
      <c r="H35" s="25" t="s">
        <v>24</v>
      </c>
      <c r="I35" s="25" t="s">
        <v>135</v>
      </c>
      <c r="J35" s="26"/>
      <c r="K35" s="67"/>
      <c r="L35" s="24"/>
      <c r="M35" s="25" t="s">
        <v>24</v>
      </c>
      <c r="N35" s="25" t="str">
        <f>I35</f>
        <v>1x30s/ea</v>
      </c>
      <c r="O35" s="26"/>
      <c r="P35" s="67"/>
      <c r="Q35" s="24"/>
      <c r="R35" s="25" t="s">
        <v>24</v>
      </c>
      <c r="S35" s="25" t="str">
        <f>I35</f>
        <v>1x30s/ea</v>
      </c>
      <c r="T35" s="26"/>
    </row>
    <row r="36" spans="2:22" x14ac:dyDescent="0.25">
      <c r="V36" s="1" t="s">
        <v>313</v>
      </c>
    </row>
    <row r="37" spans="2:22" x14ac:dyDescent="0.25">
      <c r="V37" s="1" t="s">
        <v>28</v>
      </c>
    </row>
    <row r="38" spans="2:22" x14ac:dyDescent="0.25">
      <c r="V38" s="1" t="s">
        <v>29</v>
      </c>
    </row>
    <row r="39" spans="2:22" x14ac:dyDescent="0.25">
      <c r="V39" s="1" t="s">
        <v>26</v>
      </c>
    </row>
    <row r="40" spans="2:22" x14ac:dyDescent="0.25">
      <c r="V40" s="1" t="s">
        <v>232</v>
      </c>
    </row>
    <row r="41" spans="2:22" x14ac:dyDescent="0.25">
      <c r="V41" s="1" t="s">
        <v>233</v>
      </c>
    </row>
    <row r="42" spans="2:22" x14ac:dyDescent="0.25">
      <c r="V42" s="1" t="s">
        <v>296</v>
      </c>
    </row>
    <row r="43" spans="2:22" x14ac:dyDescent="0.25">
      <c r="V43" s="1" t="s">
        <v>17</v>
      </c>
    </row>
    <row r="44" spans="2:22" x14ac:dyDescent="0.25">
      <c r="V44" s="1" t="s">
        <v>624</v>
      </c>
    </row>
    <row r="45" spans="2:22" x14ac:dyDescent="0.25">
      <c r="V45" s="1" t="s">
        <v>135</v>
      </c>
    </row>
  </sheetData>
  <mergeCells count="42">
    <mergeCell ref="J9:M9"/>
    <mergeCell ref="C24:E24"/>
    <mergeCell ref="O2:T7"/>
    <mergeCell ref="B11:E12"/>
    <mergeCell ref="G11:T11"/>
    <mergeCell ref="H12:I12"/>
    <mergeCell ref="M12:N12"/>
    <mergeCell ref="R12:S12"/>
    <mergeCell ref="B9:D9"/>
    <mergeCell ref="B10:D10"/>
    <mergeCell ref="R9:T9"/>
    <mergeCell ref="R10:T10"/>
    <mergeCell ref="E10:F10"/>
    <mergeCell ref="E9:F9"/>
    <mergeCell ref="G9:I9"/>
    <mergeCell ref="B8:T8"/>
    <mergeCell ref="G10:I10"/>
    <mergeCell ref="C35:E35"/>
    <mergeCell ref="C26:E26"/>
    <mergeCell ref="C27:E27"/>
    <mergeCell ref="C28:E28"/>
    <mergeCell ref="C29:E29"/>
    <mergeCell ref="C34:E34"/>
    <mergeCell ref="C32:E32"/>
    <mergeCell ref="C30:E30"/>
    <mergeCell ref="C33:E33"/>
    <mergeCell ref="J10:M10"/>
    <mergeCell ref="N9:Q9"/>
    <mergeCell ref="N10:Q10"/>
    <mergeCell ref="B31:E31"/>
    <mergeCell ref="G31:T31"/>
    <mergeCell ref="C23:E23"/>
    <mergeCell ref="C25:E25"/>
    <mergeCell ref="B13:E13"/>
    <mergeCell ref="C14:E14"/>
    <mergeCell ref="C15:E15"/>
    <mergeCell ref="C16:E16"/>
    <mergeCell ref="B18:E18"/>
    <mergeCell ref="C19:E19"/>
    <mergeCell ref="C20:E20"/>
    <mergeCell ref="C21:E21"/>
    <mergeCell ref="C22:E22"/>
  </mergeCells>
  <dataValidations count="6">
    <dataValidation type="list" allowBlank="1" showInputMessage="1" showErrorMessage="1" sqref="M19:M30 H19:H30 R19:R30 R34:R35 H32:H35 R32 M32 M34:M35" xr:uid="{00000000-0002-0000-0100-000000000000}">
      <formula1>$W$18:$W$20</formula1>
    </dataValidation>
    <dataValidation type="list" allowBlank="1" showInputMessage="1" showErrorMessage="1" sqref="I32:I34 N34 S32 N32 S34" xr:uid="{00000000-0002-0000-0100-000001000000}">
      <formula1>$V$36:$V$41</formula1>
    </dataValidation>
    <dataValidation type="list" allowBlank="1" showInputMessage="1" showErrorMessage="1" sqref="I27 I30" xr:uid="{00000000-0002-0000-0100-000002000000}">
      <formula1>$V$36:$V$45</formula1>
    </dataValidation>
    <dataValidation type="list" allowBlank="1" showInputMessage="1" showErrorMessage="1" sqref="N27 I35" xr:uid="{00000000-0002-0000-0100-000003000000}">
      <formula1>$V$36:$V$47</formula1>
    </dataValidation>
    <dataValidation type="list" allowBlank="1" showInputMessage="1" showErrorMessage="1" sqref="S27" xr:uid="{00000000-0002-0000-0100-000004000000}">
      <formula1>$V$36:$V$46</formula1>
    </dataValidation>
    <dataValidation type="list" allowBlank="1" showInputMessage="1" showErrorMessage="1" sqref="I20 I23 N23 S23" xr:uid="{00000000-0002-0000-0100-000005000000}">
      <formula1>$V$36:$V$44</formula1>
    </dataValidation>
  </dataValidations>
  <pageMargins left="0.25" right="0.25" top="0.75" bottom="0.75" header="0.3" footer="0.3"/>
  <pageSetup paperSize="9"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2">
        <x14:dataValidation type="list" allowBlank="1" showInputMessage="1" showErrorMessage="1" xr:uid="{00000000-0002-0000-0100-000019000000}">
          <x14:formula1>
            <xm:f>'Warm Up'!$D:$D</xm:f>
          </x14:formula1>
          <xm:sqref>G9</xm:sqref>
        </x14:dataValidation>
        <x14:dataValidation type="list" allowBlank="1" showInputMessage="1" showErrorMessage="1" xr:uid="{00000000-0002-0000-0100-00001A000000}">
          <x14:formula1>
            <xm:f>'Warm Up'!$C:$C</xm:f>
          </x14:formula1>
          <xm:sqref>E9</xm:sqref>
        </x14:dataValidation>
        <x14:dataValidation type="list" allowBlank="1" showInputMessage="1" showErrorMessage="1" xr:uid="{00000000-0002-0000-0100-00001B000000}">
          <x14:formula1>
            <xm:f>'Warm Up'!$B:$B</xm:f>
          </x14:formula1>
          <xm:sqref>B9</xm:sqref>
        </x14:dataValidation>
        <x14:dataValidation type="list" allowBlank="1" showInputMessage="1" showErrorMessage="1" xr:uid="{00000000-0002-0000-0100-000006000000}">
          <x14:formula1>
            <xm:f>'Oberkörper Progressionen '!$C:$C</xm:f>
          </x14:formula1>
          <xm:sqref>C15:E15</xm:sqref>
        </x14:dataValidation>
        <x14:dataValidation type="list" allowBlank="1" showInputMessage="1" showErrorMessage="1" xr:uid="{00000000-0002-0000-0100-000007000000}">
          <x14:formula1>
            <xm:f>'Oberkörper Progressionen '!$B:$B</xm:f>
          </x14:formula1>
          <xm:sqref>C14:E14</xm:sqref>
        </x14:dataValidation>
        <x14:dataValidation type="list" allowBlank="1" showInputMessage="1" showErrorMessage="1" xr:uid="{00000000-0002-0000-0100-000008000000}">
          <x14:formula1>
            <xm:f>'Oberkörper Progressionen '!$S:$S</xm:f>
          </x14:formula1>
          <xm:sqref>C35:E35</xm:sqref>
        </x14:dataValidation>
        <x14:dataValidation type="list" allowBlank="1" showInputMessage="1" showErrorMessage="1" xr:uid="{00000000-0002-0000-0100-000009000000}">
          <x14:formula1>
            <xm:f>'Oberkörper Progressionen '!$R:$R</xm:f>
          </x14:formula1>
          <xm:sqref>C32:E32</xm:sqref>
        </x14:dataValidation>
        <x14:dataValidation type="list" allowBlank="1" showInputMessage="1" showErrorMessage="1" xr:uid="{00000000-0002-0000-0100-00000A000000}">
          <x14:formula1>
            <xm:f>'Oberkörper Progressionen '!$Q:$Q</xm:f>
          </x14:formula1>
          <xm:sqref>C34:E34</xm:sqref>
        </x14:dataValidation>
        <x14:dataValidation type="list" allowBlank="1" showInputMessage="1" showErrorMessage="1" xr:uid="{00000000-0002-0000-0100-00000B000000}">
          <x14:formula1>
            <xm:f>'Oberkörper Progressionen '!$O:$O</xm:f>
          </x14:formula1>
          <xm:sqref>C29:E29</xm:sqref>
        </x14:dataValidation>
        <x14:dataValidation type="list" allowBlank="1" showInputMessage="1" showErrorMessage="1" xr:uid="{00000000-0002-0000-0100-00000C000000}">
          <x14:formula1>
            <xm:f>'Oberkörper Progressionen '!$N:$N</xm:f>
          </x14:formula1>
          <xm:sqref>C28:E28</xm:sqref>
        </x14:dataValidation>
        <x14:dataValidation type="list" allowBlank="1" showInputMessage="1" showErrorMessage="1" xr:uid="{00000000-0002-0000-0100-00000D000000}">
          <x14:formula1>
            <xm:f>'Oberkörper Progressionen '!$L:$L</xm:f>
          </x14:formula1>
          <xm:sqref>C26:E26</xm:sqref>
        </x14:dataValidation>
        <x14:dataValidation type="list" allowBlank="1" showInputMessage="1" showErrorMessage="1" xr:uid="{00000000-0002-0000-0100-00000E000000}">
          <x14:formula1>
            <xm:f>'Oberkörper Progressionen '!$K:$K</xm:f>
          </x14:formula1>
          <xm:sqref>C25:E25</xm:sqref>
        </x14:dataValidation>
        <x14:dataValidation type="list" allowBlank="1" showInputMessage="1" showErrorMessage="1" xr:uid="{00000000-0002-0000-0100-00000F000000}">
          <x14:formula1>
            <xm:f>'Oberkörper Progressionen '!$F:$F</xm:f>
          </x14:formula1>
          <xm:sqref>C20:E20</xm:sqref>
        </x14:dataValidation>
        <x14:dataValidation type="list" allowBlank="1" showInputMessage="1" showErrorMessage="1" xr:uid="{00000000-0002-0000-0100-000010000000}">
          <x14:formula1>
            <xm:f>'Oberkörper Progressionen '!$E:$E</xm:f>
          </x14:formula1>
          <xm:sqref>C19:E19</xm:sqref>
        </x14:dataValidation>
        <x14:dataValidation type="list" allowBlank="1" showInputMessage="1" showErrorMessage="1" xr:uid="{00000000-0002-0000-0100-000011000000}">
          <x14:formula1>
            <xm:f>'Oberkörper Progressionen '!$D:$D</xm:f>
          </x14:formula1>
          <xm:sqref>C16:E16</xm:sqref>
        </x14:dataValidation>
        <x14:dataValidation type="list" allowBlank="1" showInputMessage="1" showErrorMessage="1" xr:uid="{00000000-0002-0000-0100-000012000000}">
          <x14:formula1>
            <xm:f>'Oberkörper Progressionen '!$T:$T</xm:f>
          </x14:formula1>
          <xm:sqref>C33:E33</xm:sqref>
        </x14:dataValidation>
        <x14:dataValidation type="list" allowBlank="1" showInputMessage="1" showErrorMessage="1" xr:uid="{00000000-0002-0000-0100-000013000000}">
          <x14:formula1>
            <xm:f>'Oberkörper Progressionen '!$H:$H</xm:f>
          </x14:formula1>
          <xm:sqref>C22:E22</xm:sqref>
        </x14:dataValidation>
        <x14:dataValidation type="list" allowBlank="1" showInputMessage="1" showErrorMessage="1" xr:uid="{00000000-0002-0000-0100-000014000000}">
          <x14:formula1>
            <xm:f>'Oberkörper Progressionen '!$J:$J</xm:f>
          </x14:formula1>
          <xm:sqref>C24:E24</xm:sqref>
        </x14:dataValidation>
        <x14:dataValidation type="list" allowBlank="1" showInputMessage="1" showErrorMessage="1" xr:uid="{00000000-0002-0000-0100-000015000000}">
          <x14:formula1>
            <xm:f>'Oberkörper Progressionen '!$M:$M</xm:f>
          </x14:formula1>
          <xm:sqref>C27:E27</xm:sqref>
        </x14:dataValidation>
        <x14:dataValidation type="list" allowBlank="1" showInputMessage="1" showErrorMessage="1" xr:uid="{00000000-0002-0000-0100-000016000000}">
          <x14:formula1>
            <xm:f>'Oberkörper Progressionen '!$G:$G</xm:f>
          </x14:formula1>
          <xm:sqref>C21:E21</xm:sqref>
        </x14:dataValidation>
        <x14:dataValidation type="list" allowBlank="1" showInputMessage="1" showErrorMessage="1" xr:uid="{00000000-0002-0000-0100-000017000000}">
          <x14:formula1>
            <xm:f>'Oberkörper Progressionen '!$I:$I</xm:f>
          </x14:formula1>
          <xm:sqref>C23:E23</xm:sqref>
        </x14:dataValidation>
        <x14:dataValidation type="list" allowBlank="1" showInputMessage="1" showErrorMessage="1" xr:uid="{00000000-0002-0000-0100-000018000000}">
          <x14:formula1>
            <xm:f>'Oberkörper Progressionen '!$P:$P</xm:f>
          </x14:formula1>
          <xm:sqref>C30:E30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X49"/>
  <sheetViews>
    <sheetView zoomScale="80" zoomScaleNormal="54" workbookViewId="0">
      <selection activeCell="X28" sqref="X28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4" ht="16.5" thickBot="1" x14ac:dyDescent="0.3"/>
    <row r="2" spans="2:24" x14ac:dyDescent="0.25">
      <c r="B2" s="10"/>
      <c r="C2" s="11"/>
      <c r="D2" s="11"/>
      <c r="E2" s="11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4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4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4" x14ac:dyDescent="0.25">
      <c r="B5" s="7"/>
      <c r="C5" s="60" t="s">
        <v>216</v>
      </c>
      <c r="E5" t="s">
        <v>2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4" x14ac:dyDescent="0.25">
      <c r="B6" s="7"/>
      <c r="C6" s="60"/>
      <c r="O6" s="343"/>
      <c r="P6" s="343"/>
      <c r="Q6" s="343"/>
      <c r="R6" s="343"/>
      <c r="S6" s="343"/>
      <c r="T6" s="344"/>
      <c r="U6" s="2"/>
      <c r="V6" s="2"/>
      <c r="W6" s="2"/>
    </row>
    <row r="7" spans="2:24" ht="16.5" thickBot="1" x14ac:dyDescent="0.3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4" ht="16.5" thickBot="1" x14ac:dyDescent="0.3">
      <c r="B8" s="362" t="s">
        <v>748</v>
      </c>
      <c r="C8" s="363"/>
      <c r="D8" s="363"/>
      <c r="E8" s="363"/>
      <c r="F8" s="363"/>
      <c r="G8" s="363"/>
      <c r="H8" s="363"/>
      <c r="I8" s="363"/>
      <c r="J8" s="363"/>
      <c r="K8" s="363"/>
      <c r="L8" s="363"/>
      <c r="M8" s="363"/>
      <c r="N8" s="363"/>
      <c r="O8" s="363"/>
      <c r="P8" s="363"/>
      <c r="Q8" s="363"/>
      <c r="R8" s="363"/>
      <c r="S8" s="363"/>
      <c r="T8" s="364"/>
      <c r="U8" s="2"/>
      <c r="V8" s="2"/>
      <c r="W8" s="2"/>
    </row>
    <row r="9" spans="2:24" s="34" customFormat="1" ht="15.6" customHeight="1" x14ac:dyDescent="0.25">
      <c r="B9" s="360" t="s">
        <v>157</v>
      </c>
      <c r="C9" s="330"/>
      <c r="D9" s="330"/>
      <c r="E9" s="330" t="s">
        <v>169</v>
      </c>
      <c r="F9" s="330"/>
      <c r="G9" s="330" t="s">
        <v>52</v>
      </c>
      <c r="H9" s="330"/>
      <c r="I9" s="330"/>
      <c r="J9" s="330" t="s">
        <v>413</v>
      </c>
      <c r="K9" s="330"/>
      <c r="L9" s="330"/>
      <c r="M9" s="330"/>
      <c r="N9" s="330" t="s">
        <v>598</v>
      </c>
      <c r="O9" s="330"/>
      <c r="P9" s="330"/>
      <c r="Q9" s="330"/>
      <c r="R9" s="330" t="s">
        <v>602</v>
      </c>
      <c r="S9" s="330"/>
      <c r="T9" s="331"/>
    </row>
    <row r="10" spans="2:24" s="34" customFormat="1" ht="15.6" customHeight="1" thickBot="1" x14ac:dyDescent="0.3">
      <c r="B10" s="361" t="s">
        <v>597</v>
      </c>
      <c r="C10" s="329"/>
      <c r="D10" s="329"/>
      <c r="E10" s="329" t="s">
        <v>577</v>
      </c>
      <c r="F10" s="329"/>
      <c r="G10" s="329" t="s">
        <v>33</v>
      </c>
      <c r="H10" s="329"/>
      <c r="I10" s="329"/>
      <c r="J10" s="329" t="s">
        <v>140</v>
      </c>
      <c r="K10" s="329"/>
      <c r="L10" s="329"/>
      <c r="M10" s="329"/>
      <c r="N10" s="329" t="s">
        <v>34</v>
      </c>
      <c r="O10" s="329"/>
      <c r="P10" s="329"/>
      <c r="Q10" s="329"/>
      <c r="R10" s="329" t="s">
        <v>141</v>
      </c>
      <c r="S10" s="329"/>
      <c r="T10" s="332"/>
    </row>
    <row r="11" spans="2:24" ht="16.5" thickBot="1" x14ac:dyDescent="0.3">
      <c r="B11" s="352" t="s">
        <v>605</v>
      </c>
      <c r="C11" s="353"/>
      <c r="D11" s="353"/>
      <c r="E11" s="354"/>
      <c r="F11" s="1"/>
      <c r="G11" s="349" t="s">
        <v>132</v>
      </c>
      <c r="H11" s="350"/>
      <c r="I11" s="350"/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1"/>
    </row>
    <row r="12" spans="2:24" ht="21.6" customHeight="1" thickBot="1" x14ac:dyDescent="0.3">
      <c r="B12" s="355"/>
      <c r="C12" s="356"/>
      <c r="D12" s="356"/>
      <c r="E12" s="357"/>
      <c r="F12" s="1"/>
      <c r="G12" s="71" t="s">
        <v>162</v>
      </c>
      <c r="H12" s="358" t="s">
        <v>50</v>
      </c>
      <c r="I12" s="359"/>
      <c r="J12" s="72" t="s">
        <v>163</v>
      </c>
      <c r="K12" s="65"/>
      <c r="L12" s="71" t="s">
        <v>164</v>
      </c>
      <c r="M12" s="358" t="s">
        <v>49</v>
      </c>
      <c r="N12" s="359"/>
      <c r="O12" s="72" t="s">
        <v>166</v>
      </c>
      <c r="P12" s="65"/>
      <c r="Q12" s="72" t="s">
        <v>165</v>
      </c>
      <c r="R12" s="358" t="s">
        <v>51</v>
      </c>
      <c r="S12" s="359"/>
      <c r="T12" s="72" t="s">
        <v>167</v>
      </c>
      <c r="W12" s="36"/>
      <c r="X12" s="1"/>
    </row>
    <row r="13" spans="2:24" ht="16.5" thickBot="1" x14ac:dyDescent="0.3">
      <c r="B13" s="338" t="s">
        <v>18</v>
      </c>
      <c r="C13" s="339"/>
      <c r="D13" s="339"/>
      <c r="E13" s="340"/>
      <c r="F13" s="73"/>
      <c r="G13" s="15" t="s">
        <v>19</v>
      </c>
      <c r="H13" s="16" t="s">
        <v>20</v>
      </c>
      <c r="I13" s="16" t="s">
        <v>21</v>
      </c>
      <c r="J13" s="17" t="s">
        <v>22</v>
      </c>
      <c r="K13" s="1"/>
      <c r="L13" s="15" t="s">
        <v>19</v>
      </c>
      <c r="M13" s="16" t="s">
        <v>20</v>
      </c>
      <c r="N13" s="16" t="s">
        <v>21</v>
      </c>
      <c r="O13" s="17" t="s">
        <v>22</v>
      </c>
      <c r="P13" s="1"/>
      <c r="Q13" s="41" t="s">
        <v>19</v>
      </c>
      <c r="R13" s="42" t="s">
        <v>20</v>
      </c>
      <c r="S13" s="42" t="s">
        <v>21</v>
      </c>
      <c r="T13" s="43" t="s">
        <v>22</v>
      </c>
      <c r="W13" s="37"/>
      <c r="X13" s="1"/>
    </row>
    <row r="14" spans="2:24" s="1" customFormat="1" ht="19.899999999999999" customHeight="1" x14ac:dyDescent="0.25">
      <c r="B14" s="9">
        <v>1</v>
      </c>
      <c r="C14" s="336" t="s">
        <v>386</v>
      </c>
      <c r="D14" s="336"/>
      <c r="E14" s="337"/>
      <c r="G14" s="18" t="s">
        <v>23</v>
      </c>
      <c r="H14" s="19"/>
      <c r="I14" s="19" t="s">
        <v>668</v>
      </c>
      <c r="J14" s="20" t="s">
        <v>27</v>
      </c>
      <c r="L14" s="18" t="s">
        <v>23</v>
      </c>
      <c r="M14" s="19"/>
      <c r="N14" s="19" t="s">
        <v>669</v>
      </c>
      <c r="O14" s="20" t="s">
        <v>27</v>
      </c>
      <c r="Q14" s="44" t="s">
        <v>23</v>
      </c>
      <c r="R14" s="45"/>
      <c r="S14" s="45" t="s">
        <v>670</v>
      </c>
      <c r="T14" s="46" t="s">
        <v>27</v>
      </c>
      <c r="W14" s="36"/>
    </row>
    <row r="15" spans="2:24" s="1" customFormat="1" ht="19.899999999999999" customHeight="1" x14ac:dyDescent="0.25">
      <c r="B15" s="3">
        <v>2</v>
      </c>
      <c r="C15" s="343" t="s">
        <v>608</v>
      </c>
      <c r="D15" s="343"/>
      <c r="E15" s="344"/>
      <c r="G15" s="68" t="s">
        <v>23</v>
      </c>
      <c r="H15" s="69"/>
      <c r="I15" s="69" t="s">
        <v>25</v>
      </c>
      <c r="J15" s="70"/>
      <c r="L15" s="68" t="s">
        <v>23</v>
      </c>
      <c r="M15" s="69"/>
      <c r="N15" s="69" t="s">
        <v>25</v>
      </c>
      <c r="O15" s="70"/>
      <c r="Q15" s="68" t="s">
        <v>23</v>
      </c>
      <c r="R15" s="69"/>
      <c r="S15" s="69" t="s">
        <v>25</v>
      </c>
      <c r="T15" s="70"/>
      <c r="W15" s="36"/>
    </row>
    <row r="16" spans="2:24" s="1" customFormat="1" ht="19.899999999999999" customHeight="1" thickBot="1" x14ac:dyDescent="0.3">
      <c r="B16" s="4">
        <v>3</v>
      </c>
      <c r="C16" s="341" t="s">
        <v>618</v>
      </c>
      <c r="D16" s="341"/>
      <c r="E16" s="342"/>
      <c r="G16" s="24" t="s">
        <v>23</v>
      </c>
      <c r="H16" s="25"/>
      <c r="I16" s="25" t="s">
        <v>25</v>
      </c>
      <c r="J16" s="26"/>
      <c r="L16" s="24" t="s">
        <v>23</v>
      </c>
      <c r="M16" s="25"/>
      <c r="N16" s="25" t="s">
        <v>25</v>
      </c>
      <c r="O16" s="26"/>
      <c r="Q16" s="47" t="s">
        <v>23</v>
      </c>
      <c r="R16" s="48"/>
      <c r="S16" s="48" t="s">
        <v>25</v>
      </c>
      <c r="T16" s="49"/>
    </row>
    <row r="17" spans="2:24" s="2" customFormat="1" ht="4.9000000000000004" customHeight="1" thickBot="1" x14ac:dyDescent="0.3">
      <c r="B17" s="74"/>
      <c r="Q17" s="50"/>
      <c r="R17" s="50"/>
      <c r="S17" s="50"/>
      <c r="T17" s="75"/>
      <c r="X17" s="1"/>
    </row>
    <row r="18" spans="2:24" s="1" customFormat="1" ht="16.5" thickBot="1" x14ac:dyDescent="0.3">
      <c r="B18" s="338" t="s">
        <v>379</v>
      </c>
      <c r="C18" s="339"/>
      <c r="D18" s="339"/>
      <c r="E18" s="340"/>
      <c r="G18" s="82" t="s">
        <v>22</v>
      </c>
      <c r="H18" s="83" t="s">
        <v>20</v>
      </c>
      <c r="I18" s="83" t="s">
        <v>21</v>
      </c>
      <c r="J18" s="84" t="s">
        <v>22</v>
      </c>
      <c r="K18" s="73"/>
      <c r="L18" s="82" t="str">
        <f>G18</f>
        <v>WEIGHT</v>
      </c>
      <c r="M18" s="83" t="s">
        <v>20</v>
      </c>
      <c r="N18" s="83" t="s">
        <v>21</v>
      </c>
      <c r="O18" s="84" t="s">
        <v>22</v>
      </c>
      <c r="P18" s="73"/>
      <c r="Q18" s="85" t="str">
        <f>L18</f>
        <v>WEIGHT</v>
      </c>
      <c r="R18" s="86" t="s">
        <v>20</v>
      </c>
      <c r="S18" s="86" t="s">
        <v>21</v>
      </c>
      <c r="T18" s="87" t="s">
        <v>22</v>
      </c>
    </row>
    <row r="19" spans="2:24" s="1" customFormat="1" ht="19.899999999999999" customHeight="1" x14ac:dyDescent="0.25">
      <c r="B19" s="9">
        <v>1</v>
      </c>
      <c r="C19" s="336" t="s">
        <v>320</v>
      </c>
      <c r="D19" s="336"/>
      <c r="E19" s="337"/>
      <c r="G19" s="21"/>
      <c r="H19" s="22" t="s">
        <v>24</v>
      </c>
      <c r="I19" s="22" t="s">
        <v>17</v>
      </c>
      <c r="J19" s="23"/>
      <c r="L19" s="21"/>
      <c r="M19" s="22" t="s">
        <v>24</v>
      </c>
      <c r="N19" s="22" t="str">
        <f t="shared" ref="N19:N27" si="0">I19</f>
        <v>1x20</v>
      </c>
      <c r="O19" s="23"/>
      <c r="Q19" s="51"/>
      <c r="R19" s="53" t="s">
        <v>24</v>
      </c>
      <c r="S19" s="53" t="str">
        <f>N19</f>
        <v>1x20</v>
      </c>
      <c r="T19" s="54"/>
    </row>
    <row r="20" spans="2:24" s="1" customFormat="1" ht="19.899999999999999" customHeight="1" x14ac:dyDescent="0.25">
      <c r="B20" s="3">
        <v>2</v>
      </c>
      <c r="C20" s="343" t="s">
        <v>560</v>
      </c>
      <c r="D20" s="343"/>
      <c r="E20" s="344"/>
      <c r="G20" s="27"/>
      <c r="H20" s="28" t="s">
        <v>24</v>
      </c>
      <c r="I20" s="28" t="s">
        <v>657</v>
      </c>
      <c r="J20" s="29"/>
      <c r="L20" s="27"/>
      <c r="M20" s="28" t="s">
        <v>24</v>
      </c>
      <c r="N20" s="28" t="str">
        <f t="shared" si="0"/>
        <v>1x10/ea</v>
      </c>
      <c r="O20" s="29"/>
      <c r="Q20" s="55"/>
      <c r="R20" s="57" t="s">
        <v>24</v>
      </c>
      <c r="S20" s="57" t="str">
        <f>N20</f>
        <v>1x10/ea</v>
      </c>
      <c r="T20" s="58"/>
    </row>
    <row r="21" spans="2:24" s="1" customFormat="1" ht="19.899999999999999" customHeight="1" thickBot="1" x14ac:dyDescent="0.3">
      <c r="B21" s="4">
        <v>3</v>
      </c>
      <c r="C21" s="341" t="s">
        <v>38</v>
      </c>
      <c r="D21" s="341"/>
      <c r="E21" s="342"/>
      <c r="G21" s="24"/>
      <c r="H21" s="25" t="s">
        <v>24</v>
      </c>
      <c r="I21" s="25" t="s">
        <v>296</v>
      </c>
      <c r="J21" s="26"/>
      <c r="L21" s="24"/>
      <c r="M21" s="25" t="s">
        <v>24</v>
      </c>
      <c r="N21" s="25" t="str">
        <f t="shared" si="0"/>
        <v>3x10s</v>
      </c>
      <c r="O21" s="26"/>
      <c r="Q21" s="47"/>
      <c r="R21" s="48" t="s">
        <v>24</v>
      </c>
      <c r="S21" s="48" t="str">
        <f>N21</f>
        <v>3x10s</v>
      </c>
      <c r="T21" s="49"/>
    </row>
    <row r="22" spans="2:24" s="1" customFormat="1" ht="19.899999999999999" customHeight="1" x14ac:dyDescent="0.25">
      <c r="B22" s="9">
        <v>4</v>
      </c>
      <c r="C22" s="336" t="s">
        <v>416</v>
      </c>
      <c r="D22" s="336"/>
      <c r="E22" s="337"/>
      <c r="G22" s="21"/>
      <c r="H22" s="22" t="s">
        <v>24</v>
      </c>
      <c r="I22" s="22" t="s">
        <v>17</v>
      </c>
      <c r="J22" s="23"/>
      <c r="L22" s="21"/>
      <c r="M22" s="22" t="s">
        <v>24</v>
      </c>
      <c r="N22" s="22" t="str">
        <f t="shared" si="0"/>
        <v>1x20</v>
      </c>
      <c r="O22" s="23"/>
      <c r="Q22" s="51"/>
      <c r="R22" s="53" t="s">
        <v>24</v>
      </c>
      <c r="S22" s="53" t="s">
        <v>17</v>
      </c>
      <c r="T22" s="54"/>
    </row>
    <row r="23" spans="2:24" s="1" customFormat="1" ht="19.899999999999999" customHeight="1" x14ac:dyDescent="0.25">
      <c r="B23" s="3">
        <v>5</v>
      </c>
      <c r="C23" s="343" t="s">
        <v>604</v>
      </c>
      <c r="D23" s="343"/>
      <c r="E23" s="344"/>
      <c r="G23" s="27"/>
      <c r="H23" s="28" t="s">
        <v>24</v>
      </c>
      <c r="I23" s="28" t="s">
        <v>624</v>
      </c>
      <c r="J23" s="29"/>
      <c r="L23" s="27"/>
      <c r="M23" s="28" t="s">
        <v>24</v>
      </c>
      <c r="N23" s="28" t="str">
        <f t="shared" si="0"/>
        <v>1x20/ea</v>
      </c>
      <c r="O23" s="29"/>
      <c r="Q23" s="55"/>
      <c r="R23" s="57" t="s">
        <v>24</v>
      </c>
      <c r="S23" s="28" t="str">
        <f>I23</f>
        <v>1x20/ea</v>
      </c>
      <c r="T23" s="58"/>
    </row>
    <row r="24" spans="2:24" s="1" customFormat="1" ht="19.899999999999999" customHeight="1" thickBot="1" x14ac:dyDescent="0.3">
      <c r="B24" s="4">
        <v>6</v>
      </c>
      <c r="C24" s="341" t="s">
        <v>91</v>
      </c>
      <c r="D24" s="341"/>
      <c r="E24" s="342"/>
      <c r="G24" s="24"/>
      <c r="H24" s="25" t="s">
        <v>24</v>
      </c>
      <c r="I24" s="25" t="s">
        <v>296</v>
      </c>
      <c r="J24" s="26"/>
      <c r="L24" s="24"/>
      <c r="M24" s="25" t="s">
        <v>24</v>
      </c>
      <c r="N24" s="25" t="str">
        <f t="shared" si="0"/>
        <v>3x10s</v>
      </c>
      <c r="O24" s="26"/>
      <c r="Q24" s="47"/>
      <c r="R24" s="48" t="s">
        <v>24</v>
      </c>
      <c r="S24" s="48" t="str">
        <f>N24</f>
        <v>3x10s</v>
      </c>
      <c r="T24" s="49"/>
    </row>
    <row r="25" spans="2:24" s="1" customFormat="1" ht="19.899999999999999" customHeight="1" x14ac:dyDescent="0.25">
      <c r="B25" s="9">
        <v>7</v>
      </c>
      <c r="C25" s="336" t="s">
        <v>498</v>
      </c>
      <c r="D25" s="336"/>
      <c r="E25" s="337"/>
      <c r="G25" s="21"/>
      <c r="H25" s="22" t="s">
        <v>24</v>
      </c>
      <c r="I25" s="22" t="s">
        <v>624</v>
      </c>
      <c r="J25" s="23"/>
      <c r="L25" s="21"/>
      <c r="M25" s="22" t="s">
        <v>24</v>
      </c>
      <c r="N25" s="22" t="str">
        <f t="shared" si="0"/>
        <v>1x20/ea</v>
      </c>
      <c r="O25" s="23"/>
      <c r="Q25" s="51"/>
      <c r="R25" s="53" t="s">
        <v>24</v>
      </c>
      <c r="S25" s="53" t="str">
        <f>N25</f>
        <v>1x20/ea</v>
      </c>
      <c r="T25" s="54"/>
    </row>
    <row r="26" spans="2:24" s="1" customFormat="1" ht="19.899999999999999" customHeight="1" x14ac:dyDescent="0.25">
      <c r="B26" s="3">
        <v>8</v>
      </c>
      <c r="C26" s="343" t="s">
        <v>444</v>
      </c>
      <c r="D26" s="343"/>
      <c r="E26" s="344"/>
      <c r="G26" s="27"/>
      <c r="H26" s="28" t="s">
        <v>24</v>
      </c>
      <c r="I26" s="28" t="s">
        <v>135</v>
      </c>
      <c r="J26" s="29"/>
      <c r="L26" s="27"/>
      <c r="M26" s="28" t="s">
        <v>24</v>
      </c>
      <c r="N26" s="28" t="str">
        <f t="shared" si="0"/>
        <v>1x30s/ea</v>
      </c>
      <c r="O26" s="29"/>
      <c r="Q26" s="55"/>
      <c r="R26" s="57" t="s">
        <v>24</v>
      </c>
      <c r="S26" s="57" t="str">
        <f>N26</f>
        <v>1x30s/ea</v>
      </c>
      <c r="T26" s="58"/>
    </row>
    <row r="27" spans="2:24" s="1" customFormat="1" ht="19.899999999999999" customHeight="1" thickBot="1" x14ac:dyDescent="0.3">
      <c r="B27" s="4">
        <v>9</v>
      </c>
      <c r="C27" s="341" t="s">
        <v>105</v>
      </c>
      <c r="D27" s="341"/>
      <c r="E27" s="342"/>
      <c r="G27" s="24"/>
      <c r="H27" s="25" t="s">
        <v>24</v>
      </c>
      <c r="I27" s="25" t="s">
        <v>666</v>
      </c>
      <c r="J27" s="26"/>
      <c r="L27" s="24"/>
      <c r="M27" s="25" t="s">
        <v>24</v>
      </c>
      <c r="N27" s="25" t="str">
        <f t="shared" si="0"/>
        <v>3x10/ea</v>
      </c>
      <c r="O27" s="26"/>
      <c r="Q27" s="47"/>
      <c r="R27" s="48" t="s">
        <v>24</v>
      </c>
      <c r="S27" s="25" t="str">
        <f>N27</f>
        <v>3x10/ea</v>
      </c>
      <c r="T27" s="49"/>
    </row>
    <row r="28" spans="2:24" s="1" customFormat="1" ht="19.899999999999999" customHeight="1" x14ac:dyDescent="0.25">
      <c r="B28" s="9">
        <v>10</v>
      </c>
      <c r="C28" s="336" t="s">
        <v>505</v>
      </c>
      <c r="D28" s="336"/>
      <c r="E28" s="337"/>
      <c r="G28" s="21"/>
      <c r="H28" s="22" t="s">
        <v>24</v>
      </c>
      <c r="I28" s="22" t="s">
        <v>624</v>
      </c>
      <c r="J28" s="23"/>
      <c r="L28" s="21"/>
      <c r="M28" s="22" t="s">
        <v>24</v>
      </c>
      <c r="N28" s="22" t="str">
        <f>I28</f>
        <v>1x20/ea</v>
      </c>
      <c r="O28" s="23"/>
      <c r="Q28" s="21"/>
      <c r="R28" s="22" t="s">
        <v>24</v>
      </c>
      <c r="S28" s="22" t="str">
        <f>I28</f>
        <v>1x20/ea</v>
      </c>
      <c r="T28" s="23"/>
    </row>
    <row r="29" spans="2:24" s="1" customFormat="1" ht="19.899999999999999" customHeight="1" x14ac:dyDescent="0.25">
      <c r="B29" s="3">
        <v>11</v>
      </c>
      <c r="C29" s="343" t="s">
        <v>429</v>
      </c>
      <c r="D29" s="343"/>
      <c r="E29" s="344"/>
      <c r="G29" s="27"/>
      <c r="H29" s="28" t="s">
        <v>24</v>
      </c>
      <c r="I29" s="28" t="s">
        <v>17</v>
      </c>
      <c r="J29" s="29"/>
      <c r="L29" s="27"/>
      <c r="M29" s="28" t="s">
        <v>24</v>
      </c>
      <c r="N29" s="28" t="str">
        <f>I29</f>
        <v>1x20</v>
      </c>
      <c r="O29" s="29"/>
      <c r="Q29" s="27"/>
      <c r="R29" s="28" t="s">
        <v>24</v>
      </c>
      <c r="S29" s="28" t="str">
        <f>N29</f>
        <v>1x20</v>
      </c>
      <c r="T29" s="29"/>
    </row>
    <row r="30" spans="2:24" s="1" customFormat="1" ht="19.899999999999999" customHeight="1" thickBot="1" x14ac:dyDescent="0.3">
      <c r="B30" s="3">
        <v>12</v>
      </c>
      <c r="C30" s="343" t="s">
        <v>441</v>
      </c>
      <c r="D30" s="343"/>
      <c r="E30" s="344"/>
      <c r="G30" s="24"/>
      <c r="H30" s="25" t="s">
        <v>24</v>
      </c>
      <c r="I30" s="25" t="s">
        <v>624</v>
      </c>
      <c r="J30" s="26"/>
      <c r="L30" s="24"/>
      <c r="M30" s="25" t="s">
        <v>24</v>
      </c>
      <c r="N30" s="25" t="str">
        <f>I30</f>
        <v>1x20/ea</v>
      </c>
      <c r="O30" s="26"/>
      <c r="Q30" s="47"/>
      <c r="R30" s="48" t="s">
        <v>24</v>
      </c>
      <c r="S30" s="48" t="str">
        <f>N30</f>
        <v>1x20/ea</v>
      </c>
      <c r="T30" s="49"/>
    </row>
    <row r="31" spans="2:24" s="1" customFormat="1" ht="19.899999999999999" customHeight="1" x14ac:dyDescent="0.25">
      <c r="B31" s="9">
        <v>13</v>
      </c>
      <c r="C31" s="336" t="s">
        <v>199</v>
      </c>
      <c r="D31" s="336"/>
      <c r="E31" s="337"/>
      <c r="G31" s="103"/>
      <c r="H31" s="22" t="s">
        <v>24</v>
      </c>
      <c r="I31" s="22" t="s">
        <v>624</v>
      </c>
      <c r="J31" s="23"/>
      <c r="L31" s="21"/>
      <c r="M31" s="22" t="s">
        <v>24</v>
      </c>
      <c r="N31" s="22" t="s">
        <v>595</v>
      </c>
      <c r="O31" s="23"/>
      <c r="Q31" s="21"/>
      <c r="R31" s="22" t="s">
        <v>24</v>
      </c>
      <c r="S31" s="22" t="s">
        <v>596</v>
      </c>
      <c r="T31" s="23"/>
    </row>
    <row r="32" spans="2:24" s="1" customFormat="1" ht="19.899999999999999" customHeight="1" x14ac:dyDescent="0.25">
      <c r="B32" s="3">
        <v>14</v>
      </c>
      <c r="C32" s="343" t="s">
        <v>116</v>
      </c>
      <c r="D32" s="343"/>
      <c r="E32" s="344"/>
      <c r="G32" s="100"/>
      <c r="H32" s="28" t="s">
        <v>24</v>
      </c>
      <c r="I32" s="28" t="s">
        <v>624</v>
      </c>
      <c r="J32" s="29"/>
      <c r="L32" s="27"/>
      <c r="M32" s="28" t="s">
        <v>24</v>
      </c>
      <c r="N32" s="28" t="str">
        <f>I32</f>
        <v>1x20/ea</v>
      </c>
      <c r="O32" s="29"/>
      <c r="Q32" s="27"/>
      <c r="R32" s="28" t="s">
        <v>24</v>
      </c>
      <c r="S32" s="28" t="str">
        <f>N32</f>
        <v>1x20/ea</v>
      </c>
      <c r="T32" s="29"/>
    </row>
    <row r="33" spans="2:22" s="1" customFormat="1" ht="19.899999999999999" customHeight="1" x14ac:dyDescent="0.25">
      <c r="B33" s="3">
        <v>15</v>
      </c>
      <c r="C33" s="343" t="s">
        <v>46</v>
      </c>
      <c r="D33" s="343"/>
      <c r="E33" s="344"/>
      <c r="G33" s="100"/>
      <c r="H33" s="28" t="s">
        <v>24</v>
      </c>
      <c r="I33" s="28" t="s">
        <v>624</v>
      </c>
      <c r="J33" s="29"/>
      <c r="L33" s="27"/>
      <c r="M33" s="28" t="s">
        <v>24</v>
      </c>
      <c r="N33" s="28" t="str">
        <f>I33</f>
        <v>1x20/ea</v>
      </c>
      <c r="O33" s="29"/>
      <c r="Q33" s="27"/>
      <c r="R33" s="28" t="s">
        <v>24</v>
      </c>
      <c r="S33" s="28" t="str">
        <f>N33</f>
        <v>1x20/ea</v>
      </c>
      <c r="T33" s="29"/>
    </row>
    <row r="34" spans="2:22" s="1" customFormat="1" ht="19.899999999999999" customHeight="1" thickBot="1" x14ac:dyDescent="0.3">
      <c r="B34" s="4">
        <v>16</v>
      </c>
      <c r="C34" s="341" t="s">
        <v>469</v>
      </c>
      <c r="D34" s="341"/>
      <c r="E34" s="342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>I34</f>
        <v>1x20/ea</v>
      </c>
      <c r="O34" s="26"/>
      <c r="Q34" s="24"/>
      <c r="R34" s="25" t="s">
        <v>24</v>
      </c>
      <c r="S34" s="25" t="str">
        <f>N34</f>
        <v>1x20/ea</v>
      </c>
      <c r="T34" s="26"/>
    </row>
    <row r="35" spans="2:22" s="2" customFormat="1" ht="16.149999999999999" customHeight="1" thickBot="1" x14ac:dyDescent="0.3">
      <c r="B35" s="349" t="s">
        <v>383</v>
      </c>
      <c r="C35" s="350"/>
      <c r="D35" s="350"/>
      <c r="E35" s="351"/>
      <c r="F35" s="81"/>
      <c r="G35" s="333"/>
      <c r="H35" s="334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5"/>
    </row>
    <row r="36" spans="2:22" s="1" customFormat="1" ht="19.899999999999999" customHeight="1" x14ac:dyDescent="0.25">
      <c r="B36" s="9">
        <v>17</v>
      </c>
      <c r="C36" s="336" t="s">
        <v>205</v>
      </c>
      <c r="D36" s="336"/>
      <c r="E36" s="337"/>
      <c r="G36" s="21"/>
      <c r="H36" s="30" t="s">
        <v>24</v>
      </c>
      <c r="I36" s="22" t="s">
        <v>315</v>
      </c>
      <c r="J36" s="23"/>
      <c r="L36" s="21"/>
      <c r="M36" s="30" t="s">
        <v>24</v>
      </c>
      <c r="N36" s="22" t="str">
        <f>I36</f>
        <v>1x45s/ea</v>
      </c>
      <c r="O36" s="23"/>
      <c r="Q36" s="51"/>
      <c r="R36" s="52" t="s">
        <v>24</v>
      </c>
      <c r="S36" s="53" t="str">
        <f>I36</f>
        <v>1x45s/ea</v>
      </c>
      <c r="T36" s="54"/>
    </row>
    <row r="37" spans="2:22" s="1" customFormat="1" ht="19.899999999999999" customHeight="1" x14ac:dyDescent="0.25">
      <c r="B37" s="3">
        <v>18</v>
      </c>
      <c r="C37" s="345" t="s">
        <v>638</v>
      </c>
      <c r="D37" s="345"/>
      <c r="E37" s="346"/>
      <c r="G37" s="27"/>
      <c r="H37" s="31" t="s">
        <v>24</v>
      </c>
      <c r="I37" s="28" t="s">
        <v>315</v>
      </c>
      <c r="J37" s="29"/>
      <c r="L37" s="27"/>
      <c r="M37" s="31" t="s">
        <v>24</v>
      </c>
      <c r="N37" s="28" t="str">
        <f>I37</f>
        <v>1x45s/ea</v>
      </c>
      <c r="O37" s="29"/>
      <c r="Q37" s="55"/>
      <c r="R37" s="56" t="s">
        <v>24</v>
      </c>
      <c r="S37" s="57" t="str">
        <f>I37</f>
        <v>1x45s/ea</v>
      </c>
      <c r="T37" s="58"/>
    </row>
    <row r="38" spans="2:22" s="1" customFormat="1" ht="19.899999999999999" customHeight="1" thickBot="1" x14ac:dyDescent="0.3">
      <c r="B38" s="4">
        <v>19</v>
      </c>
      <c r="C38" s="347" t="s">
        <v>47</v>
      </c>
      <c r="D38" s="347"/>
      <c r="E38" s="348"/>
      <c r="F38" s="67"/>
      <c r="G38" s="24"/>
      <c r="H38" s="32" t="s">
        <v>24</v>
      </c>
      <c r="I38" s="25" t="s">
        <v>315</v>
      </c>
      <c r="J38" s="26"/>
      <c r="K38" s="67"/>
      <c r="L38" s="24"/>
      <c r="M38" s="32" t="s">
        <v>24</v>
      </c>
      <c r="N38" s="25" t="str">
        <f>I38</f>
        <v>1x45s/ea</v>
      </c>
      <c r="O38" s="26"/>
      <c r="P38" s="67"/>
      <c r="Q38" s="47"/>
      <c r="R38" s="59" t="s">
        <v>24</v>
      </c>
      <c r="S38" s="48" t="str">
        <f>N38</f>
        <v>1x45s/ea</v>
      </c>
      <c r="T38" s="49"/>
    </row>
    <row r="39" spans="2:22" s="2" customFormat="1" ht="4.9000000000000004" customHeight="1" x14ac:dyDescent="0.25">
      <c r="Q39" s="50"/>
      <c r="R39" s="50"/>
      <c r="S39" s="50"/>
      <c r="T39" s="50"/>
    </row>
    <row r="40" spans="2:22" x14ac:dyDescent="0.25">
      <c r="V40" s="1" t="s">
        <v>314</v>
      </c>
    </row>
    <row r="41" spans="2:22" x14ac:dyDescent="0.25">
      <c r="V41" s="1" t="s">
        <v>338</v>
      </c>
    </row>
    <row r="42" spans="2:22" x14ac:dyDescent="0.25">
      <c r="V42" s="1" t="s">
        <v>48</v>
      </c>
    </row>
    <row r="43" spans="2:22" x14ac:dyDescent="0.25">
      <c r="V43" s="1" t="s">
        <v>135</v>
      </c>
    </row>
    <row r="44" spans="2:22" x14ac:dyDescent="0.25">
      <c r="V44" s="1" t="s">
        <v>315</v>
      </c>
    </row>
    <row r="45" spans="2:22" x14ac:dyDescent="0.25">
      <c r="V45" s="1" t="s">
        <v>316</v>
      </c>
    </row>
    <row r="46" spans="2:22" x14ac:dyDescent="0.25">
      <c r="V46" s="1" t="s">
        <v>317</v>
      </c>
    </row>
    <row r="47" spans="2:22" x14ac:dyDescent="0.25">
      <c r="V47" s="1" t="s">
        <v>364</v>
      </c>
    </row>
    <row r="48" spans="2:22" x14ac:dyDescent="0.25">
      <c r="V48" s="1" t="s">
        <v>26</v>
      </c>
    </row>
    <row r="49" spans="22:22" x14ac:dyDescent="0.25">
      <c r="V49" s="1" t="s">
        <v>232</v>
      </c>
    </row>
  </sheetData>
  <mergeCells count="45">
    <mergeCell ref="C14:E14"/>
    <mergeCell ref="C15:E15"/>
    <mergeCell ref="C16:E16"/>
    <mergeCell ref="B18:E18"/>
    <mergeCell ref="O2:T7"/>
    <mergeCell ref="B11:E12"/>
    <mergeCell ref="G11:T11"/>
    <mergeCell ref="H12:I12"/>
    <mergeCell ref="M12:N12"/>
    <mergeCell ref="R12:S12"/>
    <mergeCell ref="B8:T8"/>
    <mergeCell ref="E9:F9"/>
    <mergeCell ref="E10:F10"/>
    <mergeCell ref="G10:I10"/>
    <mergeCell ref="G9:I9"/>
    <mergeCell ref="J9:M9"/>
    <mergeCell ref="G35:T35"/>
    <mergeCell ref="C36:E36"/>
    <mergeCell ref="C26:E26"/>
    <mergeCell ref="C27:E27"/>
    <mergeCell ref="C28:E28"/>
    <mergeCell ref="C29:E29"/>
    <mergeCell ref="C30:E30"/>
    <mergeCell ref="C31:E31"/>
    <mergeCell ref="C37:E37"/>
    <mergeCell ref="C38:E38"/>
    <mergeCell ref="B10:D10"/>
    <mergeCell ref="B9:D9"/>
    <mergeCell ref="C32:E32"/>
    <mergeCell ref="C33:E33"/>
    <mergeCell ref="C34:E34"/>
    <mergeCell ref="B35:E35"/>
    <mergeCell ref="C20:E20"/>
    <mergeCell ref="C21:E21"/>
    <mergeCell ref="C22:E22"/>
    <mergeCell ref="C23:E23"/>
    <mergeCell ref="C24:E24"/>
    <mergeCell ref="C25:E25"/>
    <mergeCell ref="C19:E19"/>
    <mergeCell ref="B13:E13"/>
    <mergeCell ref="J10:M10"/>
    <mergeCell ref="N9:Q9"/>
    <mergeCell ref="N10:Q10"/>
    <mergeCell ref="R9:T9"/>
    <mergeCell ref="R10:T10"/>
  </mergeCells>
  <dataValidations count="9">
    <dataValidation type="list" allowBlank="1" showInputMessage="1" showErrorMessage="1" sqref="S38 N36:N38 I38" xr:uid="{00000000-0002-0000-0200-000000000000}">
      <formula1>$V$40:$V$45</formula1>
    </dataValidation>
    <dataValidation type="list" allowBlank="1" showInputMessage="1" showErrorMessage="1" sqref="H37:H38 R37:R38 M37:M38" xr:uid="{00000000-0002-0000-0200-000001000000}">
      <formula1>$W$12:$W$14</formula1>
    </dataValidation>
    <dataValidation type="list" allowBlank="1" showInputMessage="1" showErrorMessage="1" sqref="M36 R36 H36" xr:uid="{00000000-0002-0000-0200-000002000000}">
      <formula1>$W$12:$W$16</formula1>
    </dataValidation>
    <dataValidation type="list" allowBlank="1" showInputMessage="1" showErrorMessage="1" sqref="B11:E12" xr:uid="{00000000-0002-0000-0200-000003000000}">
      <formula1>$X$12:$X$16</formula1>
    </dataValidation>
    <dataValidation type="list" allowBlank="1" showInputMessage="1" showErrorMessage="1" sqref="M19:M34 H19:H34 R19:R34" xr:uid="{00000000-0002-0000-0200-000004000000}">
      <formula1>$W$18:$W$20</formula1>
    </dataValidation>
    <dataValidation type="list" allowBlank="1" showInputMessage="1" showErrorMessage="1" sqref="N27" xr:uid="{00000000-0002-0000-0200-000005000000}">
      <formula1>$V$36:$V$47</formula1>
    </dataValidation>
    <dataValidation type="list" allowBlank="1" showInputMessage="1" showErrorMessage="1" sqref="S27" xr:uid="{00000000-0002-0000-0200-000006000000}">
      <formula1>$V$36:$V$46</formula1>
    </dataValidation>
    <dataValidation type="list" allowBlank="1" showInputMessage="1" showErrorMessage="1" sqref="N23" xr:uid="{00000000-0002-0000-0200-000007000000}">
      <formula1>$V$36:$V$44</formula1>
    </dataValidation>
    <dataValidation type="list" allowBlank="1" showInputMessage="1" showErrorMessage="1" sqref="I36:I37" xr:uid="{00000000-0002-0000-0200-000008000000}">
      <formula1>$V$40:$V$51</formula1>
    </dataValidation>
  </dataValidations>
  <pageMargins left="0.25" right="0.25" top="0.75" bottom="0.75" header="0.3" footer="0.3"/>
  <pageSetup paperSize="9" scale="67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4">
        <x14:dataValidation type="list" allowBlank="1" showInputMessage="1" showErrorMessage="1" xr:uid="{00000000-0002-0000-0200-000009000000}">
          <x14:formula1>
            <xm:f>'Warm Up'!$M:$M</xm:f>
          </x14:formula1>
          <xm:sqref>R10</xm:sqref>
        </x14:dataValidation>
        <x14:dataValidation type="list" allowBlank="1" showInputMessage="1" showErrorMessage="1" xr:uid="{00000000-0002-0000-0200-00000A000000}">
          <x14:formula1>
            <xm:f>'Warm Up'!$K:$K</xm:f>
          </x14:formula1>
          <xm:sqref>J10</xm:sqref>
        </x14:dataValidation>
        <x14:dataValidation type="list" allowBlank="1" showInputMessage="1" showErrorMessage="1" xr:uid="{00000000-0002-0000-0200-00000B000000}">
          <x14:formula1>
            <xm:f>'Warm Up'!$J:$J</xm:f>
          </x14:formula1>
          <xm:sqref>G10</xm:sqref>
        </x14:dataValidation>
        <x14:dataValidation type="list" allowBlank="1" showInputMessage="1" showErrorMessage="1" xr:uid="{00000000-0002-0000-0200-00000C000000}">
          <x14:formula1>
            <xm:f>'Warm Up'!$I:$I</xm:f>
          </x14:formula1>
          <xm:sqref>E10</xm:sqref>
        </x14:dataValidation>
        <x14:dataValidation type="list" allowBlank="1" showInputMessage="1" showErrorMessage="1" xr:uid="{00000000-0002-0000-0200-00000D000000}">
          <x14:formula1>
            <xm:f>'Warm Up'!$H:$H</xm:f>
          </x14:formula1>
          <xm:sqref>B10</xm:sqref>
        </x14:dataValidation>
        <x14:dataValidation type="list" allowBlank="1" showInputMessage="1" showErrorMessage="1" xr:uid="{00000000-0002-0000-0200-00000E000000}">
          <x14:formula1>
            <xm:f>'Warm Up'!$G:$G</xm:f>
          </x14:formula1>
          <xm:sqref>R9</xm:sqref>
        </x14:dataValidation>
        <x14:dataValidation type="list" allowBlank="1" showInputMessage="1" showErrorMessage="1" xr:uid="{00000000-0002-0000-0200-00000F000000}">
          <x14:formula1>
            <xm:f>'Warm Up'!$F:$F</xm:f>
          </x14:formula1>
          <xm:sqref>N9</xm:sqref>
        </x14:dataValidation>
        <x14:dataValidation type="list" allowBlank="1" showInputMessage="1" showErrorMessage="1" xr:uid="{00000000-0002-0000-0200-000010000000}">
          <x14:formula1>
            <xm:f>'Warm Up'!$E:$E</xm:f>
          </x14:formula1>
          <xm:sqref>J9</xm:sqref>
        </x14:dataValidation>
        <x14:dataValidation type="list" allowBlank="1" showInputMessage="1" showErrorMessage="1" xr:uid="{00000000-0002-0000-0200-000011000000}">
          <x14:formula1>
            <xm:f>'Warm Up'!$D:$D</xm:f>
          </x14:formula1>
          <xm:sqref>G9</xm:sqref>
        </x14:dataValidation>
        <x14:dataValidation type="list" allowBlank="1" showInputMessage="1" showErrorMessage="1" xr:uid="{00000000-0002-0000-0200-000012000000}">
          <x14:formula1>
            <xm:f>'Warm Up'!$C:$C</xm:f>
          </x14:formula1>
          <xm:sqref>E9</xm:sqref>
        </x14:dataValidation>
        <x14:dataValidation type="list" allowBlank="1" showInputMessage="1" showErrorMessage="1" xr:uid="{00000000-0002-0000-0200-000013000000}">
          <x14:formula1>
            <xm:f>'Warm Up'!$B:$B</xm:f>
          </x14:formula1>
          <xm:sqref>B9</xm:sqref>
        </x14:dataValidation>
        <x14:dataValidation type="list" allowBlank="1" showInputMessage="1" showErrorMessage="1" xr:uid="{00000000-0002-0000-0200-000014000000}">
          <x14:formula1>
            <xm:f>'Warm Up'!$L:$L</xm:f>
          </x14:formula1>
          <xm:sqref>N10</xm:sqref>
        </x14:dataValidation>
        <x14:dataValidation type="list" allowBlank="1" showInputMessage="1" showErrorMessage="1" xr:uid="{00000000-0002-0000-0200-000015000000}">
          <x14:formula1>
            <xm:f>' Unterkörper Progressionen '!$C:$C</xm:f>
          </x14:formula1>
          <xm:sqref>C15:E15</xm:sqref>
        </x14:dataValidation>
        <x14:dataValidation type="list" allowBlank="1" showInputMessage="1" showErrorMessage="1" xr:uid="{00000000-0002-0000-0200-000016000000}">
          <x14:formula1>
            <xm:f>' Unterkörper Progressionen '!$F:$F</xm:f>
          </x14:formula1>
          <xm:sqref>C20:E20</xm:sqref>
        </x14:dataValidation>
        <x14:dataValidation type="list" allowBlank="1" showInputMessage="1" showErrorMessage="1" xr:uid="{00000000-0002-0000-0200-000017000000}">
          <x14:formula1>
            <xm:f>' Unterkörper Progressionen '!$Q:$Q</xm:f>
          </x14:formula1>
          <xm:sqref>C31:E31</xm:sqref>
        </x14:dataValidation>
        <x14:dataValidation type="list" allowBlank="1" showInputMessage="1" showErrorMessage="1" xr:uid="{00000000-0002-0000-0200-000018000000}">
          <x14:formula1>
            <xm:f>' Unterkörper Progressionen '!$P:$P</xm:f>
          </x14:formula1>
          <xm:sqref>C30:E30</xm:sqref>
        </x14:dataValidation>
        <x14:dataValidation type="list" allowBlank="1" showInputMessage="1" showErrorMessage="1" xr:uid="{00000000-0002-0000-0200-000019000000}">
          <x14:formula1>
            <xm:f>' Unterkörper Progressionen '!$O:$O</xm:f>
          </x14:formula1>
          <xm:sqref>C29:E29</xm:sqref>
        </x14:dataValidation>
        <x14:dataValidation type="list" allowBlank="1" showInputMessage="1" showErrorMessage="1" xr:uid="{00000000-0002-0000-0200-00001A000000}">
          <x14:formula1>
            <xm:f>' Unterkörper Progressionen '!$K:$K</xm:f>
          </x14:formula1>
          <xm:sqref>C25:E25</xm:sqref>
        </x14:dataValidation>
        <x14:dataValidation type="list" allowBlank="1" showInputMessage="1" showErrorMessage="1" xr:uid="{00000000-0002-0000-0200-00001B000000}">
          <x14:formula1>
            <xm:f>' Unterkörper Progressionen '!$L:$L</xm:f>
          </x14:formula1>
          <xm:sqref>C26:E26</xm:sqref>
        </x14:dataValidation>
        <x14:dataValidation type="list" allowBlank="1" showInputMessage="1" showErrorMessage="1" xr:uid="{00000000-0002-0000-0200-00001C000000}">
          <x14:formula1>
            <xm:f>' Unterkörper Progressionen '!$J:$J</xm:f>
          </x14:formula1>
          <xm:sqref>C24:E24</xm:sqref>
        </x14:dataValidation>
        <x14:dataValidation type="list" allowBlank="1" showInputMessage="1" showErrorMessage="1" xr:uid="{00000000-0002-0000-0200-00001D000000}">
          <x14:formula1>
            <xm:f>' Unterkörper Progressionen '!$H:$H</xm:f>
          </x14:formula1>
          <xm:sqref>C22:E22</xm:sqref>
        </x14:dataValidation>
        <x14:dataValidation type="list" allowBlank="1" showInputMessage="1" showErrorMessage="1" xr:uid="{00000000-0002-0000-0200-00001E000000}">
          <x14:formula1>
            <xm:f>' Unterkörper Progressionen '!$I:$I</xm:f>
          </x14:formula1>
          <xm:sqref>C23:E23</xm:sqref>
        </x14:dataValidation>
        <x14:dataValidation type="list" allowBlank="1" showInputMessage="1" showErrorMessage="1" xr:uid="{00000000-0002-0000-0200-00001F000000}">
          <x14:formula1>
            <xm:f>' Unterkörper Progressionen '!$V:$V</xm:f>
          </x14:formula1>
          <xm:sqref>C38:E38</xm:sqref>
        </x14:dataValidation>
        <x14:dataValidation type="list" allowBlank="1" showInputMessage="1" showErrorMessage="1" xr:uid="{00000000-0002-0000-0200-000020000000}">
          <x14:formula1>
            <xm:f>' Unterkörper Progressionen '!$W:$W</xm:f>
          </x14:formula1>
          <xm:sqref>C37:E37</xm:sqref>
        </x14:dataValidation>
        <x14:dataValidation type="list" allowBlank="1" showInputMessage="1" showErrorMessage="1" xr:uid="{00000000-0002-0000-0200-000021000000}">
          <x14:formula1>
            <xm:f>' Unterkörper Progressionen '!$U:$U</xm:f>
          </x14:formula1>
          <xm:sqref>C36:E36</xm:sqref>
        </x14:dataValidation>
        <x14:dataValidation type="list" allowBlank="1" showInputMessage="1" showErrorMessage="1" xr:uid="{00000000-0002-0000-0200-000022000000}">
          <x14:formula1>
            <xm:f>' Unterkörper Progressionen '!$T:$T</xm:f>
          </x14:formula1>
          <xm:sqref>C34:E34</xm:sqref>
        </x14:dataValidation>
        <x14:dataValidation type="list" allowBlank="1" showInputMessage="1" showErrorMessage="1" xr:uid="{00000000-0002-0000-0200-000023000000}">
          <x14:formula1>
            <xm:f>' Unterkörper Progressionen '!$D:$D</xm:f>
          </x14:formula1>
          <xm:sqref>C16:E16</xm:sqref>
        </x14:dataValidation>
        <x14:dataValidation type="list" allowBlank="1" showInputMessage="1" showErrorMessage="1" xr:uid="{00000000-0002-0000-0200-000024000000}">
          <x14:formula1>
            <xm:f>' Unterkörper Progressionen '!$E:$E</xm:f>
          </x14:formula1>
          <xm:sqref>C19:E19</xm:sqref>
        </x14:dataValidation>
        <x14:dataValidation type="list" allowBlank="1" showInputMessage="1" showErrorMessage="1" xr:uid="{00000000-0002-0000-0200-000025000000}">
          <x14:formula1>
            <xm:f>' Unterkörper Progressionen '!$S:$S</xm:f>
          </x14:formula1>
          <xm:sqref>C33:E33</xm:sqref>
        </x14:dataValidation>
        <x14:dataValidation type="list" allowBlank="1" showInputMessage="1" showErrorMessage="1" xr:uid="{00000000-0002-0000-0200-000026000000}">
          <x14:formula1>
            <xm:f>' Unterkörper Progressionen '!$R:$R</xm:f>
          </x14:formula1>
          <xm:sqref>C32:E32</xm:sqref>
        </x14:dataValidation>
        <x14:dataValidation type="list" allowBlank="1" showInputMessage="1" showErrorMessage="1" xr:uid="{00000000-0002-0000-0200-000027000000}">
          <x14:formula1>
            <xm:f>' Unterkörper Progressionen '!$N:$N</xm:f>
          </x14:formula1>
          <xm:sqref>C28:E28</xm:sqref>
        </x14:dataValidation>
        <x14:dataValidation type="list" allowBlank="1" showInputMessage="1" showErrorMessage="1" xr:uid="{00000000-0002-0000-0200-000028000000}">
          <x14:formula1>
            <xm:f>' Unterkörper Progressionen '!$M:$M</xm:f>
          </x14:formula1>
          <xm:sqref>C27:E27</xm:sqref>
        </x14:dataValidation>
        <x14:dataValidation type="list" allowBlank="1" showInputMessage="1" showErrorMessage="1" xr:uid="{00000000-0002-0000-0200-000029000000}">
          <x14:formula1>
            <xm:f>' Unterkörper Progressionen '!$G:$G</xm:f>
          </x14:formula1>
          <xm:sqref>C21:E21</xm:sqref>
        </x14:dataValidation>
        <x14:dataValidation type="list" allowBlank="1" showInputMessage="1" showErrorMessage="1" xr:uid="{00000000-0002-0000-0200-00002A000000}">
          <x14:formula1>
            <xm:f>' Unterkörper Progressionen '!$B:$B</xm:f>
          </x14:formula1>
          <xm:sqref>C14:E14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W48"/>
  <sheetViews>
    <sheetView zoomScale="54" zoomScaleNormal="70" workbookViewId="0">
      <selection activeCell="E42" sqref="E42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76" t="str">
        <f>UnterkörperA!C5</f>
        <v>NAME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76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76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x14ac:dyDescent="0.25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e">
        <f>UnterkörperA!#REF!</f>
        <v>#REF!</v>
      </c>
      <c r="T10" s="64"/>
    </row>
    <row r="11" spans="2:23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34" customFormat="1" ht="15.6" customHeight="1" x14ac:dyDescent="0.25">
      <c r="B12" s="374" t="s">
        <v>157</v>
      </c>
      <c r="C12" s="373"/>
      <c r="D12" s="373"/>
      <c r="E12" s="373" t="s">
        <v>169</v>
      </c>
      <c r="F12" s="373"/>
      <c r="G12" s="373"/>
      <c r="H12" s="373" t="s">
        <v>52</v>
      </c>
      <c r="I12" s="373"/>
      <c r="J12" s="373"/>
      <c r="K12" s="66"/>
      <c r="L12" s="373" t="str">
        <f>UnterkörperB!J9</f>
        <v>BW SQUAT TO TOUCH SIT ON BOX</v>
      </c>
      <c r="M12" s="373"/>
      <c r="N12" s="373"/>
      <c r="O12" s="373" t="str">
        <f>UnterkörperB!N9</f>
        <v>HINGE TO KB TOUCH</v>
      </c>
      <c r="P12" s="373"/>
      <c r="Q12" s="373"/>
      <c r="R12" s="373" t="str">
        <f>UnterkörperB!R9</f>
        <v>SUP 1-LEG ISO HINGE WITH HIP ROTATION</v>
      </c>
      <c r="S12" s="373"/>
      <c r="T12" s="377"/>
    </row>
    <row r="13" spans="2:23" s="34" customFormat="1" ht="15.6" customHeight="1" x14ac:dyDescent="0.25">
      <c r="B13" s="376" t="str">
        <f>UnterkörperB!B10</f>
        <v>ANKEL ROCKERS ROTATIONS</v>
      </c>
      <c r="C13" s="375"/>
      <c r="D13" s="375"/>
      <c r="E13" s="375" t="str">
        <f>UnterkörperB!E10</f>
        <v>2-LEG TOE STANCE CLOSE STAND</v>
      </c>
      <c r="F13" s="375"/>
      <c r="G13" s="375"/>
      <c r="H13" s="375" t="str">
        <f>UnterkörperB!G10</f>
        <v>ANKLE SKIPS</v>
      </c>
      <c r="I13" s="375"/>
      <c r="J13" s="375"/>
      <c r="L13" s="375" t="str">
        <f>UnterkörperB!J10</f>
        <v>A-SKIP</v>
      </c>
      <c r="M13" s="375"/>
      <c r="N13" s="375"/>
      <c r="O13" s="375" t="str">
        <f>UnterkörperB!N10</f>
        <v xml:space="preserve">1-LEG DROP &amp; CATCH </v>
      </c>
      <c r="P13" s="375"/>
      <c r="Q13" s="375"/>
      <c r="S13" s="34" t="str">
        <f>UnterkörperB!R10</f>
        <v>CMJ W/PASSIVE ELASTIC</v>
      </c>
      <c r="T13" s="35"/>
    </row>
    <row r="14" spans="2:23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3" ht="16.5" thickBot="1" x14ac:dyDescent="0.3">
      <c r="B15" s="352" t="str">
        <f>UnterkörperB!B11</f>
        <v>Level B</v>
      </c>
      <c r="C15" s="353"/>
      <c r="D15" s="353"/>
      <c r="E15" s="354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6.5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241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513</v>
      </c>
      <c r="D19" s="343"/>
      <c r="E19" s="344"/>
      <c r="G19" s="68" t="s">
        <v>23</v>
      </c>
      <c r="H19" s="69"/>
      <c r="I19" s="69" t="s">
        <v>25</v>
      </c>
      <c r="J19" s="70" t="s">
        <v>592</v>
      </c>
      <c r="L19" s="68" t="s">
        <v>23</v>
      </c>
      <c r="M19" s="69"/>
      <c r="N19" s="69" t="s">
        <v>25</v>
      </c>
      <c r="O19" s="70" t="s">
        <v>592</v>
      </c>
      <c r="Q19" s="77" t="s">
        <v>23</v>
      </c>
      <c r="R19" s="78"/>
      <c r="S19" s="78" t="s">
        <v>25</v>
      </c>
      <c r="T19" s="79" t="s">
        <v>592</v>
      </c>
    </row>
    <row r="20" spans="2:23" s="1" customFormat="1" ht="19.899999999999999" customHeight="1" thickBot="1" x14ac:dyDescent="0.3">
      <c r="B20" s="4">
        <v>3</v>
      </c>
      <c r="C20" s="341" t="s">
        <v>514</v>
      </c>
      <c r="D20" s="341"/>
      <c r="E20" s="342"/>
      <c r="G20" s="24" t="s">
        <v>23</v>
      </c>
      <c r="H20" s="25"/>
      <c r="I20" s="25" t="s">
        <v>25</v>
      </c>
      <c r="J20" s="26" t="s">
        <v>592</v>
      </c>
      <c r="L20" s="24" t="s">
        <v>23</v>
      </c>
      <c r="M20" s="25"/>
      <c r="N20" s="25" t="s">
        <v>25</v>
      </c>
      <c r="O20" s="26" t="s">
        <v>592</v>
      </c>
      <c r="Q20" s="47" t="s">
        <v>23</v>
      </c>
      <c r="R20" s="48"/>
      <c r="S20" s="48" t="s">
        <v>25</v>
      </c>
      <c r="T20" s="49" t="s">
        <v>592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6.5" thickBot="1" x14ac:dyDescent="0.3">
      <c r="B22" s="338" t="s">
        <v>381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515</v>
      </c>
      <c r="D23" s="336"/>
      <c r="E23" s="337"/>
      <c r="G23" s="21"/>
      <c r="H23" s="22" t="s">
        <v>24</v>
      </c>
      <c r="I23" s="22" t="s">
        <v>17</v>
      </c>
      <c r="J23" s="23"/>
      <c r="L23" s="21"/>
      <c r="M23" s="22" t="s">
        <v>24</v>
      </c>
      <c r="N23" s="22" t="str">
        <f t="shared" ref="N23:N31" si="0">I23</f>
        <v>1x20</v>
      </c>
      <c r="O23" s="23"/>
      <c r="Q23" s="51"/>
      <c r="R23" s="53" t="s">
        <v>24</v>
      </c>
      <c r="S23" s="53" t="str">
        <f>N23</f>
        <v>1x20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519</v>
      </c>
      <c r="D24" s="343"/>
      <c r="E24" s="344"/>
      <c r="G24" s="27"/>
      <c r="H24" s="28" t="s">
        <v>24</v>
      </c>
      <c r="I24" s="28" t="s">
        <v>17</v>
      </c>
      <c r="J24" s="29"/>
      <c r="L24" s="27"/>
      <c r="M24" s="28" t="s">
        <v>24</v>
      </c>
      <c r="N24" s="28" t="str">
        <f t="shared" si="0"/>
        <v>1x20</v>
      </c>
      <c r="O24" s="29"/>
      <c r="Q24" s="55"/>
      <c r="R24" s="57" t="s">
        <v>24</v>
      </c>
      <c r="S24" s="57" t="str">
        <f>N24</f>
        <v>1x20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38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3" s="1" customFormat="1" ht="19.899999999999999" customHeight="1" x14ac:dyDescent="0.25">
      <c r="B26" s="9">
        <v>4</v>
      </c>
      <c r="C26" s="336" t="s">
        <v>522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3" s="1" customFormat="1" ht="19.899999999999999" customHeight="1" x14ac:dyDescent="0.25">
      <c r="B27" s="3">
        <v>5</v>
      </c>
      <c r="C27" s="343" t="s">
        <v>530</v>
      </c>
      <c r="D27" s="343"/>
      <c r="E27" s="344"/>
      <c r="G27" s="27"/>
      <c r="H27" s="28" t="s">
        <v>24</v>
      </c>
      <c r="I27" s="28" t="s">
        <v>17</v>
      </c>
      <c r="J27" s="29"/>
      <c r="L27" s="27"/>
      <c r="M27" s="28" t="s">
        <v>24</v>
      </c>
      <c r="N27" s="28" t="str">
        <f t="shared" si="0"/>
        <v>1x20</v>
      </c>
      <c r="O27" s="29"/>
      <c r="Q27" s="55"/>
      <c r="R27" s="57" t="s">
        <v>24</v>
      </c>
      <c r="S27" s="28" t="s">
        <v>17</v>
      </c>
      <c r="T27" s="58"/>
    </row>
    <row r="28" spans="2:23" s="1" customFormat="1" ht="19.899999999999999" customHeight="1" thickBot="1" x14ac:dyDescent="0.3">
      <c r="B28" s="4">
        <v>6</v>
      </c>
      <c r="C28" s="341" t="s">
        <v>91</v>
      </c>
      <c r="D28" s="341"/>
      <c r="E28" s="342"/>
      <c r="G28" s="24"/>
      <c r="H28" s="25" t="s">
        <v>24</v>
      </c>
      <c r="I28" s="25" t="s">
        <v>296</v>
      </c>
      <c r="J28" s="26"/>
      <c r="L28" s="24"/>
      <c r="M28" s="25" t="s">
        <v>24</v>
      </c>
      <c r="N28" s="25" t="str">
        <f t="shared" si="0"/>
        <v>3x10s</v>
      </c>
      <c r="O28" s="26"/>
      <c r="Q28" s="47"/>
      <c r="R28" s="48" t="s">
        <v>24</v>
      </c>
      <c r="S28" s="48" t="str">
        <f>N28</f>
        <v>3x10s</v>
      </c>
      <c r="T28" s="49"/>
    </row>
    <row r="29" spans="2:23" s="1" customFormat="1" ht="19.899999999999999" customHeight="1" x14ac:dyDescent="0.25">
      <c r="B29" s="9">
        <v>7</v>
      </c>
      <c r="C29" s="336" t="s">
        <v>287</v>
      </c>
      <c r="D29" s="336"/>
      <c r="E29" s="337"/>
      <c r="G29" s="21"/>
      <c r="H29" s="22" t="s">
        <v>24</v>
      </c>
      <c r="I29" s="22" t="s">
        <v>17</v>
      </c>
      <c r="J29" s="23"/>
      <c r="L29" s="21"/>
      <c r="M29" s="22" t="s">
        <v>24</v>
      </c>
      <c r="N29" s="22" t="str">
        <f t="shared" si="0"/>
        <v>1x20</v>
      </c>
      <c r="O29" s="23"/>
      <c r="Q29" s="51"/>
      <c r="R29" s="53" t="s">
        <v>24</v>
      </c>
      <c r="S29" s="53" t="str">
        <f>N29</f>
        <v>1x20</v>
      </c>
      <c r="T29" s="54"/>
    </row>
    <row r="30" spans="2:23" s="1" customFormat="1" ht="19.899999999999999" customHeight="1" x14ac:dyDescent="0.25">
      <c r="B30" s="3">
        <v>8</v>
      </c>
      <c r="C30" s="343" t="s">
        <v>538</v>
      </c>
      <c r="D30" s="343"/>
      <c r="E30" s="344"/>
      <c r="G30" s="27"/>
      <c r="H30" s="28" t="s">
        <v>24</v>
      </c>
      <c r="I30" s="28" t="s">
        <v>17</v>
      </c>
      <c r="J30" s="29"/>
      <c r="L30" s="27"/>
      <c r="M30" s="28" t="s">
        <v>24</v>
      </c>
      <c r="N30" s="28" t="str">
        <f t="shared" si="0"/>
        <v>1x20</v>
      </c>
      <c r="O30" s="29"/>
      <c r="Q30" s="55"/>
      <c r="R30" s="57" t="s">
        <v>24</v>
      </c>
      <c r="S30" s="57" t="str">
        <f>N30</f>
        <v>1x20</v>
      </c>
      <c r="T30" s="58"/>
    </row>
    <row r="31" spans="2:23" s="1" customFormat="1" ht="19.899999999999999" customHeight="1" thickBot="1" x14ac:dyDescent="0.3">
      <c r="B31" s="4">
        <v>9</v>
      </c>
      <c r="C31" s="341" t="s">
        <v>226</v>
      </c>
      <c r="D31" s="341"/>
      <c r="E31" s="342"/>
      <c r="G31" s="24"/>
      <c r="H31" s="25" t="s">
        <v>24</v>
      </c>
      <c r="I31" s="25" t="s">
        <v>17</v>
      </c>
      <c r="J31" s="26"/>
      <c r="L31" s="24"/>
      <c r="M31" s="25" t="s">
        <v>24</v>
      </c>
      <c r="N31" s="25" t="str">
        <f t="shared" si="0"/>
        <v>1x20</v>
      </c>
      <c r="O31" s="26"/>
      <c r="Q31" s="47"/>
      <c r="R31" s="48" t="s">
        <v>24</v>
      </c>
      <c r="S31" s="25" t="str">
        <f>N31</f>
        <v>1x20</v>
      </c>
      <c r="T31" s="49"/>
    </row>
    <row r="32" spans="2:23" s="1" customFormat="1" ht="19.899999999999999" customHeight="1" x14ac:dyDescent="0.25">
      <c r="B32" s="9">
        <v>10</v>
      </c>
      <c r="C32" s="336" t="s">
        <v>169</v>
      </c>
      <c r="D32" s="336"/>
      <c r="E32" s="337"/>
      <c r="G32" s="21"/>
      <c r="H32" s="22" t="s">
        <v>24</v>
      </c>
      <c r="I32" s="22" t="s">
        <v>594</v>
      </c>
      <c r="J32" s="23"/>
      <c r="L32" s="21"/>
      <c r="M32" s="22" t="s">
        <v>24</v>
      </c>
      <c r="N32" s="22" t="s">
        <v>595</v>
      </c>
      <c r="O32" s="23"/>
      <c r="Q32" s="21"/>
      <c r="R32" s="22" t="s">
        <v>24</v>
      </c>
      <c r="S32" s="22" t="s">
        <v>596</v>
      </c>
      <c r="T32" s="23"/>
    </row>
    <row r="33" spans="2:22" s="1" customFormat="1" ht="19.899999999999999" customHeight="1" x14ac:dyDescent="0.25">
      <c r="B33" s="3">
        <v>11</v>
      </c>
      <c r="C33" s="343" t="s">
        <v>228</v>
      </c>
      <c r="D33" s="343"/>
      <c r="E33" s="344"/>
      <c r="G33" s="27"/>
      <c r="H33" s="28" t="s">
        <v>24</v>
      </c>
      <c r="I33" s="28" t="s">
        <v>17</v>
      </c>
      <c r="J33" s="29"/>
      <c r="L33" s="27"/>
      <c r="M33" s="28" t="s">
        <v>24</v>
      </c>
      <c r="N33" s="28" t="str">
        <f>I33</f>
        <v>1x20</v>
      </c>
      <c r="O33" s="29"/>
      <c r="Q33" s="27"/>
      <c r="R33" s="28" t="s">
        <v>24</v>
      </c>
      <c r="S33" s="28" t="str">
        <f>N33</f>
        <v>1x20</v>
      </c>
      <c r="T33" s="29"/>
    </row>
    <row r="34" spans="2:22" s="1" customFormat="1" ht="19.899999999999999" customHeight="1" thickBot="1" x14ac:dyDescent="0.3">
      <c r="B34" s="4">
        <v>12</v>
      </c>
      <c r="C34" s="341" t="s">
        <v>544</v>
      </c>
      <c r="D34" s="341"/>
      <c r="E34" s="342"/>
      <c r="G34" s="24"/>
      <c r="H34" s="25" t="s">
        <v>24</v>
      </c>
      <c r="I34" s="25" t="s">
        <v>17</v>
      </c>
      <c r="J34" s="26"/>
      <c r="L34" s="24"/>
      <c r="M34" s="25" t="s">
        <v>24</v>
      </c>
      <c r="N34" s="25" t="str">
        <f>I34</f>
        <v>1x20</v>
      </c>
      <c r="O34" s="26"/>
      <c r="Q34" s="47"/>
      <c r="R34" s="48" t="s">
        <v>24</v>
      </c>
      <c r="S34" s="48" t="str">
        <f>N34</f>
        <v>1x20</v>
      </c>
      <c r="T34" s="49"/>
    </row>
    <row r="35" spans="2:22" s="2" customFormat="1" ht="16.149999999999999" customHeight="1" thickBot="1" x14ac:dyDescent="0.3">
      <c r="B35" s="338" t="s">
        <v>382</v>
      </c>
      <c r="C35" s="339"/>
      <c r="D35" s="339"/>
      <c r="E35" s="340"/>
      <c r="F35" s="81"/>
      <c r="G35" s="333"/>
      <c r="H35" s="334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5"/>
    </row>
    <row r="36" spans="2:22" s="1" customFormat="1" ht="19.899999999999999" customHeight="1" x14ac:dyDescent="0.25">
      <c r="B36" s="9">
        <v>13</v>
      </c>
      <c r="C36" s="336" t="s">
        <v>554</v>
      </c>
      <c r="D36" s="336"/>
      <c r="E36" s="337"/>
      <c r="G36" s="21"/>
      <c r="H36" s="22" t="s">
        <v>24</v>
      </c>
      <c r="I36" s="22" t="s">
        <v>232</v>
      </c>
      <c r="J36" s="23"/>
      <c r="L36" s="21"/>
      <c r="M36" s="22" t="s">
        <v>24</v>
      </c>
      <c r="N36" s="22" t="s">
        <v>232</v>
      </c>
      <c r="O36" s="23"/>
      <c r="Q36" s="21"/>
      <c r="R36" s="22" t="s">
        <v>24</v>
      </c>
      <c r="S36" s="22" t="str">
        <f>N36</f>
        <v>1x45s</v>
      </c>
      <c r="T36" s="23"/>
    </row>
    <row r="37" spans="2:22" s="1" customFormat="1" ht="19.899999999999999" customHeight="1" x14ac:dyDescent="0.25">
      <c r="B37" s="3">
        <v>14</v>
      </c>
      <c r="C37" s="343" t="s">
        <v>555</v>
      </c>
      <c r="D37" s="343"/>
      <c r="E37" s="344"/>
      <c r="G37" s="18"/>
      <c r="H37" s="28" t="s">
        <v>24</v>
      </c>
      <c r="I37" s="19" t="s">
        <v>232</v>
      </c>
      <c r="J37" s="20"/>
      <c r="L37" s="18"/>
      <c r="M37" s="19" t="str">
        <f>H37</f>
        <v>8-9</v>
      </c>
      <c r="N37" s="19" t="str">
        <f>I37</f>
        <v>1x45s</v>
      </c>
      <c r="O37" s="20"/>
      <c r="Q37" s="18"/>
      <c r="R37" s="19" t="str">
        <f>M37</f>
        <v>8-9</v>
      </c>
      <c r="S37" s="19" t="str">
        <f>N37</f>
        <v>1x45s</v>
      </c>
      <c r="T37" s="20"/>
    </row>
    <row r="38" spans="2:22" s="1" customFormat="1" ht="19.899999999999999" customHeight="1" x14ac:dyDescent="0.25">
      <c r="B38" s="3">
        <v>15</v>
      </c>
      <c r="C38" s="343" t="s">
        <v>547</v>
      </c>
      <c r="D38" s="343"/>
      <c r="E38" s="344"/>
      <c r="G38" s="27"/>
      <c r="H38" s="28" t="s">
        <v>24</v>
      </c>
      <c r="I38" s="28" t="s">
        <v>232</v>
      </c>
      <c r="J38" s="29"/>
      <c r="L38" s="27"/>
      <c r="M38" s="28" t="s">
        <v>24</v>
      </c>
      <c r="N38" s="28" t="str">
        <f>I38</f>
        <v>1x45s</v>
      </c>
      <c r="O38" s="29"/>
      <c r="Q38" s="27"/>
      <c r="R38" s="28" t="s">
        <v>24</v>
      </c>
      <c r="S38" s="28" t="str">
        <f>N36</f>
        <v>1x45s</v>
      </c>
      <c r="T38" s="29"/>
    </row>
    <row r="39" spans="2:22" s="1" customFormat="1" ht="19.899999999999999" customHeight="1" thickBot="1" x14ac:dyDescent="0.3">
      <c r="B39" s="4">
        <v>16</v>
      </c>
      <c r="C39" s="347" t="s">
        <v>641</v>
      </c>
      <c r="D39" s="347"/>
      <c r="E39" s="348"/>
      <c r="F39" s="67"/>
      <c r="G39" s="24"/>
      <c r="H39" s="25" t="s">
        <v>24</v>
      </c>
      <c r="I39" s="25" t="s">
        <v>606</v>
      </c>
      <c r="J39" s="26"/>
      <c r="K39" s="67"/>
      <c r="L39" s="24"/>
      <c r="M39" s="25" t="s">
        <v>24</v>
      </c>
      <c r="N39" s="25" t="str">
        <f>I39</f>
        <v>1x45ea</v>
      </c>
      <c r="O39" s="26"/>
      <c r="P39" s="67"/>
      <c r="Q39" s="24"/>
      <c r="R39" s="25" t="s">
        <v>24</v>
      </c>
      <c r="S39" s="25" t="str">
        <f>I39</f>
        <v>1x45ea</v>
      </c>
      <c r="T39" s="26"/>
    </row>
    <row r="40" spans="2:22" x14ac:dyDescent="0.25">
      <c r="V40" s="1" t="s">
        <v>313</v>
      </c>
    </row>
    <row r="41" spans="2:22" x14ac:dyDescent="0.25">
      <c r="V41" s="1" t="s">
        <v>28</v>
      </c>
    </row>
    <row r="42" spans="2:22" x14ac:dyDescent="0.25">
      <c r="V42" s="1" t="s">
        <v>29</v>
      </c>
    </row>
    <row r="43" spans="2:22" x14ac:dyDescent="0.25">
      <c r="V43" s="1" t="s">
        <v>26</v>
      </c>
    </row>
    <row r="44" spans="2:22" x14ac:dyDescent="0.25">
      <c r="V44" s="1" t="s">
        <v>232</v>
      </c>
    </row>
    <row r="45" spans="2:22" x14ac:dyDescent="0.25">
      <c r="V45" s="1" t="s">
        <v>233</v>
      </c>
    </row>
    <row r="46" spans="2:22" x14ac:dyDescent="0.25">
      <c r="V46" s="1" t="s">
        <v>296</v>
      </c>
    </row>
    <row r="47" spans="2:22" x14ac:dyDescent="0.25">
      <c r="V47" s="1" t="s">
        <v>17</v>
      </c>
    </row>
    <row r="48" spans="2:22" x14ac:dyDescent="0.25">
      <c r="V48" s="1" t="s">
        <v>606</v>
      </c>
    </row>
  </sheetData>
  <mergeCells count="41">
    <mergeCell ref="O2:T7"/>
    <mergeCell ref="M10:N10"/>
    <mergeCell ref="O12:Q12"/>
    <mergeCell ref="O13:Q13"/>
    <mergeCell ref="B15:E16"/>
    <mergeCell ref="G15:T15"/>
    <mergeCell ref="H16:I16"/>
    <mergeCell ref="M16:N16"/>
    <mergeCell ref="R16:S16"/>
    <mergeCell ref="H13:J13"/>
    <mergeCell ref="L12:N12"/>
    <mergeCell ref="L13:N13"/>
    <mergeCell ref="R12:T12"/>
    <mergeCell ref="C37:E37"/>
    <mergeCell ref="C38:E38"/>
    <mergeCell ref="C39:E39"/>
    <mergeCell ref="B12:D12"/>
    <mergeCell ref="E12:G12"/>
    <mergeCell ref="E13:G13"/>
    <mergeCell ref="B13:D13"/>
    <mergeCell ref="C30:E30"/>
    <mergeCell ref="C31:E31"/>
    <mergeCell ref="C32:E32"/>
    <mergeCell ref="C33:E33"/>
    <mergeCell ref="C34:E34"/>
    <mergeCell ref="B35:E35"/>
    <mergeCell ref="C24:E24"/>
    <mergeCell ref="C25:E25"/>
    <mergeCell ref="C26:E26"/>
    <mergeCell ref="G35:T35"/>
    <mergeCell ref="C36:E36"/>
    <mergeCell ref="H12:J12"/>
    <mergeCell ref="C27:E27"/>
    <mergeCell ref="C28:E28"/>
    <mergeCell ref="C29:E29"/>
    <mergeCell ref="B17:E17"/>
    <mergeCell ref="C18:E18"/>
    <mergeCell ref="C19:E19"/>
    <mergeCell ref="C20:E20"/>
    <mergeCell ref="B22:E22"/>
    <mergeCell ref="C23:E23"/>
  </mergeCells>
  <dataValidations count="6">
    <dataValidation type="list" allowBlank="1" showInputMessage="1" showErrorMessage="1" sqref="I24 I27 N27 S27" xr:uid="{00000000-0002-0000-0300-000000000000}">
      <formula1>$V$40:$V$48</formula1>
    </dataValidation>
    <dataValidation type="list" allowBlank="1" showInputMessage="1" showErrorMessage="1" sqref="S31 I39" xr:uid="{00000000-0002-0000-0300-000001000000}">
      <formula1>$V$40:$V$50</formula1>
    </dataValidation>
    <dataValidation type="list" allowBlank="1" showInputMessage="1" showErrorMessage="1" sqref="N31" xr:uid="{00000000-0002-0000-0300-000002000000}">
      <formula1>$V$40:$V$51</formula1>
    </dataValidation>
    <dataValidation type="list" allowBlank="1" showInputMessage="1" showErrorMessage="1" sqref="I31 I34" xr:uid="{00000000-0002-0000-0300-000003000000}">
      <formula1>$V$40:$V$49</formula1>
    </dataValidation>
    <dataValidation type="list" allowBlank="1" showInputMessage="1" showErrorMessage="1" sqref="N38:N39 I36:I38 S36 N36 S38" xr:uid="{00000000-0002-0000-0300-000004000000}">
      <formula1>$V$40:$V$45</formula1>
    </dataValidation>
    <dataValidation type="list" allowBlank="1" showInputMessage="1" showErrorMessage="1" sqref="M23:M34 H23:H34 R23:R34 R38:R39 H36:H39 R36 M36 M38:M39" xr:uid="{00000000-0002-0000-0300-000005000000}">
      <formula1>$W$22:$W$24</formula1>
    </dataValidation>
  </dataValidations>
  <pageMargins left="0.25" right="0.25" top="0.75" bottom="0.75" header="0.3" footer="0.3"/>
  <pageSetup paperSize="9"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2">
        <x14:dataValidation type="list" allowBlank="1" showInputMessage="1" showErrorMessage="1" xr:uid="{00000000-0002-0000-0300-000019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300-00001A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300-00001B000000}">
          <x14:formula1>
            <xm:f>'Warm Up'!$D:$D</xm:f>
          </x14:formula1>
          <xm:sqref>H12</xm:sqref>
        </x14:dataValidation>
        <x14:dataValidation type="list" allowBlank="1" showInputMessage="1" showErrorMessage="1" xr:uid="{00000000-0002-0000-0300-000006000000}">
          <x14:formula1>
            <xm:f>'Oberkörper Progressionen '!$I:$I</xm:f>
          </x14:formula1>
          <xm:sqref>C27:E27</xm:sqref>
        </x14:dataValidation>
        <x14:dataValidation type="list" allowBlank="1" showInputMessage="1" showErrorMessage="1" xr:uid="{00000000-0002-0000-0300-000007000000}">
          <x14:formula1>
            <xm:f>'Oberkörper Progressionen '!$G:$G</xm:f>
          </x14:formula1>
          <xm:sqref>C25:E25</xm:sqref>
        </x14:dataValidation>
        <x14:dataValidation type="list" allowBlank="1" showInputMessage="1" showErrorMessage="1" xr:uid="{00000000-0002-0000-0300-000008000000}">
          <x14:formula1>
            <xm:f>'Oberkörper Progressionen '!$M:$M</xm:f>
          </x14:formula1>
          <xm:sqref>C31:E31</xm:sqref>
        </x14:dataValidation>
        <x14:dataValidation type="list" allowBlank="1" showInputMessage="1" showErrorMessage="1" xr:uid="{00000000-0002-0000-0300-000009000000}">
          <x14:formula1>
            <xm:f>'Oberkörper Progressionen '!$J:$J</xm:f>
          </x14:formula1>
          <xm:sqref>C28:E28</xm:sqref>
        </x14:dataValidation>
        <x14:dataValidation type="list" allowBlank="1" showInputMessage="1" showErrorMessage="1" xr:uid="{00000000-0002-0000-0300-00000A000000}">
          <x14:formula1>
            <xm:f>'Oberkörper Progressionen '!$H:$H</xm:f>
          </x14:formula1>
          <xm:sqref>C26:E26</xm:sqref>
        </x14:dataValidation>
        <x14:dataValidation type="list" allowBlank="1" showInputMessage="1" showErrorMessage="1" xr:uid="{00000000-0002-0000-0300-00000B000000}">
          <x14:formula1>
            <xm:f>'Oberkörper Progressionen '!$T:$T</xm:f>
          </x14:formula1>
          <xm:sqref>C37:E37</xm:sqref>
        </x14:dataValidation>
        <x14:dataValidation type="list" allowBlank="1" showInputMessage="1" showErrorMessage="1" xr:uid="{00000000-0002-0000-0300-00000C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0300-00000D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0300-00000E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0300-00000F000000}">
          <x14:formula1>
            <xm:f>'Oberkörper Progressionen '!$K:$K</xm:f>
          </x14:formula1>
          <xm:sqref>C29:E29</xm:sqref>
        </x14:dataValidation>
        <x14:dataValidation type="list" allowBlank="1" showInputMessage="1" showErrorMessage="1" xr:uid="{00000000-0002-0000-0300-000010000000}">
          <x14:formula1>
            <xm:f>'Oberkörper Progressionen '!$L:$L</xm:f>
          </x14:formula1>
          <xm:sqref>C30:E30</xm:sqref>
        </x14:dataValidation>
        <x14:dataValidation type="list" allowBlank="1" showInputMessage="1" showErrorMessage="1" xr:uid="{00000000-0002-0000-0300-000011000000}">
          <x14:formula1>
            <xm:f>'Oberkörper Progressionen '!$N:$N</xm:f>
          </x14:formula1>
          <xm:sqref>C32:E32</xm:sqref>
        </x14:dataValidation>
        <x14:dataValidation type="list" allowBlank="1" showInputMessage="1" showErrorMessage="1" xr:uid="{00000000-0002-0000-0300-000012000000}">
          <x14:formula1>
            <xm:f>'Oberkörper Progressionen '!$O:$O</xm:f>
          </x14:formula1>
          <xm:sqref>C33:E33</xm:sqref>
        </x14:dataValidation>
        <x14:dataValidation type="list" allowBlank="1" showInputMessage="1" showErrorMessage="1" xr:uid="{00000000-0002-0000-0300-000013000000}">
          <x14:formula1>
            <xm:f>'Oberkörper Progressionen '!$Q:$Q</xm:f>
          </x14:formula1>
          <xm:sqref>C38:E38</xm:sqref>
        </x14:dataValidation>
        <x14:dataValidation type="list" allowBlank="1" showInputMessage="1" showErrorMessage="1" xr:uid="{00000000-0002-0000-0300-000014000000}">
          <x14:formula1>
            <xm:f>'Oberkörper Progressionen '!$R:$R</xm:f>
          </x14:formula1>
          <xm:sqref>C36:E36</xm:sqref>
        </x14:dataValidation>
        <x14:dataValidation type="list" allowBlank="1" showInputMessage="1" showErrorMessage="1" xr:uid="{00000000-0002-0000-0300-000015000000}">
          <x14:formula1>
            <xm:f>'Oberkörper Progressionen '!$S:$S</xm:f>
          </x14:formula1>
          <xm:sqref>C39:E39</xm:sqref>
        </x14:dataValidation>
        <x14:dataValidation type="list" allowBlank="1" showInputMessage="1" showErrorMessage="1" xr:uid="{00000000-0002-0000-0300-000016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0300-000017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0300-000018000000}">
          <x14:formula1>
            <xm:f>'Oberkörper Progressionen '!$P:$P</xm:f>
          </x14:formula1>
          <xm:sqref>C34:E34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X54"/>
  <sheetViews>
    <sheetView zoomScale="78" zoomScaleNormal="110" workbookViewId="0">
      <selection activeCell="I33" sqref="I33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4" ht="16.5" thickBot="1" x14ac:dyDescent="0.3"/>
    <row r="2" spans="2:24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4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4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4" x14ac:dyDescent="0.25">
      <c r="B5" s="7"/>
      <c r="C5" s="60" t="s">
        <v>216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4" x14ac:dyDescent="0.25">
      <c r="B6" s="7"/>
      <c r="C6" s="60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4" x14ac:dyDescent="0.25">
      <c r="B7" s="7"/>
      <c r="C7" s="60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4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4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4" x14ac:dyDescent="0.25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17</v>
      </c>
      <c r="T10" s="64"/>
    </row>
    <row r="11" spans="2:24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4" s="34" customFormat="1" ht="15.6" customHeight="1" x14ac:dyDescent="0.25">
      <c r="B12" s="374" t="s">
        <v>137</v>
      </c>
      <c r="C12" s="373"/>
      <c r="D12" s="373"/>
      <c r="E12" s="373" t="s">
        <v>168</v>
      </c>
      <c r="F12" s="373"/>
      <c r="G12" s="373"/>
      <c r="H12" s="66"/>
      <c r="I12" s="66" t="s">
        <v>53</v>
      </c>
      <c r="J12" s="66"/>
      <c r="K12" s="66"/>
      <c r="L12" s="66"/>
      <c r="M12" s="66" t="s">
        <v>321</v>
      </c>
      <c r="N12" s="66"/>
      <c r="O12" s="373" t="s">
        <v>599</v>
      </c>
      <c r="P12" s="373"/>
      <c r="Q12" s="373"/>
      <c r="R12" s="66"/>
      <c r="S12" s="66" t="s">
        <v>561</v>
      </c>
      <c r="T12" s="33"/>
    </row>
    <row r="13" spans="2:24" s="34" customFormat="1" ht="15.6" customHeight="1" x14ac:dyDescent="0.25">
      <c r="B13" s="376" t="s">
        <v>138</v>
      </c>
      <c r="C13" s="375"/>
      <c r="D13" s="375"/>
      <c r="E13" s="375" t="s">
        <v>139</v>
      </c>
      <c r="F13" s="375"/>
      <c r="G13" s="375"/>
      <c r="I13" s="34" t="s">
        <v>145</v>
      </c>
      <c r="M13" s="34" t="s">
        <v>146</v>
      </c>
      <c r="O13" s="375" t="s">
        <v>583</v>
      </c>
      <c r="P13" s="375"/>
      <c r="Q13" s="375"/>
      <c r="S13" s="34" t="s">
        <v>147</v>
      </c>
      <c r="T13" s="35"/>
    </row>
    <row r="14" spans="2:24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4" ht="16.5" thickBot="1" x14ac:dyDescent="0.3">
      <c r="B15" s="352" t="s">
        <v>607</v>
      </c>
      <c r="C15" s="353"/>
      <c r="D15" s="353"/>
      <c r="E15" s="354"/>
      <c r="F15" s="1"/>
      <c r="G15" s="338" t="s">
        <v>132</v>
      </c>
      <c r="H15" s="339"/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39"/>
      <c r="T15" s="340"/>
      <c r="X15" t="s">
        <v>311</v>
      </c>
    </row>
    <row r="16" spans="2:24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2" t="s">
        <v>165</v>
      </c>
      <c r="R16" s="358" t="s">
        <v>51</v>
      </c>
      <c r="S16" s="359"/>
      <c r="T16" s="72" t="s">
        <v>167</v>
      </c>
      <c r="W16" s="36"/>
      <c r="X16" s="1" t="s">
        <v>588</v>
      </c>
    </row>
    <row r="17" spans="2:24" ht="16.5" thickBot="1" x14ac:dyDescent="0.3">
      <c r="B17" s="338" t="s">
        <v>18</v>
      </c>
      <c r="C17" s="339"/>
      <c r="D17" s="339"/>
      <c r="E17" s="340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  <c r="W17" s="37"/>
      <c r="X17" s="1" t="s">
        <v>605</v>
      </c>
    </row>
    <row r="18" spans="2:24" s="1" customFormat="1" ht="19.899999999999999" customHeight="1" x14ac:dyDescent="0.25">
      <c r="B18" s="9">
        <v>1</v>
      </c>
      <c r="C18" s="336" t="s">
        <v>387</v>
      </c>
      <c r="D18" s="336"/>
      <c r="E18" s="337"/>
      <c r="G18" s="18" t="s">
        <v>23</v>
      </c>
      <c r="H18" s="19"/>
      <c r="I18" s="19" t="s">
        <v>589</v>
      </c>
      <c r="J18" s="20" t="s">
        <v>27</v>
      </c>
      <c r="L18" s="18" t="s">
        <v>23</v>
      </c>
      <c r="M18" s="19"/>
      <c r="N18" s="19" t="s">
        <v>590</v>
      </c>
      <c r="O18" s="20" t="s">
        <v>27</v>
      </c>
      <c r="Q18" s="44" t="s">
        <v>23</v>
      </c>
      <c r="R18" s="45"/>
      <c r="S18" s="45" t="s">
        <v>591</v>
      </c>
      <c r="T18" s="46" t="s">
        <v>27</v>
      </c>
      <c r="W18" s="36"/>
      <c r="X18" s="1" t="s">
        <v>607</v>
      </c>
    </row>
    <row r="19" spans="2:24" s="1" customFormat="1" ht="19.899999999999999" customHeight="1" x14ac:dyDescent="0.25">
      <c r="B19" s="3">
        <v>2</v>
      </c>
      <c r="C19" s="343" t="s">
        <v>414</v>
      </c>
      <c r="D19" s="343"/>
      <c r="E19" s="344"/>
      <c r="G19" s="68" t="s">
        <v>23</v>
      </c>
      <c r="H19" s="69"/>
      <c r="I19" s="69" t="s">
        <v>25</v>
      </c>
      <c r="J19" s="70"/>
      <c r="L19" s="68" t="s">
        <v>23</v>
      </c>
      <c r="M19" s="69"/>
      <c r="N19" s="69" t="s">
        <v>25</v>
      </c>
      <c r="O19" s="70"/>
      <c r="Q19" s="68" t="s">
        <v>23</v>
      </c>
      <c r="R19" s="69"/>
      <c r="S19" s="69" t="s">
        <v>25</v>
      </c>
      <c r="T19" s="70"/>
      <c r="W19" s="36"/>
    </row>
    <row r="20" spans="2:24" s="1" customFormat="1" ht="19.899999999999999" customHeight="1" thickBot="1" x14ac:dyDescent="0.3">
      <c r="B20" s="4">
        <v>3</v>
      </c>
      <c r="C20" s="341" t="s">
        <v>610</v>
      </c>
      <c r="D20" s="341"/>
      <c r="E20" s="342"/>
      <c r="G20" s="24" t="s">
        <v>23</v>
      </c>
      <c r="H20" s="25"/>
      <c r="I20" s="25" t="s">
        <v>25</v>
      </c>
      <c r="J20" s="26"/>
      <c r="L20" s="24" t="s">
        <v>23</v>
      </c>
      <c r="M20" s="25"/>
      <c r="N20" s="25" t="s">
        <v>25</v>
      </c>
      <c r="O20" s="26"/>
      <c r="Q20" s="47" t="s">
        <v>23</v>
      </c>
      <c r="R20" s="48"/>
      <c r="S20" s="48" t="s">
        <v>25</v>
      </c>
      <c r="T20" s="49"/>
    </row>
    <row r="21" spans="2:24" s="2" customFormat="1" ht="4.9000000000000004" customHeight="1" thickBot="1" x14ac:dyDescent="0.3">
      <c r="B21" s="74"/>
      <c r="Q21" s="50"/>
      <c r="R21" s="50"/>
      <c r="S21" s="50"/>
      <c r="T21" s="75"/>
      <c r="X21" s="1"/>
    </row>
    <row r="22" spans="2:24" s="1" customFormat="1" ht="16.5" thickBot="1" x14ac:dyDescent="0.3">
      <c r="B22" s="338" t="s">
        <v>379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</row>
    <row r="23" spans="2:24" s="1" customFormat="1" ht="19.899999999999999" customHeight="1" x14ac:dyDescent="0.25">
      <c r="B23" s="9">
        <v>1</v>
      </c>
      <c r="C23" s="336" t="s">
        <v>321</v>
      </c>
      <c r="D23" s="336"/>
      <c r="E23" s="337"/>
      <c r="G23" s="21"/>
      <c r="H23" s="22" t="s">
        <v>24</v>
      </c>
      <c r="I23" s="22" t="s">
        <v>17</v>
      </c>
      <c r="J23" s="23"/>
      <c r="L23" s="21"/>
      <c r="M23" s="22" t="s">
        <v>24</v>
      </c>
      <c r="N23" s="22" t="str">
        <f t="shared" ref="N23:N31" si="0">I23</f>
        <v>1x20</v>
      </c>
      <c r="O23" s="23"/>
      <c r="Q23" s="51"/>
      <c r="R23" s="53" t="s">
        <v>24</v>
      </c>
      <c r="S23" s="53" t="str">
        <f>N23</f>
        <v>1x20</v>
      </c>
      <c r="T23" s="54"/>
    </row>
    <row r="24" spans="2:24" s="1" customFormat="1" ht="19.899999999999999" customHeight="1" x14ac:dyDescent="0.25">
      <c r="B24" s="3">
        <v>2</v>
      </c>
      <c r="C24" s="343" t="s">
        <v>561</v>
      </c>
      <c r="D24" s="343"/>
      <c r="E24" s="344"/>
      <c r="G24" s="27"/>
      <c r="H24" s="28" t="s">
        <v>24</v>
      </c>
      <c r="I24" s="28" t="s">
        <v>657</v>
      </c>
      <c r="J24" s="29"/>
      <c r="L24" s="27"/>
      <c r="M24" s="28" t="s">
        <v>24</v>
      </c>
      <c r="N24" s="28" t="str">
        <f t="shared" si="0"/>
        <v>1x10/ea</v>
      </c>
      <c r="O24" s="29"/>
      <c r="Q24" s="55"/>
      <c r="R24" s="57" t="s">
        <v>24</v>
      </c>
      <c r="S24" s="57" t="str">
        <f>N24</f>
        <v>1x10/ea</v>
      </c>
      <c r="T24" s="58"/>
    </row>
    <row r="25" spans="2:24" s="1" customFormat="1" ht="19.899999999999999" customHeight="1" thickBot="1" x14ac:dyDescent="0.3">
      <c r="B25" s="4">
        <v>3</v>
      </c>
      <c r="C25" s="341" t="s">
        <v>194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4" s="1" customFormat="1" ht="19.899999999999999" customHeight="1" x14ac:dyDescent="0.25">
      <c r="B26" s="9">
        <v>4</v>
      </c>
      <c r="C26" s="336" t="s">
        <v>417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4" s="1" customFormat="1" ht="19.899999999999999" customHeight="1" x14ac:dyDescent="0.25">
      <c r="B27" s="3">
        <v>5</v>
      </c>
      <c r="C27" s="343" t="s">
        <v>423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">
        <v>17</v>
      </c>
      <c r="T27" s="58"/>
    </row>
    <row r="28" spans="2:24" s="1" customFormat="1" ht="19.899999999999999" customHeight="1" thickBot="1" x14ac:dyDescent="0.3">
      <c r="B28" s="4">
        <v>6</v>
      </c>
      <c r="C28" s="341" t="s">
        <v>434</v>
      </c>
      <c r="D28" s="341"/>
      <c r="E28" s="342"/>
      <c r="G28" s="24"/>
      <c r="H28" s="25" t="s">
        <v>24</v>
      </c>
      <c r="I28" s="25" t="s">
        <v>317</v>
      </c>
      <c r="J28" s="26"/>
      <c r="L28" s="24"/>
      <c r="M28" s="25" t="s">
        <v>24</v>
      </c>
      <c r="N28" s="25" t="str">
        <f t="shared" si="0"/>
        <v>3x10s/ea</v>
      </c>
      <c r="O28" s="26"/>
      <c r="Q28" s="47"/>
      <c r="R28" s="48" t="s">
        <v>24</v>
      </c>
      <c r="S28" s="48" t="str">
        <f>N28</f>
        <v>3x10s/ea</v>
      </c>
      <c r="T28" s="49"/>
    </row>
    <row r="29" spans="2:24" s="1" customFormat="1" ht="19.899999999999999" customHeight="1" x14ac:dyDescent="0.25">
      <c r="B29" s="9">
        <v>7</v>
      </c>
      <c r="C29" s="336" t="s">
        <v>499</v>
      </c>
      <c r="D29" s="336"/>
      <c r="E29" s="337"/>
      <c r="G29" s="21"/>
      <c r="H29" s="22" t="s">
        <v>24</v>
      </c>
      <c r="I29" s="22" t="s">
        <v>624</v>
      </c>
      <c r="J29" s="23"/>
      <c r="L29" s="21"/>
      <c r="M29" s="22" t="s">
        <v>24</v>
      </c>
      <c r="N29" s="22" t="str">
        <f t="shared" si="0"/>
        <v>1x20/ea</v>
      </c>
      <c r="O29" s="23"/>
      <c r="Q29" s="51"/>
      <c r="R29" s="53" t="s">
        <v>24</v>
      </c>
      <c r="S29" s="53" t="str">
        <f>N29</f>
        <v>1x20/ea</v>
      </c>
      <c r="T29" s="54"/>
    </row>
    <row r="30" spans="2:24" s="1" customFormat="1" ht="19.899999999999999" customHeight="1" x14ac:dyDescent="0.25">
      <c r="B30" s="3">
        <v>8</v>
      </c>
      <c r="C30" s="343" t="s">
        <v>42</v>
      </c>
      <c r="D30" s="343"/>
      <c r="E30" s="344"/>
      <c r="G30" s="27"/>
      <c r="H30" s="28" t="s">
        <v>24</v>
      </c>
      <c r="I30" s="28" t="s">
        <v>135</v>
      </c>
      <c r="J30" s="29"/>
      <c r="L30" s="27"/>
      <c r="M30" s="28" t="s">
        <v>24</v>
      </c>
      <c r="N30" s="28" t="str">
        <f t="shared" si="0"/>
        <v>1x30s/ea</v>
      </c>
      <c r="O30" s="29"/>
      <c r="Q30" s="55"/>
      <c r="R30" s="57" t="s">
        <v>24</v>
      </c>
      <c r="S30" s="57" t="str">
        <f>N30</f>
        <v>1x30s/ea</v>
      </c>
      <c r="T30" s="58"/>
    </row>
    <row r="31" spans="2:24" s="1" customFormat="1" ht="19.899999999999999" customHeight="1" thickBot="1" x14ac:dyDescent="0.3">
      <c r="B31" s="4">
        <v>9</v>
      </c>
      <c r="C31" s="341" t="s">
        <v>458</v>
      </c>
      <c r="D31" s="341"/>
      <c r="E31" s="342"/>
      <c r="G31" s="24"/>
      <c r="H31" s="25" t="s">
        <v>24</v>
      </c>
      <c r="I31" s="25" t="s">
        <v>317</v>
      </c>
      <c r="J31" s="26"/>
      <c r="L31" s="24"/>
      <c r="M31" s="25" t="s">
        <v>24</v>
      </c>
      <c r="N31" s="25" t="str">
        <f t="shared" si="0"/>
        <v>3x10s/ea</v>
      </c>
      <c r="O31" s="26"/>
      <c r="Q31" s="47"/>
      <c r="R31" s="48" t="s">
        <v>24</v>
      </c>
      <c r="S31" s="25" t="str">
        <f>N31</f>
        <v>3x10s/ea</v>
      </c>
      <c r="T31" s="49"/>
    </row>
    <row r="32" spans="2:24" s="1" customFormat="1" ht="19.899999999999999" customHeight="1" x14ac:dyDescent="0.25">
      <c r="B32" s="9">
        <v>10</v>
      </c>
      <c r="C32" s="336" t="s">
        <v>506</v>
      </c>
      <c r="D32" s="336"/>
      <c r="E32" s="337"/>
      <c r="G32" s="21"/>
      <c r="H32" s="22" t="s">
        <v>24</v>
      </c>
      <c r="I32" s="22" t="s">
        <v>624</v>
      </c>
      <c r="J32" s="23"/>
      <c r="L32" s="21"/>
      <c r="M32" s="22" t="s">
        <v>24</v>
      </c>
      <c r="N32" s="22" t="s">
        <v>595</v>
      </c>
      <c r="O32" s="23"/>
      <c r="Q32" s="21"/>
      <c r="R32" s="22" t="s">
        <v>24</v>
      </c>
      <c r="S32" s="22" t="s">
        <v>596</v>
      </c>
      <c r="T32" s="23"/>
    </row>
    <row r="33" spans="2:22" s="1" customFormat="1" ht="19.899999999999999" customHeight="1" x14ac:dyDescent="0.25">
      <c r="B33" s="3">
        <v>11</v>
      </c>
      <c r="C33" s="343" t="s">
        <v>182</v>
      </c>
      <c r="D33" s="343"/>
      <c r="E33" s="344"/>
      <c r="G33" s="27"/>
      <c r="H33" s="28" t="s">
        <v>24</v>
      </c>
      <c r="I33" s="28" t="s">
        <v>625</v>
      </c>
      <c r="J33" s="29"/>
      <c r="L33" s="27"/>
      <c r="M33" s="28" t="s">
        <v>24</v>
      </c>
      <c r="N33" s="28" t="str">
        <f t="shared" ref="N33:N38" si="1">I33</f>
        <v xml:space="preserve">1x20/ea </v>
      </c>
      <c r="O33" s="29"/>
      <c r="Q33" s="27"/>
      <c r="R33" s="28" t="s">
        <v>24</v>
      </c>
      <c r="S33" s="28" t="str">
        <f>N33</f>
        <v xml:space="preserve">1x20/ea </v>
      </c>
      <c r="T33" s="29"/>
    </row>
    <row r="34" spans="2:22" s="1" customFormat="1" ht="19.899999999999999" customHeight="1" thickBot="1" x14ac:dyDescent="0.3">
      <c r="B34" s="3">
        <v>12</v>
      </c>
      <c r="C34" s="343" t="s">
        <v>198</v>
      </c>
      <c r="D34" s="343"/>
      <c r="E34" s="344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 t="shared" si="1"/>
        <v>1x20/ea</v>
      </c>
      <c r="O34" s="26"/>
      <c r="Q34" s="47"/>
      <c r="R34" s="48" t="s">
        <v>24</v>
      </c>
      <c r="S34" s="48" t="str">
        <f>N34</f>
        <v>1x20/ea</v>
      </c>
      <c r="T34" s="49"/>
    </row>
    <row r="35" spans="2:22" s="1" customFormat="1" ht="19.899999999999999" customHeight="1" x14ac:dyDescent="0.25">
      <c r="B35" s="9">
        <v>13</v>
      </c>
      <c r="C35" s="336" t="s">
        <v>445</v>
      </c>
      <c r="D35" s="336"/>
      <c r="E35" s="337"/>
      <c r="G35" s="103"/>
      <c r="H35" s="22" t="s">
        <v>24</v>
      </c>
      <c r="I35" s="22" t="s">
        <v>626</v>
      </c>
      <c r="J35" s="23"/>
      <c r="L35" s="21"/>
      <c r="M35" s="22" t="s">
        <v>24</v>
      </c>
      <c r="N35" s="22" t="str">
        <f t="shared" si="1"/>
        <v>1x15m/ea</v>
      </c>
      <c r="O35" s="23"/>
      <c r="Q35" s="21"/>
      <c r="R35" s="22" t="s">
        <v>24</v>
      </c>
      <c r="S35" s="22" t="str">
        <f>I35</f>
        <v>1x15m/ea</v>
      </c>
      <c r="T35" s="23"/>
    </row>
    <row r="36" spans="2:22" s="1" customFormat="1" ht="19.899999999999999" customHeight="1" x14ac:dyDescent="0.25">
      <c r="B36" s="3">
        <v>14</v>
      </c>
      <c r="C36" s="343" t="s">
        <v>334</v>
      </c>
      <c r="D36" s="343"/>
      <c r="E36" s="344"/>
      <c r="G36" s="100"/>
      <c r="H36" s="28" t="s">
        <v>24</v>
      </c>
      <c r="I36" s="28" t="s">
        <v>317</v>
      </c>
      <c r="J36" s="29"/>
      <c r="L36" s="27"/>
      <c r="M36" s="28" t="s">
        <v>24</v>
      </c>
      <c r="N36" s="28" t="str">
        <f t="shared" si="1"/>
        <v>3x10s/ea</v>
      </c>
      <c r="O36" s="29"/>
      <c r="Q36" s="27"/>
      <c r="R36" s="28" t="s">
        <v>24</v>
      </c>
      <c r="S36" s="28" t="str">
        <f>N36</f>
        <v>3x10s/ea</v>
      </c>
      <c r="T36" s="29"/>
    </row>
    <row r="37" spans="2:22" s="1" customFormat="1" ht="19.899999999999999" customHeight="1" x14ac:dyDescent="0.25">
      <c r="B37" s="3">
        <v>15</v>
      </c>
      <c r="C37" s="343" t="s">
        <v>46</v>
      </c>
      <c r="D37" s="343"/>
      <c r="E37" s="344"/>
      <c r="G37" s="100"/>
      <c r="H37" s="28" t="s">
        <v>24</v>
      </c>
      <c r="I37" s="28" t="s">
        <v>624</v>
      </c>
      <c r="J37" s="29"/>
      <c r="L37" s="27"/>
      <c r="M37" s="28" t="s">
        <v>24</v>
      </c>
      <c r="N37" s="28" t="str">
        <f t="shared" si="1"/>
        <v>1x20/ea</v>
      </c>
      <c r="O37" s="29"/>
      <c r="Q37" s="27"/>
      <c r="R37" s="28" t="s">
        <v>24</v>
      </c>
      <c r="S37" s="28" t="str">
        <f>N37</f>
        <v>1x20/ea</v>
      </c>
      <c r="T37" s="29"/>
    </row>
    <row r="38" spans="2:22" s="1" customFormat="1" ht="19.899999999999999" customHeight="1" thickBot="1" x14ac:dyDescent="0.3">
      <c r="B38" s="4">
        <v>16</v>
      </c>
      <c r="C38" s="341" t="s">
        <v>473</v>
      </c>
      <c r="D38" s="341"/>
      <c r="E38" s="342"/>
      <c r="G38" s="24"/>
      <c r="H38" s="25" t="s">
        <v>24</v>
      </c>
      <c r="I38" s="25" t="s">
        <v>17</v>
      </c>
      <c r="J38" s="26"/>
      <c r="L38" s="24"/>
      <c r="M38" s="25" t="s">
        <v>24</v>
      </c>
      <c r="N38" s="25" t="str">
        <f t="shared" si="1"/>
        <v>1x20</v>
      </c>
      <c r="O38" s="26"/>
      <c r="Q38" s="24"/>
      <c r="R38" s="25" t="s">
        <v>24</v>
      </c>
      <c r="S38" s="25" t="str">
        <f>N38</f>
        <v>1x20</v>
      </c>
      <c r="T38" s="26"/>
    </row>
    <row r="39" spans="2:22" s="2" customFormat="1" ht="16.149999999999999" customHeight="1" thickBot="1" x14ac:dyDescent="0.3">
      <c r="B39" s="349" t="s">
        <v>383</v>
      </c>
      <c r="C39" s="350"/>
      <c r="D39" s="350"/>
      <c r="E39" s="351"/>
      <c r="F39" s="81"/>
      <c r="G39" s="333"/>
      <c r="H39" s="334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5"/>
    </row>
    <row r="40" spans="2:22" s="1" customFormat="1" ht="19.899999999999999" customHeight="1" x14ac:dyDescent="0.25">
      <c r="B40" s="9">
        <v>17</v>
      </c>
      <c r="C40" s="336" t="s">
        <v>205</v>
      </c>
      <c r="D40" s="336"/>
      <c r="E40" s="337"/>
      <c r="G40" s="21"/>
      <c r="H40" s="30" t="s">
        <v>24</v>
      </c>
      <c r="I40" s="22" t="s">
        <v>316</v>
      </c>
      <c r="J40" s="23"/>
      <c r="L40" s="21"/>
      <c r="M40" s="30" t="s">
        <v>24</v>
      </c>
      <c r="N40" s="22" t="str">
        <f>I40</f>
        <v>1x60s/ea</v>
      </c>
      <c r="O40" s="23"/>
      <c r="Q40" s="51"/>
      <c r="R40" s="52" t="s">
        <v>24</v>
      </c>
      <c r="S40" s="53" t="str">
        <f>I40</f>
        <v>1x60s/ea</v>
      </c>
      <c r="T40" s="54"/>
    </row>
    <row r="41" spans="2:22" s="1" customFormat="1" ht="19.899999999999999" customHeight="1" x14ac:dyDescent="0.25">
      <c r="B41" s="3">
        <v>18</v>
      </c>
      <c r="C41" s="345" t="s">
        <v>638</v>
      </c>
      <c r="D41" s="345"/>
      <c r="E41" s="346"/>
      <c r="G41" s="27"/>
      <c r="H41" s="31" t="s">
        <v>24</v>
      </c>
      <c r="I41" s="28" t="s">
        <v>316</v>
      </c>
      <c r="J41" s="29"/>
      <c r="L41" s="27"/>
      <c r="M41" s="31" t="s">
        <v>24</v>
      </c>
      <c r="N41" s="28" t="str">
        <f>I41</f>
        <v>1x60s/ea</v>
      </c>
      <c r="O41" s="29"/>
      <c r="Q41" s="55"/>
      <c r="R41" s="56" t="s">
        <v>24</v>
      </c>
      <c r="S41" s="57" t="str">
        <f>I41</f>
        <v>1x60s/ea</v>
      </c>
      <c r="T41" s="58"/>
    </row>
    <row r="42" spans="2:22" s="1" customFormat="1" ht="19.899999999999999" customHeight="1" thickBot="1" x14ac:dyDescent="0.3">
      <c r="B42" s="4">
        <v>19</v>
      </c>
      <c r="C42" s="347" t="s">
        <v>47</v>
      </c>
      <c r="D42" s="347"/>
      <c r="E42" s="348"/>
      <c r="F42" s="67"/>
      <c r="G42" s="24"/>
      <c r="H42" s="32" t="s">
        <v>24</v>
      </c>
      <c r="I42" s="25" t="s">
        <v>316</v>
      </c>
      <c r="J42" s="26"/>
      <c r="K42" s="67"/>
      <c r="L42" s="24"/>
      <c r="M42" s="32" t="s">
        <v>24</v>
      </c>
      <c r="N42" s="25" t="str">
        <f>I42</f>
        <v>1x60s/ea</v>
      </c>
      <c r="O42" s="26"/>
      <c r="P42" s="67"/>
      <c r="Q42" s="47"/>
      <c r="R42" s="59" t="s">
        <v>24</v>
      </c>
      <c r="S42" s="48" t="str">
        <f>N42</f>
        <v>1x60s/ea</v>
      </c>
      <c r="T42" s="49"/>
    </row>
    <row r="43" spans="2:22" s="2" customFormat="1" ht="4.9000000000000004" customHeight="1" x14ac:dyDescent="0.25">
      <c r="Q43" s="50"/>
      <c r="R43" s="50"/>
      <c r="S43" s="50"/>
      <c r="T43" s="50"/>
    </row>
    <row r="44" spans="2:22" x14ac:dyDescent="0.25">
      <c r="V44" s="1" t="s">
        <v>314</v>
      </c>
    </row>
    <row r="45" spans="2:22" x14ac:dyDescent="0.25">
      <c r="V45" s="1" t="s">
        <v>338</v>
      </c>
    </row>
    <row r="46" spans="2:22" x14ac:dyDescent="0.25">
      <c r="V46" s="1" t="s">
        <v>48</v>
      </c>
    </row>
    <row r="47" spans="2:22" x14ac:dyDescent="0.25">
      <c r="V47" s="1" t="s">
        <v>135</v>
      </c>
    </row>
    <row r="48" spans="2:22" x14ac:dyDescent="0.25">
      <c r="V48" s="1" t="s">
        <v>315</v>
      </c>
    </row>
    <row r="49" spans="22:22" x14ac:dyDescent="0.25">
      <c r="V49" s="1" t="s">
        <v>316</v>
      </c>
    </row>
    <row r="50" spans="22:22" x14ac:dyDescent="0.25">
      <c r="V50" s="1" t="s">
        <v>317</v>
      </c>
    </row>
    <row r="51" spans="22:22" x14ac:dyDescent="0.25">
      <c r="V51" s="1" t="s">
        <v>364</v>
      </c>
    </row>
    <row r="52" spans="22:22" x14ac:dyDescent="0.25">
      <c r="V52" s="1" t="s">
        <v>26</v>
      </c>
    </row>
    <row r="53" spans="22:22" x14ac:dyDescent="0.25">
      <c r="V53" s="1" t="s">
        <v>232</v>
      </c>
    </row>
    <row r="54" spans="22:22" x14ac:dyDescent="0.25">
      <c r="V54" s="1" t="s">
        <v>623</v>
      </c>
    </row>
  </sheetData>
  <mergeCells count="40">
    <mergeCell ref="C41:E41"/>
    <mergeCell ref="C42:E42"/>
    <mergeCell ref="C36:E36"/>
    <mergeCell ref="C37:E37"/>
    <mergeCell ref="C38:E38"/>
    <mergeCell ref="B39:E39"/>
    <mergeCell ref="G39:T39"/>
    <mergeCell ref="C40:E40"/>
    <mergeCell ref="C30:E30"/>
    <mergeCell ref="C31:E31"/>
    <mergeCell ref="C32:E32"/>
    <mergeCell ref="C33:E33"/>
    <mergeCell ref="C34:E34"/>
    <mergeCell ref="C35:E35"/>
    <mergeCell ref="C29:E29"/>
    <mergeCell ref="B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B13:D13"/>
    <mergeCell ref="E13:G13"/>
    <mergeCell ref="O13:Q13"/>
    <mergeCell ref="B15:E16"/>
    <mergeCell ref="G15:T15"/>
    <mergeCell ref="H16:I16"/>
    <mergeCell ref="M16:N16"/>
    <mergeCell ref="R16:S16"/>
    <mergeCell ref="O2:T7"/>
    <mergeCell ref="E10:G10"/>
    <mergeCell ref="I10:L10"/>
    <mergeCell ref="B12:D12"/>
    <mergeCell ref="E12:G12"/>
    <mergeCell ref="O12:Q12"/>
  </mergeCells>
  <dataValidations count="10">
    <dataValidation type="list" allowBlank="1" showInputMessage="1" showErrorMessage="1" sqref="I40:I41" xr:uid="{00000000-0002-0000-0400-000000000000}">
      <formula1>$V$44:$V$55</formula1>
    </dataValidation>
    <dataValidation type="list" allowBlank="1" showInputMessage="1" showErrorMessage="1" sqref="N27 S27" xr:uid="{00000000-0002-0000-0400-000001000000}">
      <formula1>$V$40:$V$48</formula1>
    </dataValidation>
    <dataValidation type="list" allowBlank="1" showInputMessage="1" showErrorMessage="1" sqref="S31" xr:uid="{00000000-0002-0000-0400-000002000000}">
      <formula1>$V$40:$V$50</formula1>
    </dataValidation>
    <dataValidation type="list" allowBlank="1" showInputMessage="1" showErrorMessage="1" sqref="N31" xr:uid="{00000000-0002-0000-0400-000003000000}">
      <formula1>$V$40:$V$51</formula1>
    </dataValidation>
    <dataValidation type="list" allowBlank="1" showInputMessage="1" showErrorMessage="1" sqref="M23:M38 H23:H38 R23:R38" xr:uid="{00000000-0002-0000-0400-000004000000}">
      <formula1>$W$22:$W$24</formula1>
    </dataValidation>
    <dataValidation type="list" allowBlank="1" showInputMessage="1" showErrorMessage="1" sqref="B15:E16" xr:uid="{00000000-0002-0000-0400-000005000000}">
      <formula1>$X$16:$X$20</formula1>
    </dataValidation>
    <dataValidation type="list" allowBlank="1" showInputMessage="1" showErrorMessage="1" sqref="M40 R40 H40" xr:uid="{00000000-0002-0000-0400-000006000000}">
      <formula1>$W$16:$W$20</formula1>
    </dataValidation>
    <dataValidation type="list" allowBlank="1" showInputMessage="1" showErrorMessage="1" sqref="H41:H42 R41:R42 M41:M42" xr:uid="{00000000-0002-0000-0400-000007000000}">
      <formula1>$W$16:$W$18</formula1>
    </dataValidation>
    <dataValidation type="list" allowBlank="1" showInputMessage="1" showErrorMessage="1" sqref="S42 N40:N42 I42" xr:uid="{00000000-0002-0000-0400-000008000000}">
      <formula1>$V$44:$V$49</formula1>
    </dataValidation>
    <dataValidation type="list" allowBlank="1" showInputMessage="1" showErrorMessage="1" sqref="I31" xr:uid="{00000000-0002-0000-0400-000009000000}">
      <formula1>$V$40:$V$58</formula1>
    </dataValidation>
  </dataValidations>
  <pageMargins left="0.25" right="0.25" top="0.75" bottom="0.75" header="0.3" footer="0.3"/>
  <pageSetup paperSize="9" scale="67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4">
        <x14:dataValidation type="list" allowBlank="1" showInputMessage="1" showErrorMessage="1" xr:uid="{00000000-0002-0000-0400-00000A000000}">
          <x14:formula1>
            <xm:f>'Warm Up'!$L:$L</xm:f>
          </x14:formula1>
          <xm:sqref>O13</xm:sqref>
        </x14:dataValidation>
        <x14:dataValidation type="list" allowBlank="1" showInputMessage="1" showErrorMessage="1" xr:uid="{00000000-0002-0000-0400-00000B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400-00000C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400-00000D000000}">
          <x14:formula1>
            <xm:f>'Warm Up'!$D:$D</xm:f>
          </x14:formula1>
          <xm:sqref>I12</xm:sqref>
        </x14:dataValidation>
        <x14:dataValidation type="list" allowBlank="1" showInputMessage="1" showErrorMessage="1" xr:uid="{00000000-0002-0000-0400-00000E000000}">
          <x14:formula1>
            <xm:f>'Warm Up'!$E:$E</xm:f>
          </x14:formula1>
          <xm:sqref>M12</xm:sqref>
        </x14:dataValidation>
        <x14:dataValidation type="list" allowBlank="1" showInputMessage="1" showErrorMessage="1" xr:uid="{00000000-0002-0000-0400-00000F000000}">
          <x14:formula1>
            <xm:f>'Warm Up'!$F:$F</xm:f>
          </x14:formula1>
          <xm:sqref>O12</xm:sqref>
        </x14:dataValidation>
        <x14:dataValidation type="list" allowBlank="1" showInputMessage="1" showErrorMessage="1" xr:uid="{00000000-0002-0000-0400-000010000000}">
          <x14:formula1>
            <xm:f>'Warm Up'!$G:$G</xm:f>
          </x14:formula1>
          <xm:sqref>S12</xm:sqref>
        </x14:dataValidation>
        <x14:dataValidation type="list" allowBlank="1" showInputMessage="1" showErrorMessage="1" xr:uid="{00000000-0002-0000-0400-000011000000}">
          <x14:formula1>
            <xm:f>'Warm Up'!$H:$H</xm:f>
          </x14:formula1>
          <xm:sqref>B13</xm:sqref>
        </x14:dataValidation>
        <x14:dataValidation type="list" allowBlank="1" showInputMessage="1" showErrorMessage="1" xr:uid="{00000000-0002-0000-0400-000012000000}">
          <x14:formula1>
            <xm:f>'Warm Up'!$I:$I</xm:f>
          </x14:formula1>
          <xm:sqref>E13</xm:sqref>
        </x14:dataValidation>
        <x14:dataValidation type="list" allowBlank="1" showInputMessage="1" showErrorMessage="1" xr:uid="{00000000-0002-0000-0400-000013000000}">
          <x14:formula1>
            <xm:f>'Warm Up'!$J:$J</xm:f>
          </x14:formula1>
          <xm:sqref>I13</xm:sqref>
        </x14:dataValidation>
        <x14:dataValidation type="list" allowBlank="1" showInputMessage="1" showErrorMessage="1" xr:uid="{00000000-0002-0000-0400-000014000000}">
          <x14:formula1>
            <xm:f>'Warm Up'!$K:$K</xm:f>
          </x14:formula1>
          <xm:sqref>M13</xm:sqref>
        </x14:dataValidation>
        <x14:dataValidation type="list" allowBlank="1" showInputMessage="1" showErrorMessage="1" xr:uid="{00000000-0002-0000-0400-000015000000}">
          <x14:formula1>
            <xm:f>'Warm Up'!$M:$M</xm:f>
          </x14:formula1>
          <xm:sqref>S13</xm:sqref>
        </x14:dataValidation>
        <x14:dataValidation type="list" allowBlank="1" showInputMessage="1" showErrorMessage="1" xr:uid="{00000000-0002-0000-0400-000016000000}">
          <x14:formula1>
            <xm:f>' Unterkörper Progressionen '!$C:$C</xm:f>
          </x14:formula1>
          <xm:sqref>C19:E19</xm:sqref>
        </x14:dataValidation>
        <x14:dataValidation type="list" allowBlank="1" showInputMessage="1" showErrorMessage="1" xr:uid="{00000000-0002-0000-0400-000017000000}">
          <x14:formula1>
            <xm:f>' Unterkörper Progressionen '!$B:$B</xm:f>
          </x14:formula1>
          <xm:sqref>C18:E18</xm:sqref>
        </x14:dataValidation>
        <x14:dataValidation type="list" allowBlank="1" showInputMessage="1" showErrorMessage="1" xr:uid="{00000000-0002-0000-0400-000018000000}">
          <x14:formula1>
            <xm:f>' Unterkörper Progressionen '!$G:$G</xm:f>
          </x14:formula1>
          <xm:sqref>C25:E25</xm:sqref>
        </x14:dataValidation>
        <x14:dataValidation type="list" allowBlank="1" showInputMessage="1" showErrorMessage="1" xr:uid="{00000000-0002-0000-0400-000019000000}">
          <x14:formula1>
            <xm:f>' Unterkörper Progressionen '!$M:$M</xm:f>
          </x14:formula1>
          <xm:sqref>C31:E31</xm:sqref>
        </x14:dataValidation>
        <x14:dataValidation type="list" allowBlank="1" showInputMessage="1" showErrorMessage="1" xr:uid="{00000000-0002-0000-0400-00001A000000}">
          <x14:formula1>
            <xm:f>' Unterkörper Progressionen '!$N:$N</xm:f>
          </x14:formula1>
          <xm:sqref>C32:E32</xm:sqref>
        </x14:dataValidation>
        <x14:dataValidation type="list" allowBlank="1" showInputMessage="1" showErrorMessage="1" xr:uid="{00000000-0002-0000-0400-00001B000000}">
          <x14:formula1>
            <xm:f>' Unterkörper Progressionen '!$R:$R</xm:f>
          </x14:formula1>
          <xm:sqref>C36:E36</xm:sqref>
        </x14:dataValidation>
        <x14:dataValidation type="list" allowBlank="1" showInputMessage="1" showErrorMessage="1" xr:uid="{00000000-0002-0000-0400-00001C000000}">
          <x14:formula1>
            <xm:f>' Unterkörper Progressionen '!$S:$S</xm:f>
          </x14:formula1>
          <xm:sqref>C37:E37</xm:sqref>
        </x14:dataValidation>
        <x14:dataValidation type="list" allowBlank="1" showInputMessage="1" showErrorMessage="1" xr:uid="{00000000-0002-0000-0400-00001D000000}">
          <x14:formula1>
            <xm:f>' Unterkörper Progressionen '!$E:$E</xm:f>
          </x14:formula1>
          <xm:sqref>C23:E23</xm:sqref>
        </x14:dataValidation>
        <x14:dataValidation type="list" allowBlank="1" showInputMessage="1" showErrorMessage="1" xr:uid="{00000000-0002-0000-0400-00001E000000}">
          <x14:formula1>
            <xm:f>' Unterkörper Progressionen '!$D:$D</xm:f>
          </x14:formula1>
          <xm:sqref>C20:E20</xm:sqref>
        </x14:dataValidation>
        <x14:dataValidation type="list" allowBlank="1" showInputMessage="1" showErrorMessage="1" xr:uid="{00000000-0002-0000-0400-00001F000000}">
          <x14:formula1>
            <xm:f>' Unterkörper Progressionen '!$U:$U</xm:f>
          </x14:formula1>
          <xm:sqref>C40:E40</xm:sqref>
        </x14:dataValidation>
        <x14:dataValidation type="list" allowBlank="1" showInputMessage="1" showErrorMessage="1" xr:uid="{00000000-0002-0000-0400-000020000000}">
          <x14:formula1>
            <xm:f>' Unterkörper Progressionen '!$T:$T</xm:f>
          </x14:formula1>
          <xm:sqref>C38:E38</xm:sqref>
        </x14:dataValidation>
        <x14:dataValidation type="list" allowBlank="1" showInputMessage="1" showErrorMessage="1" xr:uid="{00000000-0002-0000-0400-000021000000}">
          <x14:formula1>
            <xm:f>' Unterkörper Progressionen '!$W:$W</xm:f>
          </x14:formula1>
          <xm:sqref>C41:E41</xm:sqref>
        </x14:dataValidation>
        <x14:dataValidation type="list" allowBlank="1" showInputMessage="1" showErrorMessage="1" xr:uid="{00000000-0002-0000-0400-000022000000}">
          <x14:formula1>
            <xm:f>' Unterkörper Progressionen '!$V:$V</xm:f>
          </x14:formula1>
          <xm:sqref>C42:E42</xm:sqref>
        </x14:dataValidation>
        <x14:dataValidation type="list" allowBlank="1" showInputMessage="1" showErrorMessage="1" xr:uid="{00000000-0002-0000-0400-000023000000}">
          <x14:formula1>
            <xm:f>' Unterkörper Progressionen '!$I:$I</xm:f>
          </x14:formula1>
          <xm:sqref>C27:E27</xm:sqref>
        </x14:dataValidation>
        <x14:dataValidation type="list" allowBlank="1" showInputMessage="1" showErrorMessage="1" xr:uid="{00000000-0002-0000-0400-000024000000}">
          <x14:formula1>
            <xm:f>' Unterkörper Progressionen '!$H:$H</xm:f>
          </x14:formula1>
          <xm:sqref>C26:E26</xm:sqref>
        </x14:dataValidation>
        <x14:dataValidation type="list" allowBlank="1" showInputMessage="1" showErrorMessage="1" xr:uid="{00000000-0002-0000-0400-000025000000}">
          <x14:formula1>
            <xm:f>' Unterkörper Progressionen '!$J:$J</xm:f>
          </x14:formula1>
          <xm:sqref>C28:E28</xm:sqref>
        </x14:dataValidation>
        <x14:dataValidation type="list" allowBlank="1" showInputMessage="1" showErrorMessage="1" xr:uid="{00000000-0002-0000-0400-000026000000}">
          <x14:formula1>
            <xm:f>' Unterkörper Progressionen '!$L:$L</xm:f>
          </x14:formula1>
          <xm:sqref>C30:E30</xm:sqref>
        </x14:dataValidation>
        <x14:dataValidation type="list" allowBlank="1" showInputMessage="1" showErrorMessage="1" xr:uid="{00000000-0002-0000-0400-000027000000}">
          <x14:formula1>
            <xm:f>' Unterkörper Progressionen '!$K:$K</xm:f>
          </x14:formula1>
          <xm:sqref>C29:E29</xm:sqref>
        </x14:dataValidation>
        <x14:dataValidation type="list" allowBlank="1" showInputMessage="1" showErrorMessage="1" xr:uid="{00000000-0002-0000-0400-000028000000}">
          <x14:formula1>
            <xm:f>' Unterkörper Progressionen '!$O:$O</xm:f>
          </x14:formula1>
          <xm:sqref>C33:E33</xm:sqref>
        </x14:dataValidation>
        <x14:dataValidation type="list" allowBlank="1" showInputMessage="1" showErrorMessage="1" xr:uid="{00000000-0002-0000-0400-000029000000}">
          <x14:formula1>
            <xm:f>' Unterkörper Progressionen '!$P:$P</xm:f>
          </x14:formula1>
          <xm:sqref>C34:E34</xm:sqref>
        </x14:dataValidation>
        <x14:dataValidation type="list" allowBlank="1" showInputMessage="1" showErrorMessage="1" xr:uid="{00000000-0002-0000-0400-00002A000000}">
          <x14:formula1>
            <xm:f>' Unterkörper Progressionen '!$Q:$Q</xm:f>
          </x14:formula1>
          <xm:sqref>C35:E35</xm:sqref>
        </x14:dataValidation>
        <x14:dataValidation type="list" allowBlank="1" showInputMessage="1" showErrorMessage="1" xr:uid="{00000000-0002-0000-0400-00002B000000}">
          <x14:formula1>
            <xm:f>' Unterkörper Progressionen '!$F:$F</xm:f>
          </x14:formula1>
          <xm:sqref>C24:E24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W48"/>
  <sheetViews>
    <sheetView zoomScale="57" zoomScaleNormal="70" workbookViewId="0">
      <selection activeCell="B2" sqref="B2:T39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76" t="str">
        <f>UnterkörperA!C5</f>
        <v>NAME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76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76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x14ac:dyDescent="0.25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e">
        <f>UnterkörperA!#REF!</f>
        <v>#REF!</v>
      </c>
      <c r="T10" s="64"/>
    </row>
    <row r="11" spans="2:23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34" customFormat="1" ht="15.6" customHeight="1" x14ac:dyDescent="0.25">
      <c r="B12" s="374" t="s">
        <v>137</v>
      </c>
      <c r="C12" s="373"/>
      <c r="D12" s="373"/>
      <c r="E12" s="373" t="s">
        <v>168</v>
      </c>
      <c r="F12" s="373"/>
      <c r="G12" s="373"/>
      <c r="H12" s="373" t="s">
        <v>53</v>
      </c>
      <c r="I12" s="373"/>
      <c r="J12" s="373"/>
      <c r="K12" s="66"/>
      <c r="L12" s="373" t="s">
        <v>321</v>
      </c>
      <c r="M12" s="373"/>
      <c r="N12" s="373"/>
      <c r="O12" s="373" t="s">
        <v>599</v>
      </c>
      <c r="P12" s="373"/>
      <c r="Q12" s="373"/>
      <c r="R12" s="373" t="s">
        <v>561</v>
      </c>
      <c r="S12" s="373"/>
      <c r="T12" s="377"/>
    </row>
    <row r="13" spans="2:23" s="34" customFormat="1" ht="15.6" customHeight="1" x14ac:dyDescent="0.25">
      <c r="B13" s="376" t="s">
        <v>138</v>
      </c>
      <c r="C13" s="375"/>
      <c r="D13" s="375"/>
      <c r="E13" s="375" t="s">
        <v>139</v>
      </c>
      <c r="F13" s="375"/>
      <c r="G13" s="375"/>
      <c r="H13" s="375" t="s">
        <v>145</v>
      </c>
      <c r="I13" s="375"/>
      <c r="J13" s="375"/>
      <c r="L13" s="375" t="s">
        <v>146</v>
      </c>
      <c r="M13" s="375"/>
      <c r="N13" s="375"/>
      <c r="O13" s="375" t="s">
        <v>583</v>
      </c>
      <c r="P13" s="375"/>
      <c r="Q13" s="375"/>
      <c r="R13" s="375" t="s">
        <v>147</v>
      </c>
      <c r="S13" s="375"/>
      <c r="T13" s="379"/>
    </row>
    <row r="14" spans="2:23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3" ht="16.5" thickBot="1" x14ac:dyDescent="0.3">
      <c r="B15" s="352" t="str">
        <f>UnterkörperC!B15</f>
        <v>Level C</v>
      </c>
      <c r="C15" s="353"/>
      <c r="D15" s="353"/>
      <c r="E15" s="354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6.5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235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629</v>
      </c>
      <c r="D19" s="343"/>
      <c r="E19" s="344"/>
      <c r="G19" s="68" t="s">
        <v>23</v>
      </c>
      <c r="H19" s="69"/>
      <c r="I19" s="69" t="s">
        <v>25</v>
      </c>
      <c r="J19" s="70" t="s">
        <v>592</v>
      </c>
      <c r="L19" s="68" t="s">
        <v>23</v>
      </c>
      <c r="M19" s="69"/>
      <c r="N19" s="69" t="s">
        <v>25</v>
      </c>
      <c r="O19" s="70" t="s">
        <v>592</v>
      </c>
      <c r="Q19" s="77" t="s">
        <v>23</v>
      </c>
      <c r="R19" s="78"/>
      <c r="S19" s="78" t="s">
        <v>25</v>
      </c>
      <c r="T19" s="79" t="s">
        <v>592</v>
      </c>
    </row>
    <row r="20" spans="2:23" s="1" customFormat="1" ht="19.899999999999999" customHeight="1" thickBot="1" x14ac:dyDescent="0.3">
      <c r="B20" s="4">
        <v>3</v>
      </c>
      <c r="C20" s="341" t="s">
        <v>634</v>
      </c>
      <c r="D20" s="341"/>
      <c r="E20" s="342"/>
      <c r="G20" s="24" t="s">
        <v>23</v>
      </c>
      <c r="H20" s="25"/>
      <c r="I20" s="25" t="s">
        <v>25</v>
      </c>
      <c r="J20" s="26" t="s">
        <v>592</v>
      </c>
      <c r="L20" s="24" t="s">
        <v>23</v>
      </c>
      <c r="M20" s="25"/>
      <c r="N20" s="25" t="s">
        <v>25</v>
      </c>
      <c r="O20" s="26" t="s">
        <v>592</v>
      </c>
      <c r="Q20" s="47" t="s">
        <v>23</v>
      </c>
      <c r="R20" s="48"/>
      <c r="S20" s="48" t="s">
        <v>25</v>
      </c>
      <c r="T20" s="49" t="s">
        <v>592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6.5" thickBot="1" x14ac:dyDescent="0.3">
      <c r="B22" s="338" t="s">
        <v>381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516</v>
      </c>
      <c r="D23" s="336"/>
      <c r="E23" s="337"/>
      <c r="G23" s="21"/>
      <c r="H23" s="22" t="s">
        <v>24</v>
      </c>
      <c r="I23" s="22" t="s">
        <v>17</v>
      </c>
      <c r="J23" s="23"/>
      <c r="L23" s="21"/>
      <c r="M23" s="22" t="s">
        <v>24</v>
      </c>
      <c r="N23" s="22" t="str">
        <f t="shared" ref="N23:N31" si="0">I23</f>
        <v>1x20</v>
      </c>
      <c r="O23" s="23"/>
      <c r="Q23" s="51"/>
      <c r="R23" s="53" t="s">
        <v>24</v>
      </c>
      <c r="S23" s="53" t="str">
        <f>N23</f>
        <v>1x20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273</v>
      </c>
      <c r="D24" s="343"/>
      <c r="E24" s="344"/>
      <c r="G24" s="27"/>
      <c r="H24" s="28" t="s">
        <v>24</v>
      </c>
      <c r="I24" s="28" t="s">
        <v>17</v>
      </c>
      <c r="J24" s="29"/>
      <c r="L24" s="27"/>
      <c r="M24" s="28" t="s">
        <v>24</v>
      </c>
      <c r="N24" s="28" t="str">
        <f t="shared" si="0"/>
        <v>1x20</v>
      </c>
      <c r="O24" s="29"/>
      <c r="Q24" s="55"/>
      <c r="R24" s="57" t="s">
        <v>24</v>
      </c>
      <c r="S24" s="57" t="str">
        <f>N24</f>
        <v>1x20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194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3" s="1" customFormat="1" ht="19.899999999999999" customHeight="1" x14ac:dyDescent="0.25">
      <c r="B26" s="9">
        <v>4</v>
      </c>
      <c r="C26" s="336" t="s">
        <v>528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3" s="1" customFormat="1" ht="19.899999999999999" customHeight="1" x14ac:dyDescent="0.25">
      <c r="B27" s="3">
        <v>5</v>
      </c>
      <c r="C27" s="343" t="s">
        <v>531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tr">
        <f>I27</f>
        <v>1x20/ea</v>
      </c>
      <c r="T27" s="58"/>
    </row>
    <row r="28" spans="2:23" s="1" customFormat="1" ht="19.899999999999999" customHeight="1" thickBot="1" x14ac:dyDescent="0.3">
      <c r="B28" s="4">
        <v>6</v>
      </c>
      <c r="C28" s="341" t="s">
        <v>434</v>
      </c>
      <c r="D28" s="341"/>
      <c r="E28" s="342"/>
      <c r="G28" s="24"/>
      <c r="H28" s="25" t="s">
        <v>24</v>
      </c>
      <c r="I28" s="25" t="s">
        <v>317</v>
      </c>
      <c r="J28" s="26"/>
      <c r="L28" s="24"/>
      <c r="M28" s="25" t="s">
        <v>24</v>
      </c>
      <c r="N28" s="25" t="str">
        <f t="shared" si="0"/>
        <v>3x10s/ea</v>
      </c>
      <c r="O28" s="26"/>
      <c r="Q28" s="47"/>
      <c r="R28" s="48" t="s">
        <v>24</v>
      </c>
      <c r="S28" s="48" t="str">
        <f>N28</f>
        <v>3x10s/ea</v>
      </c>
      <c r="T28" s="49"/>
    </row>
    <row r="29" spans="2:23" s="1" customFormat="1" ht="19.899999999999999" customHeight="1" x14ac:dyDescent="0.25">
      <c r="B29" s="9">
        <v>7</v>
      </c>
      <c r="C29" s="336" t="s">
        <v>534</v>
      </c>
      <c r="D29" s="336"/>
      <c r="E29" s="337"/>
      <c r="G29" s="21"/>
      <c r="H29" s="22" t="s">
        <v>24</v>
      </c>
      <c r="I29" s="22" t="s">
        <v>17</v>
      </c>
      <c r="J29" s="23"/>
      <c r="L29" s="21"/>
      <c r="M29" s="22" t="s">
        <v>24</v>
      </c>
      <c r="N29" s="22" t="str">
        <f t="shared" si="0"/>
        <v>1x20</v>
      </c>
      <c r="O29" s="23"/>
      <c r="Q29" s="51"/>
      <c r="R29" s="53" t="s">
        <v>24</v>
      </c>
      <c r="S29" s="53" t="str">
        <f>N29</f>
        <v>1x20</v>
      </c>
      <c r="T29" s="54"/>
    </row>
    <row r="30" spans="2:23" s="1" customFormat="1" ht="19.899999999999999" customHeight="1" x14ac:dyDescent="0.25">
      <c r="B30" s="3">
        <v>8</v>
      </c>
      <c r="C30" s="343" t="s">
        <v>285</v>
      </c>
      <c r="D30" s="343"/>
      <c r="E30" s="344"/>
      <c r="G30" s="27"/>
      <c r="H30" s="28" t="s">
        <v>24</v>
      </c>
      <c r="I30" s="28" t="s">
        <v>17</v>
      </c>
      <c r="J30" s="29"/>
      <c r="L30" s="27"/>
      <c r="M30" s="28" t="s">
        <v>24</v>
      </c>
      <c r="N30" s="28" t="str">
        <f t="shared" si="0"/>
        <v>1x20</v>
      </c>
      <c r="O30" s="29"/>
      <c r="Q30" s="55"/>
      <c r="R30" s="57" t="s">
        <v>24</v>
      </c>
      <c r="S30" s="57" t="str">
        <f>N30</f>
        <v>1x20</v>
      </c>
      <c r="T30" s="58"/>
    </row>
    <row r="31" spans="2:23" s="1" customFormat="1" ht="19.899999999999999" customHeight="1" thickBot="1" x14ac:dyDescent="0.3">
      <c r="B31" s="4">
        <v>9</v>
      </c>
      <c r="C31" s="341" t="s">
        <v>539</v>
      </c>
      <c r="D31" s="341"/>
      <c r="E31" s="342"/>
      <c r="G31" s="24"/>
      <c r="H31" s="25" t="s">
        <v>24</v>
      </c>
      <c r="I31" s="25" t="s">
        <v>17</v>
      </c>
      <c r="J31" s="26"/>
      <c r="L31" s="24"/>
      <c r="M31" s="25" t="s">
        <v>24</v>
      </c>
      <c r="N31" s="25" t="str">
        <f t="shared" si="0"/>
        <v>1x20</v>
      </c>
      <c r="O31" s="26"/>
      <c r="Q31" s="47"/>
      <c r="R31" s="48" t="s">
        <v>24</v>
      </c>
      <c r="S31" s="25" t="str">
        <f>N31</f>
        <v>1x20</v>
      </c>
      <c r="T31" s="49"/>
    </row>
    <row r="32" spans="2:23" s="1" customFormat="1" ht="19.899999999999999" customHeight="1" x14ac:dyDescent="0.25">
      <c r="B32" s="9">
        <v>10</v>
      </c>
      <c r="C32" s="336" t="s">
        <v>168</v>
      </c>
      <c r="D32" s="336"/>
      <c r="E32" s="337"/>
      <c r="G32" s="21"/>
      <c r="H32" s="22" t="s">
        <v>24</v>
      </c>
      <c r="I32" s="22" t="s">
        <v>594</v>
      </c>
      <c r="J32" s="23"/>
      <c r="L32" s="21"/>
      <c r="M32" s="22" t="s">
        <v>24</v>
      </c>
      <c r="N32" s="22" t="s">
        <v>595</v>
      </c>
      <c r="O32" s="23"/>
      <c r="Q32" s="21"/>
      <c r="R32" s="22" t="s">
        <v>24</v>
      </c>
      <c r="S32" s="22" t="s">
        <v>596</v>
      </c>
      <c r="T32" s="23"/>
    </row>
    <row r="33" spans="2:22" s="1" customFormat="1" ht="19.899999999999999" customHeight="1" x14ac:dyDescent="0.25">
      <c r="B33" s="3">
        <v>11</v>
      </c>
      <c r="C33" s="343" t="s">
        <v>286</v>
      </c>
      <c r="D33" s="343"/>
      <c r="E33" s="344"/>
      <c r="G33" s="27"/>
      <c r="H33" s="28" t="s">
        <v>24</v>
      </c>
      <c r="I33" s="28" t="s">
        <v>624</v>
      </c>
      <c r="J33" s="29"/>
      <c r="L33" s="27"/>
      <c r="M33" s="28" t="s">
        <v>24</v>
      </c>
      <c r="N33" s="28" t="str">
        <f>I33</f>
        <v>1x20/ea</v>
      </c>
      <c r="O33" s="29"/>
      <c r="Q33" s="27"/>
      <c r="R33" s="28" t="s">
        <v>24</v>
      </c>
      <c r="S33" s="28" t="str">
        <f>N33</f>
        <v>1x20/ea</v>
      </c>
      <c r="T33" s="29"/>
    </row>
    <row r="34" spans="2:22" s="1" customFormat="1" ht="19.899999999999999" customHeight="1" thickBot="1" x14ac:dyDescent="0.3">
      <c r="B34" s="4">
        <v>12</v>
      </c>
      <c r="C34" s="341" t="s">
        <v>542</v>
      </c>
      <c r="D34" s="341"/>
      <c r="E34" s="342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>I34</f>
        <v>1x20/ea</v>
      </c>
      <c r="O34" s="26"/>
      <c r="Q34" s="47"/>
      <c r="R34" s="48" t="s">
        <v>24</v>
      </c>
      <c r="S34" s="48" t="str">
        <f>N34</f>
        <v>1x20/ea</v>
      </c>
      <c r="T34" s="49"/>
    </row>
    <row r="35" spans="2:22" s="2" customFormat="1" ht="16.149999999999999" customHeight="1" thickBot="1" x14ac:dyDescent="0.3">
      <c r="B35" s="338" t="s">
        <v>382</v>
      </c>
      <c r="C35" s="339"/>
      <c r="D35" s="339"/>
      <c r="E35" s="340"/>
      <c r="F35" s="81"/>
      <c r="G35" s="333"/>
      <c r="H35" s="334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5"/>
    </row>
    <row r="36" spans="2:22" s="1" customFormat="1" ht="19.899999999999999" customHeight="1" x14ac:dyDescent="0.25">
      <c r="B36" s="9">
        <v>13</v>
      </c>
      <c r="C36" s="336" t="s">
        <v>554</v>
      </c>
      <c r="D36" s="336"/>
      <c r="E36" s="337"/>
      <c r="G36" s="21"/>
      <c r="H36" s="22" t="s">
        <v>24</v>
      </c>
      <c r="I36" s="22" t="s">
        <v>233</v>
      </c>
      <c r="J36" s="23"/>
      <c r="L36" s="21"/>
      <c r="M36" s="22" t="s">
        <v>24</v>
      </c>
      <c r="N36" s="22" t="s">
        <v>233</v>
      </c>
      <c r="O36" s="23"/>
      <c r="Q36" s="21"/>
      <c r="R36" s="22" t="s">
        <v>24</v>
      </c>
      <c r="S36" s="22" t="str">
        <f>N36</f>
        <v>1x60s</v>
      </c>
      <c r="T36" s="23"/>
    </row>
    <row r="37" spans="2:22" s="1" customFormat="1" ht="19.899999999999999" customHeight="1" x14ac:dyDescent="0.25">
      <c r="B37" s="3">
        <v>14</v>
      </c>
      <c r="C37" s="343" t="s">
        <v>555</v>
      </c>
      <c r="D37" s="343"/>
      <c r="E37" s="344"/>
      <c r="G37" s="18"/>
      <c r="H37" s="28" t="s">
        <v>24</v>
      </c>
      <c r="I37" s="19" t="s">
        <v>233</v>
      </c>
      <c r="J37" s="20"/>
      <c r="L37" s="18"/>
      <c r="M37" s="19" t="str">
        <f>H37</f>
        <v>8-9</v>
      </c>
      <c r="N37" s="19" t="str">
        <f>I37</f>
        <v>1x60s</v>
      </c>
      <c r="O37" s="20"/>
      <c r="Q37" s="18"/>
      <c r="R37" s="19" t="str">
        <f>M37</f>
        <v>8-9</v>
      </c>
      <c r="S37" s="19" t="str">
        <f>N37</f>
        <v>1x60s</v>
      </c>
      <c r="T37" s="20"/>
    </row>
    <row r="38" spans="2:22" s="1" customFormat="1" ht="19.899999999999999" customHeight="1" x14ac:dyDescent="0.25">
      <c r="B38" s="3">
        <v>15</v>
      </c>
      <c r="C38" s="343" t="s">
        <v>547</v>
      </c>
      <c r="D38" s="343"/>
      <c r="E38" s="344"/>
      <c r="G38" s="27"/>
      <c r="H38" s="28" t="s">
        <v>24</v>
      </c>
      <c r="I38" s="28" t="s">
        <v>233</v>
      </c>
      <c r="J38" s="29"/>
      <c r="L38" s="27"/>
      <c r="M38" s="28" t="s">
        <v>24</v>
      </c>
      <c r="N38" s="28" t="str">
        <f>I38</f>
        <v>1x60s</v>
      </c>
      <c r="O38" s="29"/>
      <c r="Q38" s="27"/>
      <c r="R38" s="28" t="s">
        <v>24</v>
      </c>
      <c r="S38" s="28" t="str">
        <f>N36</f>
        <v>1x60s</v>
      </c>
      <c r="T38" s="29"/>
    </row>
    <row r="39" spans="2:22" s="1" customFormat="1" ht="19.899999999999999" customHeight="1" thickBot="1" x14ac:dyDescent="0.3">
      <c r="B39" s="4">
        <v>16</v>
      </c>
      <c r="C39" s="347" t="s">
        <v>641</v>
      </c>
      <c r="D39" s="347"/>
      <c r="E39" s="348"/>
      <c r="F39" s="67"/>
      <c r="G39" s="24"/>
      <c r="H39" s="25" t="s">
        <v>24</v>
      </c>
      <c r="I39" s="25" t="s">
        <v>316</v>
      </c>
      <c r="J39" s="26"/>
      <c r="K39" s="67"/>
      <c r="L39" s="24"/>
      <c r="M39" s="25" t="s">
        <v>24</v>
      </c>
      <c r="N39" s="25" t="str">
        <f>I39</f>
        <v>1x60s/ea</v>
      </c>
      <c r="O39" s="26"/>
      <c r="P39" s="67"/>
      <c r="Q39" s="24"/>
      <c r="R39" s="25" t="s">
        <v>24</v>
      </c>
      <c r="S39" s="25" t="str">
        <f>I39</f>
        <v>1x60s/ea</v>
      </c>
      <c r="T39" s="26"/>
    </row>
    <row r="40" spans="2:22" x14ac:dyDescent="0.25">
      <c r="V40" s="1" t="s">
        <v>313</v>
      </c>
    </row>
    <row r="41" spans="2:22" x14ac:dyDescent="0.25">
      <c r="V41" s="1" t="s">
        <v>28</v>
      </c>
    </row>
    <row r="42" spans="2:22" x14ac:dyDescent="0.25">
      <c r="V42" s="1" t="s">
        <v>29</v>
      </c>
    </row>
    <row r="43" spans="2:22" x14ac:dyDescent="0.25">
      <c r="V43" s="1" t="s">
        <v>26</v>
      </c>
    </row>
    <row r="44" spans="2:22" x14ac:dyDescent="0.25">
      <c r="V44" s="1" t="s">
        <v>232</v>
      </c>
    </row>
    <row r="45" spans="2:22" x14ac:dyDescent="0.25">
      <c r="V45" s="1" t="s">
        <v>233</v>
      </c>
    </row>
    <row r="46" spans="2:22" x14ac:dyDescent="0.25">
      <c r="V46" s="1" t="s">
        <v>296</v>
      </c>
    </row>
    <row r="47" spans="2:22" x14ac:dyDescent="0.25">
      <c r="V47" s="1" t="s">
        <v>17</v>
      </c>
    </row>
    <row r="48" spans="2:22" x14ac:dyDescent="0.25">
      <c r="V48" s="1" t="s">
        <v>606</v>
      </c>
    </row>
  </sheetData>
  <mergeCells count="42">
    <mergeCell ref="G35:T35"/>
    <mergeCell ref="C36:E36"/>
    <mergeCell ref="C37:E37"/>
    <mergeCell ref="C38:E38"/>
    <mergeCell ref="C39:E39"/>
    <mergeCell ref="R13:T13"/>
    <mergeCell ref="C30:E30"/>
    <mergeCell ref="C31:E31"/>
    <mergeCell ref="C32:E32"/>
    <mergeCell ref="C33:E33"/>
    <mergeCell ref="B17:E17"/>
    <mergeCell ref="C18:E18"/>
    <mergeCell ref="C19:E19"/>
    <mergeCell ref="C20:E20"/>
    <mergeCell ref="B22:E22"/>
    <mergeCell ref="C23:E23"/>
    <mergeCell ref="B13:D13"/>
    <mergeCell ref="E13:G13"/>
    <mergeCell ref="H13:J13"/>
    <mergeCell ref="L13:N13"/>
    <mergeCell ref="O13:Q13"/>
    <mergeCell ref="C34:E34"/>
    <mergeCell ref="B35:E35"/>
    <mergeCell ref="C24:E24"/>
    <mergeCell ref="C25:E25"/>
    <mergeCell ref="C26:E26"/>
    <mergeCell ref="C27:E27"/>
    <mergeCell ref="C28:E28"/>
    <mergeCell ref="C29:E29"/>
    <mergeCell ref="B15:E16"/>
    <mergeCell ref="G15:T15"/>
    <mergeCell ref="H16:I16"/>
    <mergeCell ref="M16:N16"/>
    <mergeCell ref="R16:S16"/>
    <mergeCell ref="O2:T7"/>
    <mergeCell ref="M10:N10"/>
    <mergeCell ref="B12:D12"/>
    <mergeCell ref="E12:G12"/>
    <mergeCell ref="H12:J12"/>
    <mergeCell ref="L12:N12"/>
    <mergeCell ref="O12:Q12"/>
    <mergeCell ref="R12:T12"/>
  </mergeCells>
  <dataValidations count="6">
    <dataValidation type="list" allowBlank="1" showInputMessage="1" showErrorMessage="1" sqref="M23:M34 H23:H34 R23:R34 R38:R39 H36:H39 R36 M36 M38:M39" xr:uid="{00000000-0002-0000-0500-000000000000}">
      <formula1>$W$22:$W$24</formula1>
    </dataValidation>
    <dataValidation type="list" allowBlank="1" showInputMessage="1" showErrorMessage="1" sqref="N38:N39 I36:I38 S36 N36 S38" xr:uid="{00000000-0002-0000-0500-000001000000}">
      <formula1>$V$40:$V$45</formula1>
    </dataValidation>
    <dataValidation type="list" allowBlank="1" showInputMessage="1" showErrorMessage="1" sqref="I31" xr:uid="{00000000-0002-0000-0500-000002000000}">
      <formula1>$V$40:$V$49</formula1>
    </dataValidation>
    <dataValidation type="list" allowBlank="1" showInputMessage="1" showErrorMessage="1" sqref="N31" xr:uid="{00000000-0002-0000-0500-000003000000}">
      <formula1>$V$40:$V$51</formula1>
    </dataValidation>
    <dataValidation type="list" allowBlank="1" showInputMessage="1" showErrorMessage="1" sqref="S31" xr:uid="{00000000-0002-0000-0500-000004000000}">
      <formula1>$V$40:$V$50</formula1>
    </dataValidation>
    <dataValidation type="list" allowBlank="1" showInputMessage="1" showErrorMessage="1" sqref="I24 N27" xr:uid="{00000000-0002-0000-0500-000005000000}">
      <formula1>$V$40:$V$48</formula1>
    </dataValidation>
  </dataValidations>
  <pageMargins left="0.25" right="0.25" top="0.75" bottom="0.75" header="0.3" footer="0.3"/>
  <pageSetup paperSize="9"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 showInputMessage="1" showErrorMessage="1" xr:uid="{00000000-0002-0000-0500-000019000000}">
          <x14:formula1>
            <xm:f>'Warm Up'!$D:$D</xm:f>
          </x14:formula1>
          <xm:sqref>H12</xm:sqref>
        </x14:dataValidation>
        <x14:dataValidation type="list" allowBlank="1" showInputMessage="1" showErrorMessage="1" xr:uid="{00000000-0002-0000-0500-00001A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500-00001B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500-00001C000000}">
          <x14:formula1>
            <xm:f>'Warm Up'!$E:$E</xm:f>
          </x14:formula1>
          <xm:sqref>L12:N12</xm:sqref>
        </x14:dataValidation>
        <x14:dataValidation type="list" allowBlank="1" showInputMessage="1" showErrorMessage="1" xr:uid="{00000000-0002-0000-0500-00001D000000}">
          <x14:formula1>
            <xm:f>'Warm Up'!$F:$F</xm:f>
          </x14:formula1>
          <xm:sqref>O12:Q12</xm:sqref>
        </x14:dataValidation>
        <x14:dataValidation type="list" allowBlank="1" showInputMessage="1" showErrorMessage="1" xr:uid="{00000000-0002-0000-0500-00001E000000}">
          <x14:formula1>
            <xm:f>'Warm Up'!$G:$G</xm:f>
          </x14:formula1>
          <xm:sqref>R12:T12</xm:sqref>
        </x14:dataValidation>
        <x14:dataValidation type="list" allowBlank="1" showInputMessage="1" showErrorMessage="1" xr:uid="{00000000-0002-0000-0500-00001F000000}">
          <x14:formula1>
            <xm:f>'Warm Up'!$H:$H</xm:f>
          </x14:formula1>
          <xm:sqref>B13:D13</xm:sqref>
        </x14:dataValidation>
        <x14:dataValidation type="list" allowBlank="1" showInputMessage="1" showErrorMessage="1" xr:uid="{00000000-0002-0000-0500-000020000000}">
          <x14:formula1>
            <xm:f>'Warm Up'!$I:$I</xm:f>
          </x14:formula1>
          <xm:sqref>E13:G13</xm:sqref>
        </x14:dataValidation>
        <x14:dataValidation type="list" allowBlank="1" showInputMessage="1" showErrorMessage="1" xr:uid="{00000000-0002-0000-0500-000021000000}">
          <x14:formula1>
            <xm:f>'Warm Up'!$J:$J</xm:f>
          </x14:formula1>
          <xm:sqref>H13:J13</xm:sqref>
        </x14:dataValidation>
        <x14:dataValidation type="list" allowBlank="1" showInputMessage="1" showErrorMessage="1" xr:uid="{00000000-0002-0000-0500-000022000000}">
          <x14:formula1>
            <xm:f>'Warm Up'!$K:$K</xm:f>
          </x14:formula1>
          <xm:sqref>L13:N13</xm:sqref>
        </x14:dataValidation>
        <x14:dataValidation type="list" allowBlank="1" showInputMessage="1" showErrorMessage="1" xr:uid="{00000000-0002-0000-0500-000023000000}">
          <x14:formula1>
            <xm:f>'Warm Up'!$L:$L</xm:f>
          </x14:formula1>
          <xm:sqref>O13:Q13</xm:sqref>
        </x14:dataValidation>
        <x14:dataValidation type="list" allowBlank="1" showInputMessage="1" showErrorMessage="1" xr:uid="{00000000-0002-0000-0500-000024000000}">
          <x14:formula1>
            <xm:f>'Warm Up'!$M:$M</xm:f>
          </x14:formula1>
          <xm:sqref>R13:T13</xm:sqref>
        </x14:dataValidation>
        <x14:dataValidation type="list" allowBlank="1" showInputMessage="1" showErrorMessage="1" xr:uid="{00000000-0002-0000-0500-000006000000}">
          <x14:formula1>
            <xm:f>'Oberkörper Progressionen '!$P:$P</xm:f>
          </x14:formula1>
          <xm:sqref>C34:E34</xm:sqref>
        </x14:dataValidation>
        <x14:dataValidation type="list" allowBlank="1" showInputMessage="1" showErrorMessage="1" xr:uid="{00000000-0002-0000-0500-000007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0500-000008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0500-000009000000}">
          <x14:formula1>
            <xm:f>'Oberkörper Progressionen '!$S:$S</xm:f>
          </x14:formula1>
          <xm:sqref>C39:E39</xm:sqref>
        </x14:dataValidation>
        <x14:dataValidation type="list" allowBlank="1" showInputMessage="1" showErrorMessage="1" xr:uid="{00000000-0002-0000-0500-00000A000000}">
          <x14:formula1>
            <xm:f>'Oberkörper Progressionen '!$R:$R</xm:f>
          </x14:formula1>
          <xm:sqref>C36:E36</xm:sqref>
        </x14:dataValidation>
        <x14:dataValidation type="list" allowBlank="1" showInputMessage="1" showErrorMessage="1" xr:uid="{00000000-0002-0000-0500-00000B000000}">
          <x14:formula1>
            <xm:f>'Oberkörper Progressionen '!$Q:$Q</xm:f>
          </x14:formula1>
          <xm:sqref>C38:E38</xm:sqref>
        </x14:dataValidation>
        <x14:dataValidation type="list" allowBlank="1" showInputMessage="1" showErrorMessage="1" xr:uid="{00000000-0002-0000-0500-00000C000000}">
          <x14:formula1>
            <xm:f>'Oberkörper Progressionen '!$O:$O</xm:f>
          </x14:formula1>
          <xm:sqref>C33:E33</xm:sqref>
        </x14:dataValidation>
        <x14:dataValidation type="list" allowBlank="1" showInputMessage="1" showErrorMessage="1" xr:uid="{00000000-0002-0000-0500-00000D000000}">
          <x14:formula1>
            <xm:f>'Oberkörper Progressionen '!$N:$N</xm:f>
          </x14:formula1>
          <xm:sqref>C32:E32</xm:sqref>
        </x14:dataValidation>
        <x14:dataValidation type="list" allowBlank="1" showInputMessage="1" showErrorMessage="1" xr:uid="{00000000-0002-0000-0500-00000E000000}">
          <x14:formula1>
            <xm:f>'Oberkörper Progressionen '!$L:$L</xm:f>
          </x14:formula1>
          <xm:sqref>C30:E30</xm:sqref>
        </x14:dataValidation>
        <x14:dataValidation type="list" allowBlank="1" showInputMessage="1" showErrorMessage="1" xr:uid="{00000000-0002-0000-0500-00000F000000}">
          <x14:formula1>
            <xm:f>'Oberkörper Progressionen '!$K:$K</xm:f>
          </x14:formula1>
          <xm:sqref>C29:E29</xm:sqref>
        </x14:dataValidation>
        <x14:dataValidation type="list" allowBlank="1" showInputMessage="1" showErrorMessage="1" xr:uid="{00000000-0002-0000-0500-000010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0500-000011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0500-000012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0500-000013000000}">
          <x14:formula1>
            <xm:f>'Oberkörper Progressionen '!$T:$T</xm:f>
          </x14:formula1>
          <xm:sqref>C37:E37</xm:sqref>
        </x14:dataValidation>
        <x14:dataValidation type="list" allowBlank="1" showInputMessage="1" showErrorMessage="1" xr:uid="{00000000-0002-0000-0500-000014000000}">
          <x14:formula1>
            <xm:f>'Oberkörper Progressionen '!$H:$H</xm:f>
          </x14:formula1>
          <xm:sqref>C26:E26</xm:sqref>
        </x14:dataValidation>
        <x14:dataValidation type="list" allowBlank="1" showInputMessage="1" showErrorMessage="1" xr:uid="{00000000-0002-0000-0500-000015000000}">
          <x14:formula1>
            <xm:f>'Oberkörper Progressionen '!$J:$J</xm:f>
          </x14:formula1>
          <xm:sqref>C28:E28</xm:sqref>
        </x14:dataValidation>
        <x14:dataValidation type="list" allowBlank="1" showInputMessage="1" showErrorMessage="1" xr:uid="{00000000-0002-0000-0500-000016000000}">
          <x14:formula1>
            <xm:f>'Oberkörper Progressionen '!$M:$M</xm:f>
          </x14:formula1>
          <xm:sqref>C31:E31</xm:sqref>
        </x14:dataValidation>
        <x14:dataValidation type="list" allowBlank="1" showInputMessage="1" showErrorMessage="1" xr:uid="{00000000-0002-0000-0500-000017000000}">
          <x14:formula1>
            <xm:f>'Oberkörper Progressionen '!$G:$G</xm:f>
          </x14:formula1>
          <xm:sqref>C25:E25</xm:sqref>
        </x14:dataValidation>
        <x14:dataValidation type="list" allowBlank="1" showInputMessage="1" showErrorMessage="1" xr:uid="{00000000-0002-0000-0500-000018000000}">
          <x14:formula1>
            <xm:f>'Oberkörper Progressionen '!$I:$I</xm:f>
          </x14:formula1>
          <xm:sqref>C27:E27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X54"/>
  <sheetViews>
    <sheetView zoomScale="78" zoomScaleNormal="110" workbookViewId="0">
      <selection activeCell="T42" sqref="B2:T42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4" ht="16.5" thickBot="1" x14ac:dyDescent="0.3"/>
    <row r="2" spans="2:24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4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4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4" x14ac:dyDescent="0.25">
      <c r="B5" s="7"/>
      <c r="C5" s="60" t="s">
        <v>216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4" x14ac:dyDescent="0.25">
      <c r="B6" s="7"/>
      <c r="C6" s="60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4" x14ac:dyDescent="0.25">
      <c r="B7" s="7"/>
      <c r="C7" s="60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4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4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4" x14ac:dyDescent="0.25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17</v>
      </c>
      <c r="T10" s="64"/>
    </row>
    <row r="11" spans="2:24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4" s="34" customFormat="1" ht="15.6" customHeight="1" x14ac:dyDescent="0.25">
      <c r="B12" s="374" t="s">
        <v>580</v>
      </c>
      <c r="C12" s="373"/>
      <c r="D12" s="373"/>
      <c r="E12" s="373" t="s">
        <v>295</v>
      </c>
      <c r="F12" s="373"/>
      <c r="G12" s="373"/>
      <c r="H12" s="66"/>
      <c r="I12" s="66" t="s">
        <v>579</v>
      </c>
      <c r="J12" s="66"/>
      <c r="K12" s="66"/>
      <c r="L12" s="66"/>
      <c r="M12" s="66" t="s">
        <v>396</v>
      </c>
      <c r="N12" s="66"/>
      <c r="O12" s="373" t="s">
        <v>600</v>
      </c>
      <c r="P12" s="373"/>
      <c r="Q12" s="373"/>
      <c r="R12" s="66"/>
      <c r="S12" s="66" t="s">
        <v>603</v>
      </c>
      <c r="T12" s="33"/>
    </row>
    <row r="13" spans="2:24" s="34" customFormat="1" ht="15.6" customHeight="1" x14ac:dyDescent="0.25">
      <c r="B13" s="376" t="s">
        <v>143</v>
      </c>
      <c r="C13" s="375"/>
      <c r="D13" s="375"/>
      <c r="E13" s="375" t="s">
        <v>578</v>
      </c>
      <c r="F13" s="375"/>
      <c r="G13" s="375"/>
      <c r="I13" s="34" t="s">
        <v>149</v>
      </c>
      <c r="M13" s="34" t="s">
        <v>150</v>
      </c>
      <c r="O13" s="375" t="s">
        <v>584</v>
      </c>
      <c r="P13" s="375"/>
      <c r="Q13" s="375"/>
      <c r="S13" s="34" t="s">
        <v>177</v>
      </c>
      <c r="T13" s="35"/>
    </row>
    <row r="14" spans="2:24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4" ht="16.5" thickBot="1" x14ac:dyDescent="0.3">
      <c r="B15" s="352" t="s">
        <v>645</v>
      </c>
      <c r="C15" s="353"/>
      <c r="D15" s="353"/>
      <c r="E15" s="354"/>
      <c r="F15" s="1"/>
      <c r="G15" s="338" t="s">
        <v>132</v>
      </c>
      <c r="H15" s="339"/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39"/>
      <c r="T15" s="340"/>
      <c r="X15" t="s">
        <v>311</v>
      </c>
    </row>
    <row r="16" spans="2:24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2" t="s">
        <v>165</v>
      </c>
      <c r="R16" s="358" t="s">
        <v>51</v>
      </c>
      <c r="S16" s="359"/>
      <c r="T16" s="72" t="s">
        <v>167</v>
      </c>
      <c r="W16" s="36"/>
      <c r="X16" s="1" t="s">
        <v>588</v>
      </c>
    </row>
    <row r="17" spans="2:24" ht="16.5" thickBot="1" x14ac:dyDescent="0.3">
      <c r="B17" s="338" t="s">
        <v>18</v>
      </c>
      <c r="C17" s="339"/>
      <c r="D17" s="339"/>
      <c r="E17" s="340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  <c r="W17" s="37"/>
      <c r="X17" s="1" t="s">
        <v>605</v>
      </c>
    </row>
    <row r="18" spans="2:24" s="1" customFormat="1" ht="19.899999999999999" customHeight="1" x14ac:dyDescent="0.25">
      <c r="B18" s="9">
        <v>1</v>
      </c>
      <c r="C18" s="336" t="s">
        <v>388</v>
      </c>
      <c r="D18" s="336"/>
      <c r="E18" s="337"/>
      <c r="G18" s="18" t="s">
        <v>23</v>
      </c>
      <c r="H18" s="19"/>
      <c r="I18" s="19" t="s">
        <v>643</v>
      </c>
      <c r="J18" s="20" t="s">
        <v>27</v>
      </c>
      <c r="L18" s="18" t="s">
        <v>23</v>
      </c>
      <c r="M18" s="19"/>
      <c r="N18" s="19" t="s">
        <v>644</v>
      </c>
      <c r="O18" s="20" t="s">
        <v>27</v>
      </c>
      <c r="Q18" s="44" t="s">
        <v>23</v>
      </c>
      <c r="R18" s="45"/>
      <c r="S18" s="45" t="s">
        <v>642</v>
      </c>
      <c r="T18" s="46" t="s">
        <v>27</v>
      </c>
      <c r="W18" s="36"/>
      <c r="X18" s="1" t="s">
        <v>607</v>
      </c>
    </row>
    <row r="19" spans="2:24" s="1" customFormat="1" ht="19.899999999999999" customHeight="1" x14ac:dyDescent="0.25">
      <c r="B19" s="3">
        <v>2</v>
      </c>
      <c r="C19" s="343" t="s">
        <v>621</v>
      </c>
      <c r="D19" s="343"/>
      <c r="E19" s="344"/>
      <c r="G19" s="68" t="s">
        <v>23</v>
      </c>
      <c r="H19" s="69"/>
      <c r="I19" s="69" t="s">
        <v>25</v>
      </c>
      <c r="J19" s="70"/>
      <c r="L19" s="68" t="s">
        <v>23</v>
      </c>
      <c r="M19" s="69"/>
      <c r="N19" s="69" t="s">
        <v>25</v>
      </c>
      <c r="O19" s="70"/>
      <c r="Q19" s="68" t="s">
        <v>23</v>
      </c>
      <c r="R19" s="69"/>
      <c r="S19" s="69" t="s">
        <v>25</v>
      </c>
      <c r="T19" s="70"/>
      <c r="W19" s="36"/>
      <c r="X19" s="1" t="s">
        <v>645</v>
      </c>
    </row>
    <row r="20" spans="2:24" s="1" customFormat="1" ht="19.899999999999999" customHeight="1" thickBot="1" x14ac:dyDescent="0.3">
      <c r="B20" s="4">
        <v>3</v>
      </c>
      <c r="C20" s="341" t="s">
        <v>622</v>
      </c>
      <c r="D20" s="341"/>
      <c r="E20" s="342"/>
      <c r="G20" s="24" t="s">
        <v>23</v>
      </c>
      <c r="H20" s="25"/>
      <c r="I20" s="25" t="s">
        <v>25</v>
      </c>
      <c r="J20" s="26"/>
      <c r="L20" s="24" t="s">
        <v>23</v>
      </c>
      <c r="M20" s="25"/>
      <c r="N20" s="25" t="s">
        <v>25</v>
      </c>
      <c r="O20" s="26"/>
      <c r="Q20" s="47" t="s">
        <v>23</v>
      </c>
      <c r="R20" s="48"/>
      <c r="S20" s="48" t="s">
        <v>25</v>
      </c>
      <c r="T20" s="49"/>
    </row>
    <row r="21" spans="2:24" s="2" customFormat="1" ht="4.9000000000000004" customHeight="1" thickBot="1" x14ac:dyDescent="0.3">
      <c r="B21" s="74"/>
      <c r="Q21" s="50"/>
      <c r="R21" s="50"/>
      <c r="S21" s="50"/>
      <c r="T21" s="75"/>
      <c r="X21" s="1"/>
    </row>
    <row r="22" spans="2:24" s="1" customFormat="1" ht="16.5" thickBot="1" x14ac:dyDescent="0.3">
      <c r="B22" s="338" t="s">
        <v>379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</row>
    <row r="23" spans="2:24" s="1" customFormat="1" ht="19.899999999999999" customHeight="1" x14ac:dyDescent="0.25">
      <c r="B23" s="9">
        <v>1</v>
      </c>
      <c r="C23" s="336" t="s">
        <v>396</v>
      </c>
      <c r="D23" s="336"/>
      <c r="E23" s="337"/>
      <c r="G23" s="21"/>
      <c r="H23" s="22" t="s">
        <v>24</v>
      </c>
      <c r="I23" s="22" t="s">
        <v>17</v>
      </c>
      <c r="J23" s="23"/>
      <c r="L23" s="21"/>
      <c r="M23" s="22" t="s">
        <v>24</v>
      </c>
      <c r="N23" s="22" t="str">
        <f t="shared" ref="N23:N31" si="0">I23</f>
        <v>1x20</v>
      </c>
      <c r="O23" s="23"/>
      <c r="Q23" s="51"/>
      <c r="R23" s="53" t="s">
        <v>24</v>
      </c>
      <c r="S23" s="53" t="str">
        <f>N23</f>
        <v>1x20</v>
      </c>
      <c r="T23" s="54"/>
    </row>
    <row r="24" spans="2:24" s="1" customFormat="1" ht="19.899999999999999" customHeight="1" x14ac:dyDescent="0.25">
      <c r="B24" s="3">
        <v>2</v>
      </c>
      <c r="C24" s="343" t="s">
        <v>563</v>
      </c>
      <c r="D24" s="343"/>
      <c r="E24" s="344"/>
      <c r="G24" s="27"/>
      <c r="H24" s="28" t="s">
        <v>24</v>
      </c>
      <c r="I24" s="28" t="s">
        <v>624</v>
      </c>
      <c r="J24" s="29"/>
      <c r="L24" s="27"/>
      <c r="M24" s="28" t="s">
        <v>24</v>
      </c>
      <c r="N24" s="28" t="str">
        <f t="shared" si="0"/>
        <v>1x20/ea</v>
      </c>
      <c r="O24" s="29"/>
      <c r="Q24" s="55"/>
      <c r="R24" s="57" t="s">
        <v>24</v>
      </c>
      <c r="S24" s="57" t="str">
        <f>N24</f>
        <v>1x20/ea</v>
      </c>
      <c r="T24" s="58"/>
    </row>
    <row r="25" spans="2:24" s="1" customFormat="1" ht="19.899999999999999" customHeight="1" thickBot="1" x14ac:dyDescent="0.3">
      <c r="B25" s="4">
        <v>3</v>
      </c>
      <c r="C25" s="341" t="s">
        <v>62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4" s="1" customFormat="1" ht="19.899999999999999" customHeight="1" x14ac:dyDescent="0.25">
      <c r="B26" s="9">
        <v>4</v>
      </c>
      <c r="C26" s="336" t="s">
        <v>428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4" s="1" customFormat="1" ht="19.899999999999999" customHeight="1" x14ac:dyDescent="0.25">
      <c r="B27" s="3">
        <v>5</v>
      </c>
      <c r="C27" s="343" t="s">
        <v>39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">
        <v>17</v>
      </c>
      <c r="T27" s="58"/>
    </row>
    <row r="28" spans="2:24" s="1" customFormat="1" ht="19.899999999999999" customHeight="1" thickBot="1" x14ac:dyDescent="0.3">
      <c r="B28" s="4">
        <v>6</v>
      </c>
      <c r="C28" s="341" t="s">
        <v>92</v>
      </c>
      <c r="D28" s="341"/>
      <c r="E28" s="342"/>
      <c r="G28" s="24"/>
      <c r="H28" s="25" t="s">
        <v>24</v>
      </c>
      <c r="I28" s="25" t="s">
        <v>317</v>
      </c>
      <c r="J28" s="26"/>
      <c r="L28" s="24"/>
      <c r="M28" s="25" t="s">
        <v>24</v>
      </c>
      <c r="N28" s="25" t="str">
        <f t="shared" si="0"/>
        <v>3x10s/ea</v>
      </c>
      <c r="O28" s="26"/>
      <c r="Q28" s="47"/>
      <c r="R28" s="48" t="s">
        <v>24</v>
      </c>
      <c r="S28" s="48" t="str">
        <f>N28</f>
        <v>3x10s/ea</v>
      </c>
      <c r="T28" s="49"/>
    </row>
    <row r="29" spans="2:24" s="1" customFormat="1" ht="19.899999999999999" customHeight="1" x14ac:dyDescent="0.25">
      <c r="B29" s="9">
        <v>7</v>
      </c>
      <c r="C29" s="336" t="s">
        <v>500</v>
      </c>
      <c r="D29" s="336"/>
      <c r="E29" s="337"/>
      <c r="G29" s="21"/>
      <c r="H29" s="22" t="s">
        <v>24</v>
      </c>
      <c r="I29" s="22" t="s">
        <v>624</v>
      </c>
      <c r="J29" s="23"/>
      <c r="L29" s="21"/>
      <c r="M29" s="22" t="s">
        <v>24</v>
      </c>
      <c r="N29" s="22" t="str">
        <f t="shared" si="0"/>
        <v>1x20/ea</v>
      </c>
      <c r="O29" s="23"/>
      <c r="Q29" s="51"/>
      <c r="R29" s="53" t="s">
        <v>24</v>
      </c>
      <c r="S29" s="53" t="str">
        <f>N29</f>
        <v>1x20/ea</v>
      </c>
      <c r="T29" s="54"/>
    </row>
    <row r="30" spans="2:24" s="1" customFormat="1" ht="19.899999999999999" customHeight="1" x14ac:dyDescent="0.25">
      <c r="B30" s="3">
        <v>8</v>
      </c>
      <c r="C30" s="343" t="s">
        <v>187</v>
      </c>
      <c r="D30" s="343"/>
      <c r="E30" s="344"/>
      <c r="G30" s="27"/>
      <c r="H30" s="28" t="s">
        <v>24</v>
      </c>
      <c r="I30" s="28" t="s">
        <v>135</v>
      </c>
      <c r="J30" s="29"/>
      <c r="L30" s="27"/>
      <c r="M30" s="28" t="s">
        <v>24</v>
      </c>
      <c r="N30" s="28" t="str">
        <f t="shared" si="0"/>
        <v>1x30s/ea</v>
      </c>
      <c r="O30" s="29"/>
      <c r="Q30" s="55"/>
      <c r="R30" s="57" t="s">
        <v>24</v>
      </c>
      <c r="S30" s="57" t="str">
        <f>N30</f>
        <v>1x30s/ea</v>
      </c>
      <c r="T30" s="58"/>
    </row>
    <row r="31" spans="2:24" s="1" customFormat="1" ht="19.899999999999999" customHeight="1" thickBot="1" x14ac:dyDescent="0.3">
      <c r="B31" s="4">
        <v>9</v>
      </c>
      <c r="C31" s="341" t="s">
        <v>106</v>
      </c>
      <c r="D31" s="341"/>
      <c r="E31" s="342"/>
      <c r="G31" s="24"/>
      <c r="H31" s="25" t="s">
        <v>24</v>
      </c>
      <c r="I31" s="25" t="s">
        <v>623</v>
      </c>
      <c r="J31" s="26"/>
      <c r="L31" s="24"/>
      <c r="M31" s="25" t="s">
        <v>24</v>
      </c>
      <c r="N31" s="25" t="str">
        <f t="shared" si="0"/>
        <v>2x12/ea</v>
      </c>
      <c r="O31" s="26"/>
      <c r="Q31" s="47"/>
      <c r="R31" s="48" t="s">
        <v>24</v>
      </c>
      <c r="S31" s="25" t="str">
        <f>N31</f>
        <v>2x12/ea</v>
      </c>
      <c r="T31" s="49"/>
    </row>
    <row r="32" spans="2:24" s="1" customFormat="1" ht="19.899999999999999" customHeight="1" x14ac:dyDescent="0.25">
      <c r="B32" s="9">
        <v>10</v>
      </c>
      <c r="C32" s="336" t="s">
        <v>507</v>
      </c>
      <c r="D32" s="336"/>
      <c r="E32" s="337"/>
      <c r="G32" s="21"/>
      <c r="H32" s="22" t="s">
        <v>24</v>
      </c>
      <c r="I32" s="22" t="s">
        <v>661</v>
      </c>
      <c r="J32" s="23"/>
      <c r="L32" s="21"/>
      <c r="M32" s="22" t="s">
        <v>24</v>
      </c>
      <c r="N32" s="22" t="str">
        <f>I32</f>
        <v>1x15/ea</v>
      </c>
      <c r="O32" s="23"/>
      <c r="Q32" s="21"/>
      <c r="R32" s="22" t="s">
        <v>24</v>
      </c>
      <c r="S32" s="22" t="str">
        <f>I32</f>
        <v>1x15/ea</v>
      </c>
      <c r="T32" s="23"/>
    </row>
    <row r="33" spans="2:22" s="1" customFormat="1" ht="19.899999999999999" customHeight="1" x14ac:dyDescent="0.25">
      <c r="B33" s="3">
        <v>11</v>
      </c>
      <c r="C33" s="343" t="s">
        <v>430</v>
      </c>
      <c r="D33" s="343"/>
      <c r="E33" s="344"/>
      <c r="G33" s="27"/>
      <c r="H33" s="28" t="s">
        <v>24</v>
      </c>
      <c r="I33" s="28" t="s">
        <v>17</v>
      </c>
      <c r="J33" s="29"/>
      <c r="L33" s="27"/>
      <c r="M33" s="28" t="s">
        <v>24</v>
      </c>
      <c r="N33" s="28" t="str">
        <f t="shared" ref="N33:N38" si="1">I33</f>
        <v>1x20</v>
      </c>
      <c r="O33" s="29"/>
      <c r="Q33" s="27"/>
      <c r="R33" s="28" t="s">
        <v>24</v>
      </c>
      <c r="S33" s="28" t="str">
        <f>N33</f>
        <v>1x20</v>
      </c>
      <c r="T33" s="29"/>
    </row>
    <row r="34" spans="2:22" s="1" customFormat="1" ht="19.899999999999999" customHeight="1" thickBot="1" x14ac:dyDescent="0.3">
      <c r="B34" s="3">
        <v>12</v>
      </c>
      <c r="C34" s="343" t="s">
        <v>662</v>
      </c>
      <c r="D34" s="343"/>
      <c r="E34" s="344"/>
      <c r="G34" s="24"/>
      <c r="H34" s="25" t="s">
        <v>24</v>
      </c>
      <c r="I34" s="25" t="s">
        <v>317</v>
      </c>
      <c r="J34" s="26"/>
      <c r="L34" s="24"/>
      <c r="M34" s="25" t="s">
        <v>24</v>
      </c>
      <c r="N34" s="25" t="str">
        <f t="shared" si="1"/>
        <v>3x10s/ea</v>
      </c>
      <c r="O34" s="26"/>
      <c r="Q34" s="47"/>
      <c r="R34" s="48" t="s">
        <v>24</v>
      </c>
      <c r="S34" s="48" t="str">
        <f>N34</f>
        <v>3x10s/ea</v>
      </c>
      <c r="T34" s="49"/>
    </row>
    <row r="35" spans="2:22" s="1" customFormat="1" ht="19.899999999999999" customHeight="1" x14ac:dyDescent="0.25">
      <c r="B35" s="9">
        <v>13</v>
      </c>
      <c r="C35" s="336" t="s">
        <v>446</v>
      </c>
      <c r="D35" s="336"/>
      <c r="E35" s="337"/>
      <c r="G35" s="103"/>
      <c r="H35" s="22" t="s">
        <v>24</v>
      </c>
      <c r="I35" s="22" t="s">
        <v>626</v>
      </c>
      <c r="J35" s="23"/>
      <c r="L35" s="21"/>
      <c r="M35" s="22" t="s">
        <v>24</v>
      </c>
      <c r="N35" s="22" t="str">
        <f t="shared" si="1"/>
        <v>1x15m/ea</v>
      </c>
      <c r="O35" s="23"/>
      <c r="Q35" s="21"/>
      <c r="R35" s="22" t="s">
        <v>24</v>
      </c>
      <c r="S35" s="22" t="str">
        <f>I35</f>
        <v>1x15m/ea</v>
      </c>
      <c r="T35" s="23"/>
    </row>
    <row r="36" spans="2:22" s="1" customFormat="1" ht="19.899999999999999" customHeight="1" x14ac:dyDescent="0.25">
      <c r="B36" s="3">
        <v>14</v>
      </c>
      <c r="C36" s="343" t="s">
        <v>335</v>
      </c>
      <c r="D36" s="343"/>
      <c r="E36" s="344"/>
      <c r="G36" s="100"/>
      <c r="H36" s="28" t="s">
        <v>24</v>
      </c>
      <c r="I36" s="28" t="s">
        <v>317</v>
      </c>
      <c r="J36" s="29"/>
      <c r="L36" s="27"/>
      <c r="M36" s="28" t="s">
        <v>24</v>
      </c>
      <c r="N36" s="28" t="str">
        <f t="shared" si="1"/>
        <v>3x10s/ea</v>
      </c>
      <c r="O36" s="29"/>
      <c r="Q36" s="27"/>
      <c r="R36" s="28" t="s">
        <v>24</v>
      </c>
      <c r="S36" s="28" t="str">
        <f>N36</f>
        <v>3x10s/ea</v>
      </c>
      <c r="T36" s="29"/>
    </row>
    <row r="37" spans="2:22" s="1" customFormat="1" ht="19.899999999999999" customHeight="1" x14ac:dyDescent="0.25">
      <c r="B37" s="3">
        <v>15</v>
      </c>
      <c r="C37" s="343" t="s">
        <v>46</v>
      </c>
      <c r="D37" s="343"/>
      <c r="E37" s="344"/>
      <c r="G37" s="100"/>
      <c r="H37" s="28" t="s">
        <v>24</v>
      </c>
      <c r="I37" s="28" t="s">
        <v>624</v>
      </c>
      <c r="J37" s="29"/>
      <c r="L37" s="27"/>
      <c r="M37" s="28" t="s">
        <v>24</v>
      </c>
      <c r="N37" s="28" t="str">
        <f t="shared" si="1"/>
        <v>1x20/ea</v>
      </c>
      <c r="O37" s="29"/>
      <c r="Q37" s="27"/>
      <c r="R37" s="28" t="s">
        <v>24</v>
      </c>
      <c r="S37" s="28" t="str">
        <f>N37</f>
        <v>1x20/ea</v>
      </c>
      <c r="T37" s="29"/>
    </row>
    <row r="38" spans="2:22" s="1" customFormat="1" ht="19.899999999999999" customHeight="1" thickBot="1" x14ac:dyDescent="0.3">
      <c r="B38" s="4">
        <v>16</v>
      </c>
      <c r="C38" s="341" t="s">
        <v>473</v>
      </c>
      <c r="D38" s="341"/>
      <c r="E38" s="342"/>
      <c r="G38" s="24"/>
      <c r="H38" s="25" t="s">
        <v>24</v>
      </c>
      <c r="I38" s="25" t="s">
        <v>17</v>
      </c>
      <c r="J38" s="26"/>
      <c r="L38" s="24"/>
      <c r="M38" s="25" t="s">
        <v>24</v>
      </c>
      <c r="N38" s="25" t="str">
        <f t="shared" si="1"/>
        <v>1x20</v>
      </c>
      <c r="O38" s="26"/>
      <c r="Q38" s="24"/>
      <c r="R38" s="25" t="s">
        <v>24</v>
      </c>
      <c r="S38" s="25" t="str">
        <f>N38</f>
        <v>1x20</v>
      </c>
      <c r="T38" s="26"/>
    </row>
    <row r="39" spans="2:22" s="2" customFormat="1" ht="16.149999999999999" customHeight="1" thickBot="1" x14ac:dyDescent="0.3">
      <c r="B39" s="349" t="s">
        <v>383</v>
      </c>
      <c r="C39" s="350"/>
      <c r="D39" s="350"/>
      <c r="E39" s="351"/>
      <c r="F39" s="81"/>
      <c r="G39" s="333"/>
      <c r="H39" s="334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5"/>
    </row>
    <row r="40" spans="2:22" s="1" customFormat="1" ht="19.899999999999999" customHeight="1" x14ac:dyDescent="0.25">
      <c r="B40" s="9">
        <v>17</v>
      </c>
      <c r="C40" s="336" t="s">
        <v>205</v>
      </c>
      <c r="D40" s="336"/>
      <c r="E40" s="337"/>
      <c r="G40" s="21"/>
      <c r="H40" s="30" t="s">
        <v>24</v>
      </c>
      <c r="I40" s="22" t="s">
        <v>316</v>
      </c>
      <c r="J40" s="23"/>
      <c r="L40" s="21"/>
      <c r="M40" s="30" t="s">
        <v>24</v>
      </c>
      <c r="N40" s="22" t="str">
        <f>I40</f>
        <v>1x60s/ea</v>
      </c>
      <c r="O40" s="23"/>
      <c r="Q40" s="51"/>
      <c r="R40" s="52" t="s">
        <v>24</v>
      </c>
      <c r="S40" s="53" t="str">
        <f>I40</f>
        <v>1x60s/ea</v>
      </c>
      <c r="T40" s="54"/>
    </row>
    <row r="41" spans="2:22" s="1" customFormat="1" ht="19.899999999999999" customHeight="1" x14ac:dyDescent="0.25">
      <c r="B41" s="3">
        <v>18</v>
      </c>
      <c r="C41" s="345" t="s">
        <v>638</v>
      </c>
      <c r="D41" s="345"/>
      <c r="E41" s="346"/>
      <c r="G41" s="27"/>
      <c r="H41" s="31" t="s">
        <v>24</v>
      </c>
      <c r="I41" s="28" t="s">
        <v>316</v>
      </c>
      <c r="J41" s="29"/>
      <c r="L41" s="27"/>
      <c r="M41" s="31" t="s">
        <v>24</v>
      </c>
      <c r="N41" s="28" t="str">
        <f>I41</f>
        <v>1x60s/ea</v>
      </c>
      <c r="O41" s="29"/>
      <c r="Q41" s="55"/>
      <c r="R41" s="56" t="s">
        <v>24</v>
      </c>
      <c r="S41" s="57" t="str">
        <f>I41</f>
        <v>1x60s/ea</v>
      </c>
      <c r="T41" s="58"/>
    </row>
    <row r="42" spans="2:22" s="1" customFormat="1" ht="19.899999999999999" customHeight="1" thickBot="1" x14ac:dyDescent="0.3">
      <c r="B42" s="4">
        <v>19</v>
      </c>
      <c r="C42" s="347" t="s">
        <v>47</v>
      </c>
      <c r="D42" s="347"/>
      <c r="E42" s="348"/>
      <c r="F42" s="67"/>
      <c r="G42" s="24"/>
      <c r="H42" s="32" t="s">
        <v>24</v>
      </c>
      <c r="I42" s="25" t="s">
        <v>316</v>
      </c>
      <c r="J42" s="26"/>
      <c r="K42" s="67"/>
      <c r="L42" s="24"/>
      <c r="M42" s="32" t="s">
        <v>24</v>
      </c>
      <c r="N42" s="25" t="str">
        <f>I42</f>
        <v>1x60s/ea</v>
      </c>
      <c r="O42" s="26"/>
      <c r="P42" s="67"/>
      <c r="Q42" s="47"/>
      <c r="R42" s="59" t="s">
        <v>24</v>
      </c>
      <c r="S42" s="48" t="str">
        <f>N42</f>
        <v>1x60s/ea</v>
      </c>
      <c r="T42" s="49"/>
    </row>
    <row r="43" spans="2:22" s="2" customFormat="1" ht="4.9000000000000004" customHeight="1" x14ac:dyDescent="0.25">
      <c r="Q43" s="50"/>
      <c r="R43" s="50"/>
      <c r="S43" s="50"/>
      <c r="T43" s="50"/>
    </row>
    <row r="44" spans="2:22" x14ac:dyDescent="0.25">
      <c r="V44" s="1" t="s">
        <v>314</v>
      </c>
    </row>
    <row r="45" spans="2:22" x14ac:dyDescent="0.25">
      <c r="V45" s="1" t="s">
        <v>338</v>
      </c>
    </row>
    <row r="46" spans="2:22" x14ac:dyDescent="0.25">
      <c r="V46" s="1" t="s">
        <v>48</v>
      </c>
    </row>
    <row r="47" spans="2:22" x14ac:dyDescent="0.25">
      <c r="V47" s="1" t="s">
        <v>135</v>
      </c>
    </row>
    <row r="48" spans="2:22" x14ac:dyDescent="0.25">
      <c r="V48" s="1" t="s">
        <v>315</v>
      </c>
    </row>
    <row r="49" spans="22:22" x14ac:dyDescent="0.25">
      <c r="V49" s="1" t="s">
        <v>316</v>
      </c>
    </row>
    <row r="50" spans="22:22" x14ac:dyDescent="0.25">
      <c r="V50" s="1" t="s">
        <v>317</v>
      </c>
    </row>
    <row r="51" spans="22:22" x14ac:dyDescent="0.25">
      <c r="V51" s="1" t="s">
        <v>364</v>
      </c>
    </row>
    <row r="52" spans="22:22" x14ac:dyDescent="0.25">
      <c r="V52" s="1" t="s">
        <v>26</v>
      </c>
    </row>
    <row r="53" spans="22:22" x14ac:dyDescent="0.25">
      <c r="V53" s="1" t="s">
        <v>232</v>
      </c>
    </row>
    <row r="54" spans="22:22" x14ac:dyDescent="0.25">
      <c r="V54" s="1" t="s">
        <v>623</v>
      </c>
    </row>
  </sheetData>
  <mergeCells count="40">
    <mergeCell ref="C41:E41"/>
    <mergeCell ref="C42:E42"/>
    <mergeCell ref="C36:E36"/>
    <mergeCell ref="C37:E37"/>
    <mergeCell ref="C38:E38"/>
    <mergeCell ref="B39:E39"/>
    <mergeCell ref="G39:T39"/>
    <mergeCell ref="C40:E40"/>
    <mergeCell ref="C30:E30"/>
    <mergeCell ref="C31:E31"/>
    <mergeCell ref="C32:E32"/>
    <mergeCell ref="C33:E33"/>
    <mergeCell ref="C34:E34"/>
    <mergeCell ref="C35:E35"/>
    <mergeCell ref="C29:E29"/>
    <mergeCell ref="B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B13:D13"/>
    <mergeCell ref="E13:G13"/>
    <mergeCell ref="O13:Q13"/>
    <mergeCell ref="B15:E16"/>
    <mergeCell ref="G15:T15"/>
    <mergeCell ref="H16:I16"/>
    <mergeCell ref="M16:N16"/>
    <mergeCell ref="R16:S16"/>
    <mergeCell ref="O2:T7"/>
    <mergeCell ref="E10:G10"/>
    <mergeCell ref="I10:L10"/>
    <mergeCell ref="B12:D12"/>
    <mergeCell ref="E12:G12"/>
    <mergeCell ref="O12:Q12"/>
  </mergeCells>
  <dataValidations disablePrompts="1" count="10">
    <dataValidation type="list" allowBlank="1" showInputMessage="1" showErrorMessage="1" sqref="I31" xr:uid="{00000000-0002-0000-0600-000000000000}">
      <formula1>$V$40:$V$58</formula1>
    </dataValidation>
    <dataValidation type="list" allowBlank="1" showInputMessage="1" showErrorMessage="1" sqref="S42 N40:N42 I42" xr:uid="{00000000-0002-0000-0600-000001000000}">
      <formula1>$V$44:$V$49</formula1>
    </dataValidation>
    <dataValidation type="list" allowBlank="1" showInputMessage="1" showErrorMessage="1" sqref="H41:H42 R41:R42 M41:M42" xr:uid="{00000000-0002-0000-0600-000002000000}">
      <formula1>$W$16:$W$18</formula1>
    </dataValidation>
    <dataValidation type="list" allowBlank="1" showInputMessage="1" showErrorMessage="1" sqref="M40 R40 H40" xr:uid="{00000000-0002-0000-0600-000003000000}">
      <formula1>$W$16:$W$20</formula1>
    </dataValidation>
    <dataValidation type="list" allowBlank="1" showInputMessage="1" showErrorMessage="1" sqref="B15:E16" xr:uid="{00000000-0002-0000-0600-000004000000}">
      <formula1>$X$16:$X$20</formula1>
    </dataValidation>
    <dataValidation type="list" allowBlank="1" showInputMessage="1" showErrorMessage="1" sqref="M23:M38 H23:H38 R23:R38" xr:uid="{00000000-0002-0000-0600-000005000000}">
      <formula1>$W$22:$W$24</formula1>
    </dataValidation>
    <dataValidation type="list" allowBlank="1" showInputMessage="1" showErrorMessage="1" sqref="N31" xr:uid="{00000000-0002-0000-0600-000006000000}">
      <formula1>$V$40:$V$51</formula1>
    </dataValidation>
    <dataValidation type="list" allowBlank="1" showInputMessage="1" showErrorMessage="1" sqref="S31" xr:uid="{00000000-0002-0000-0600-000007000000}">
      <formula1>$V$40:$V$50</formula1>
    </dataValidation>
    <dataValidation type="list" allowBlank="1" showInputMessage="1" showErrorMessage="1" sqref="N27 S27" xr:uid="{00000000-0002-0000-0600-000008000000}">
      <formula1>$V$40:$V$48</formula1>
    </dataValidation>
    <dataValidation type="list" allowBlank="1" showInputMessage="1" showErrorMessage="1" sqref="I40:I41" xr:uid="{00000000-0002-0000-0600-000009000000}">
      <formula1>$V$44:$V$55</formula1>
    </dataValidation>
  </dataValidations>
  <pageMargins left="0.25" right="0.25" top="0.75" bottom="0.75" header="0.3" footer="0.3"/>
  <pageSetup paperSize="9" scale="67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4">
        <x14:dataValidation type="list" allowBlank="1" showInputMessage="1" showErrorMessage="1" xr:uid="{00000000-0002-0000-0600-00000A000000}">
          <x14:formula1>
            <xm:f>'Warm Up'!$M:$M</xm:f>
          </x14:formula1>
          <xm:sqref>S13</xm:sqref>
        </x14:dataValidation>
        <x14:dataValidation type="list" allowBlank="1" showInputMessage="1" showErrorMessage="1" xr:uid="{00000000-0002-0000-0600-00000B000000}">
          <x14:formula1>
            <xm:f>'Warm Up'!$K:$K</xm:f>
          </x14:formula1>
          <xm:sqref>M13</xm:sqref>
        </x14:dataValidation>
        <x14:dataValidation type="list" allowBlank="1" showInputMessage="1" showErrorMessage="1" xr:uid="{00000000-0002-0000-0600-00000C000000}">
          <x14:formula1>
            <xm:f>'Warm Up'!$J:$J</xm:f>
          </x14:formula1>
          <xm:sqref>I13</xm:sqref>
        </x14:dataValidation>
        <x14:dataValidation type="list" allowBlank="1" showInputMessage="1" showErrorMessage="1" xr:uid="{00000000-0002-0000-0600-00000D000000}">
          <x14:formula1>
            <xm:f>'Warm Up'!$I:$I</xm:f>
          </x14:formula1>
          <xm:sqref>E13</xm:sqref>
        </x14:dataValidation>
        <x14:dataValidation type="list" allowBlank="1" showInputMessage="1" showErrorMessage="1" xr:uid="{00000000-0002-0000-0600-00000E000000}">
          <x14:formula1>
            <xm:f>'Warm Up'!$H:$H</xm:f>
          </x14:formula1>
          <xm:sqref>B13</xm:sqref>
        </x14:dataValidation>
        <x14:dataValidation type="list" allowBlank="1" showInputMessage="1" showErrorMessage="1" xr:uid="{00000000-0002-0000-0600-00000F000000}">
          <x14:formula1>
            <xm:f>'Warm Up'!$G:$G</xm:f>
          </x14:formula1>
          <xm:sqref>S12</xm:sqref>
        </x14:dataValidation>
        <x14:dataValidation type="list" allowBlank="1" showInputMessage="1" showErrorMessage="1" xr:uid="{00000000-0002-0000-0600-000010000000}">
          <x14:formula1>
            <xm:f>'Warm Up'!$F:$F</xm:f>
          </x14:formula1>
          <xm:sqref>O12</xm:sqref>
        </x14:dataValidation>
        <x14:dataValidation type="list" allowBlank="1" showInputMessage="1" showErrorMessage="1" xr:uid="{00000000-0002-0000-0600-000011000000}">
          <x14:formula1>
            <xm:f>'Warm Up'!$E:$E</xm:f>
          </x14:formula1>
          <xm:sqref>M12</xm:sqref>
        </x14:dataValidation>
        <x14:dataValidation type="list" allowBlank="1" showInputMessage="1" showErrorMessage="1" xr:uid="{00000000-0002-0000-0600-000012000000}">
          <x14:formula1>
            <xm:f>'Warm Up'!$D:$D</xm:f>
          </x14:formula1>
          <xm:sqref>I12</xm:sqref>
        </x14:dataValidation>
        <x14:dataValidation type="list" allowBlank="1" showInputMessage="1" showErrorMessage="1" xr:uid="{00000000-0002-0000-0600-000013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600-000014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600-000015000000}">
          <x14:formula1>
            <xm:f>'Warm Up'!$L:$L</xm:f>
          </x14:formula1>
          <xm:sqref>O13</xm:sqref>
        </x14:dataValidation>
        <x14:dataValidation type="list" allowBlank="1" showInputMessage="1" showErrorMessage="1" xr:uid="{00000000-0002-0000-0600-000016000000}">
          <x14:formula1>
            <xm:f>' Unterkörper Progressionen '!$F:$F</xm:f>
          </x14:formula1>
          <xm:sqref>C24:E24</xm:sqref>
        </x14:dataValidation>
        <x14:dataValidation type="list" allowBlank="1" showInputMessage="1" showErrorMessage="1" xr:uid="{00000000-0002-0000-0600-000017000000}">
          <x14:formula1>
            <xm:f>' Unterkörper Progressionen '!$Q:$Q</xm:f>
          </x14:formula1>
          <xm:sqref>C35:E35</xm:sqref>
        </x14:dataValidation>
        <x14:dataValidation type="list" allowBlank="1" showInputMessage="1" showErrorMessage="1" xr:uid="{00000000-0002-0000-0600-000018000000}">
          <x14:formula1>
            <xm:f>' Unterkörper Progressionen '!$P:$P</xm:f>
          </x14:formula1>
          <xm:sqref>C34:E34</xm:sqref>
        </x14:dataValidation>
        <x14:dataValidation type="list" allowBlank="1" showInputMessage="1" showErrorMessage="1" xr:uid="{00000000-0002-0000-0600-000019000000}">
          <x14:formula1>
            <xm:f>' Unterkörper Progressionen '!$O:$O</xm:f>
          </x14:formula1>
          <xm:sqref>C33:E33</xm:sqref>
        </x14:dataValidation>
        <x14:dataValidation type="list" allowBlank="1" showInputMessage="1" showErrorMessage="1" xr:uid="{00000000-0002-0000-0600-00001A000000}">
          <x14:formula1>
            <xm:f>' Unterkörper Progressionen '!$K:$K</xm:f>
          </x14:formula1>
          <xm:sqref>C29:E29</xm:sqref>
        </x14:dataValidation>
        <x14:dataValidation type="list" allowBlank="1" showInputMessage="1" showErrorMessage="1" xr:uid="{00000000-0002-0000-0600-00001B000000}">
          <x14:formula1>
            <xm:f>' Unterkörper Progressionen '!$L:$L</xm:f>
          </x14:formula1>
          <xm:sqref>C30:E30</xm:sqref>
        </x14:dataValidation>
        <x14:dataValidation type="list" allowBlank="1" showInputMessage="1" showErrorMessage="1" xr:uid="{00000000-0002-0000-0600-00001C000000}">
          <x14:formula1>
            <xm:f>' Unterkörper Progressionen '!$J:$J</xm:f>
          </x14:formula1>
          <xm:sqref>C28:E28</xm:sqref>
        </x14:dataValidation>
        <x14:dataValidation type="list" allowBlank="1" showInputMessage="1" showErrorMessage="1" xr:uid="{00000000-0002-0000-0600-00001D000000}">
          <x14:formula1>
            <xm:f>' Unterkörper Progressionen '!$H:$H</xm:f>
          </x14:formula1>
          <xm:sqref>C26:E26</xm:sqref>
        </x14:dataValidation>
        <x14:dataValidation type="list" allowBlank="1" showInputMessage="1" showErrorMessage="1" xr:uid="{00000000-0002-0000-0600-00001E000000}">
          <x14:formula1>
            <xm:f>' Unterkörper Progressionen '!$I:$I</xm:f>
          </x14:formula1>
          <xm:sqref>C27:E27</xm:sqref>
        </x14:dataValidation>
        <x14:dataValidation type="list" allowBlank="1" showInputMessage="1" showErrorMessage="1" xr:uid="{00000000-0002-0000-0600-00001F000000}">
          <x14:formula1>
            <xm:f>' Unterkörper Progressionen '!$V:$V</xm:f>
          </x14:formula1>
          <xm:sqref>C42:E42</xm:sqref>
        </x14:dataValidation>
        <x14:dataValidation type="list" allowBlank="1" showInputMessage="1" showErrorMessage="1" xr:uid="{00000000-0002-0000-0600-000020000000}">
          <x14:formula1>
            <xm:f>' Unterkörper Progressionen '!$W:$W</xm:f>
          </x14:formula1>
          <xm:sqref>C41:E41</xm:sqref>
        </x14:dataValidation>
        <x14:dataValidation type="list" allowBlank="1" showInputMessage="1" showErrorMessage="1" xr:uid="{00000000-0002-0000-0600-000021000000}">
          <x14:formula1>
            <xm:f>' Unterkörper Progressionen '!$T:$T</xm:f>
          </x14:formula1>
          <xm:sqref>C38:E38</xm:sqref>
        </x14:dataValidation>
        <x14:dataValidation type="list" allowBlank="1" showInputMessage="1" showErrorMessage="1" xr:uid="{00000000-0002-0000-0600-000022000000}">
          <x14:formula1>
            <xm:f>' Unterkörper Progressionen '!$U:$U</xm:f>
          </x14:formula1>
          <xm:sqref>C40:E40</xm:sqref>
        </x14:dataValidation>
        <x14:dataValidation type="list" allowBlank="1" showInputMessage="1" showErrorMessage="1" xr:uid="{00000000-0002-0000-0600-000023000000}">
          <x14:formula1>
            <xm:f>' Unterkörper Progressionen '!$D:$D</xm:f>
          </x14:formula1>
          <xm:sqref>C20:E20</xm:sqref>
        </x14:dataValidation>
        <x14:dataValidation type="list" allowBlank="1" showInputMessage="1" showErrorMessage="1" xr:uid="{00000000-0002-0000-0600-000024000000}">
          <x14:formula1>
            <xm:f>' Unterkörper Progressionen '!$E:$E</xm:f>
          </x14:formula1>
          <xm:sqref>C23:E23</xm:sqref>
        </x14:dataValidation>
        <x14:dataValidation type="list" allowBlank="1" showInputMessage="1" showErrorMessage="1" xr:uid="{00000000-0002-0000-0600-000025000000}">
          <x14:formula1>
            <xm:f>' Unterkörper Progressionen '!$S:$S</xm:f>
          </x14:formula1>
          <xm:sqref>C37:E37</xm:sqref>
        </x14:dataValidation>
        <x14:dataValidation type="list" allowBlank="1" showInputMessage="1" showErrorMessage="1" xr:uid="{00000000-0002-0000-0600-000026000000}">
          <x14:formula1>
            <xm:f>' Unterkörper Progressionen '!$R:$R</xm:f>
          </x14:formula1>
          <xm:sqref>C36:E36</xm:sqref>
        </x14:dataValidation>
        <x14:dataValidation type="list" allowBlank="1" showInputMessage="1" showErrorMessage="1" xr:uid="{00000000-0002-0000-0600-000027000000}">
          <x14:formula1>
            <xm:f>' Unterkörper Progressionen '!$N:$N</xm:f>
          </x14:formula1>
          <xm:sqref>C32:E32</xm:sqref>
        </x14:dataValidation>
        <x14:dataValidation type="list" allowBlank="1" showInputMessage="1" showErrorMessage="1" xr:uid="{00000000-0002-0000-0600-000028000000}">
          <x14:formula1>
            <xm:f>' Unterkörper Progressionen '!$M:$M</xm:f>
          </x14:formula1>
          <xm:sqref>C31:E31</xm:sqref>
        </x14:dataValidation>
        <x14:dataValidation type="list" allowBlank="1" showInputMessage="1" showErrorMessage="1" xr:uid="{00000000-0002-0000-0600-000029000000}">
          <x14:formula1>
            <xm:f>' Unterkörper Progressionen '!$G:$G</xm:f>
          </x14:formula1>
          <xm:sqref>C25:E25</xm:sqref>
        </x14:dataValidation>
        <x14:dataValidation type="list" allowBlank="1" showInputMessage="1" showErrorMessage="1" xr:uid="{00000000-0002-0000-0600-00002A000000}">
          <x14:formula1>
            <xm:f>' Unterkörper Progressionen '!$B:$B</xm:f>
          </x14:formula1>
          <xm:sqref>C18:E18</xm:sqref>
        </x14:dataValidation>
        <x14:dataValidation type="list" allowBlank="1" showInputMessage="1" showErrorMessage="1" xr:uid="{00000000-0002-0000-0600-00002B000000}">
          <x14:formula1>
            <xm:f>' Unterkörper Progressionen '!$C:$C</xm:f>
          </x14:formula1>
          <xm:sqref>C19:E19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W50"/>
  <sheetViews>
    <sheetView zoomScale="57" zoomScaleNormal="70" workbookViewId="0">
      <selection activeCell="I40" sqref="I40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76" t="str">
        <f>UnterkörperA!C5</f>
        <v>NAME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76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76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x14ac:dyDescent="0.25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e">
        <f>UnterkörperA!#REF!</f>
        <v>#REF!</v>
      </c>
      <c r="T10" s="64"/>
    </row>
    <row r="11" spans="2:23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34" customFormat="1" ht="15.6" customHeight="1" x14ac:dyDescent="0.25">
      <c r="B12" s="374" t="s">
        <v>580</v>
      </c>
      <c r="C12" s="373"/>
      <c r="D12" s="373"/>
      <c r="E12" s="373" t="s">
        <v>295</v>
      </c>
      <c r="F12" s="373"/>
      <c r="G12" s="373"/>
      <c r="H12" s="373" t="s">
        <v>579</v>
      </c>
      <c r="I12" s="373"/>
      <c r="J12" s="373"/>
      <c r="K12" s="66"/>
      <c r="L12" s="373" t="s">
        <v>396</v>
      </c>
      <c r="M12" s="373"/>
      <c r="N12" s="373"/>
      <c r="O12" s="373" t="s">
        <v>600</v>
      </c>
      <c r="P12" s="373"/>
      <c r="Q12" s="373"/>
      <c r="R12" s="373" t="s">
        <v>603</v>
      </c>
      <c r="S12" s="373"/>
      <c r="T12" s="377"/>
    </row>
    <row r="13" spans="2:23" s="34" customFormat="1" ht="15.6" customHeight="1" x14ac:dyDescent="0.25">
      <c r="B13" s="376" t="s">
        <v>143</v>
      </c>
      <c r="C13" s="375"/>
      <c r="D13" s="375"/>
      <c r="E13" s="375" t="s">
        <v>578</v>
      </c>
      <c r="F13" s="375"/>
      <c r="G13" s="375"/>
      <c r="H13" s="375" t="s">
        <v>149</v>
      </c>
      <c r="I13" s="375"/>
      <c r="J13" s="375"/>
      <c r="L13" s="375" t="s">
        <v>150</v>
      </c>
      <c r="M13" s="375"/>
      <c r="N13" s="375"/>
      <c r="O13" s="375" t="s">
        <v>584</v>
      </c>
      <c r="P13" s="375"/>
      <c r="Q13" s="375"/>
      <c r="R13" s="375" t="s">
        <v>177</v>
      </c>
      <c r="S13" s="375"/>
      <c r="T13" s="379"/>
    </row>
    <row r="14" spans="2:23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3" ht="16.5" thickBot="1" x14ac:dyDescent="0.3">
      <c r="B15" s="352" t="str">
        <f>UnterkörperD!B15</f>
        <v>Level D</v>
      </c>
      <c r="C15" s="353"/>
      <c r="D15" s="353"/>
      <c r="E15" s="354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6.5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238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630</v>
      </c>
      <c r="D19" s="343"/>
      <c r="E19" s="344"/>
      <c r="G19" s="68" t="s">
        <v>23</v>
      </c>
      <c r="H19" s="69"/>
      <c r="I19" s="69" t="s">
        <v>25</v>
      </c>
      <c r="J19" s="70" t="s">
        <v>592</v>
      </c>
      <c r="L19" s="68" t="s">
        <v>23</v>
      </c>
      <c r="M19" s="69"/>
      <c r="N19" s="69" t="s">
        <v>25</v>
      </c>
      <c r="O19" s="70" t="s">
        <v>592</v>
      </c>
      <c r="Q19" s="77" t="s">
        <v>23</v>
      </c>
      <c r="R19" s="78"/>
      <c r="S19" s="78" t="s">
        <v>25</v>
      </c>
      <c r="T19" s="79" t="s">
        <v>592</v>
      </c>
    </row>
    <row r="20" spans="2:23" s="1" customFormat="1" ht="19.899999999999999" customHeight="1" thickBot="1" x14ac:dyDescent="0.3">
      <c r="B20" s="4">
        <v>3</v>
      </c>
      <c r="C20" s="341" t="s">
        <v>635</v>
      </c>
      <c r="D20" s="341"/>
      <c r="E20" s="342"/>
      <c r="G20" s="24" t="s">
        <v>23</v>
      </c>
      <c r="H20" s="25"/>
      <c r="I20" s="25" t="s">
        <v>25</v>
      </c>
      <c r="J20" s="26" t="s">
        <v>592</v>
      </c>
      <c r="L20" s="24" t="s">
        <v>23</v>
      </c>
      <c r="M20" s="25"/>
      <c r="N20" s="25" t="s">
        <v>25</v>
      </c>
      <c r="O20" s="26" t="s">
        <v>592</v>
      </c>
      <c r="Q20" s="47" t="s">
        <v>23</v>
      </c>
      <c r="R20" s="48"/>
      <c r="S20" s="48" t="s">
        <v>25</v>
      </c>
      <c r="T20" s="49" t="s">
        <v>592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6.5" thickBot="1" x14ac:dyDescent="0.3">
      <c r="B22" s="338" t="s">
        <v>381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517</v>
      </c>
      <c r="D23" s="336"/>
      <c r="E23" s="337"/>
      <c r="G23" s="21"/>
      <c r="H23" s="22" t="s">
        <v>24</v>
      </c>
      <c r="I23" s="22" t="s">
        <v>17</v>
      </c>
      <c r="J23" s="23"/>
      <c r="L23" s="21"/>
      <c r="M23" s="22" t="s">
        <v>24</v>
      </c>
      <c r="N23" s="22" t="str">
        <f t="shared" ref="N23:N31" si="0">I23</f>
        <v>1x20</v>
      </c>
      <c r="O23" s="23"/>
      <c r="Q23" s="51"/>
      <c r="R23" s="53" t="s">
        <v>24</v>
      </c>
      <c r="S23" s="53" t="str">
        <f>N23</f>
        <v>1x20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275</v>
      </c>
      <c r="D24" s="343"/>
      <c r="E24" s="344"/>
      <c r="G24" s="27"/>
      <c r="H24" s="28" t="s">
        <v>24</v>
      </c>
      <c r="I24" s="28" t="s">
        <v>17</v>
      </c>
      <c r="J24" s="29"/>
      <c r="L24" s="27"/>
      <c r="M24" s="28" t="s">
        <v>24</v>
      </c>
      <c r="N24" s="28" t="str">
        <f t="shared" si="0"/>
        <v>1x20</v>
      </c>
      <c r="O24" s="29"/>
      <c r="Q24" s="55"/>
      <c r="R24" s="57" t="s">
        <v>24</v>
      </c>
      <c r="S24" s="57" t="str">
        <f>N24</f>
        <v>1x20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62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3" s="1" customFormat="1" ht="19.899999999999999" customHeight="1" x14ac:dyDescent="0.25">
      <c r="B26" s="9">
        <v>4</v>
      </c>
      <c r="C26" s="336" t="s">
        <v>523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3" s="1" customFormat="1" ht="19.899999999999999" customHeight="1" x14ac:dyDescent="0.25">
      <c r="B27" s="3">
        <v>5</v>
      </c>
      <c r="C27" s="343" t="s">
        <v>532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tr">
        <f>I27</f>
        <v>1x20/ea</v>
      </c>
      <c r="T27" s="58"/>
    </row>
    <row r="28" spans="2:23" s="1" customFormat="1" ht="19.899999999999999" customHeight="1" thickBot="1" x14ac:dyDescent="0.3">
      <c r="B28" s="4">
        <v>6</v>
      </c>
      <c r="C28" s="341" t="s">
        <v>92</v>
      </c>
      <c r="D28" s="341"/>
      <c r="E28" s="342"/>
      <c r="G28" s="24"/>
      <c r="H28" s="25" t="s">
        <v>24</v>
      </c>
      <c r="I28" s="25" t="s">
        <v>317</v>
      </c>
      <c r="J28" s="26"/>
      <c r="L28" s="24"/>
      <c r="M28" s="25" t="s">
        <v>24</v>
      </c>
      <c r="N28" s="25" t="str">
        <f t="shared" si="0"/>
        <v>3x10s/ea</v>
      </c>
      <c r="O28" s="26"/>
      <c r="Q28" s="47"/>
      <c r="R28" s="48" t="s">
        <v>24</v>
      </c>
      <c r="S28" s="48" t="str">
        <f>N28</f>
        <v>3x10s/ea</v>
      </c>
      <c r="T28" s="49"/>
    </row>
    <row r="29" spans="2:23" s="1" customFormat="1" ht="19.899999999999999" customHeight="1" x14ac:dyDescent="0.25">
      <c r="B29" s="9">
        <v>7</v>
      </c>
      <c r="C29" s="336" t="s">
        <v>535</v>
      </c>
      <c r="D29" s="336"/>
      <c r="E29" s="337"/>
      <c r="G29" s="21"/>
      <c r="H29" s="22" t="s">
        <v>24</v>
      </c>
      <c r="I29" s="22" t="s">
        <v>17</v>
      </c>
      <c r="J29" s="23"/>
      <c r="L29" s="21"/>
      <c r="M29" s="22" t="s">
        <v>24</v>
      </c>
      <c r="N29" s="22" t="str">
        <f t="shared" si="0"/>
        <v>1x20</v>
      </c>
      <c r="O29" s="23"/>
      <c r="Q29" s="51"/>
      <c r="R29" s="53" t="s">
        <v>24</v>
      </c>
      <c r="S29" s="53" t="str">
        <f>N29</f>
        <v>1x20</v>
      </c>
      <c r="T29" s="54"/>
    </row>
    <row r="30" spans="2:23" s="1" customFormat="1" ht="19.899999999999999" customHeight="1" x14ac:dyDescent="0.25">
      <c r="B30" s="3">
        <v>8</v>
      </c>
      <c r="C30" s="343" t="s">
        <v>285</v>
      </c>
      <c r="D30" s="343"/>
      <c r="E30" s="344"/>
      <c r="G30" s="27"/>
      <c r="H30" s="28" t="s">
        <v>24</v>
      </c>
      <c r="I30" s="28" t="s">
        <v>17</v>
      </c>
      <c r="J30" s="29"/>
      <c r="L30" s="27"/>
      <c r="M30" s="28" t="s">
        <v>24</v>
      </c>
      <c r="N30" s="28" t="str">
        <f t="shared" si="0"/>
        <v>1x20</v>
      </c>
      <c r="O30" s="29"/>
      <c r="Q30" s="55"/>
      <c r="R30" s="57" t="s">
        <v>24</v>
      </c>
      <c r="S30" s="57" t="str">
        <f>N30</f>
        <v>1x20</v>
      </c>
      <c r="T30" s="58"/>
    </row>
    <row r="31" spans="2:23" s="1" customFormat="1" ht="19.899999999999999" customHeight="1" thickBot="1" x14ac:dyDescent="0.3">
      <c r="B31" s="4">
        <v>9</v>
      </c>
      <c r="C31" s="341" t="s">
        <v>288</v>
      </c>
      <c r="D31" s="341"/>
      <c r="E31" s="342"/>
      <c r="G31" s="24"/>
      <c r="H31" s="25" t="s">
        <v>24</v>
      </c>
      <c r="I31" s="25" t="s">
        <v>17</v>
      </c>
      <c r="J31" s="26"/>
      <c r="L31" s="24"/>
      <c r="M31" s="25" t="s">
        <v>24</v>
      </c>
      <c r="N31" s="25" t="str">
        <f t="shared" si="0"/>
        <v>1x20</v>
      </c>
      <c r="O31" s="26"/>
      <c r="Q31" s="47"/>
      <c r="R31" s="48" t="s">
        <v>24</v>
      </c>
      <c r="S31" s="25" t="str">
        <f>N31</f>
        <v>1x20</v>
      </c>
      <c r="T31" s="49"/>
    </row>
    <row r="32" spans="2:23" s="1" customFormat="1" ht="19.899999999999999" customHeight="1" x14ac:dyDescent="0.25">
      <c r="B32" s="9">
        <v>10</v>
      </c>
      <c r="C32" s="336" t="s">
        <v>295</v>
      </c>
      <c r="D32" s="336"/>
      <c r="E32" s="337"/>
      <c r="G32" s="21"/>
      <c r="H32" s="22" t="s">
        <v>24</v>
      </c>
      <c r="I32" s="22" t="s">
        <v>594</v>
      </c>
      <c r="J32" s="23"/>
      <c r="L32" s="21"/>
      <c r="M32" s="22" t="s">
        <v>24</v>
      </c>
      <c r="N32" s="22" t="s">
        <v>595</v>
      </c>
      <c r="O32" s="23"/>
      <c r="Q32" s="21"/>
      <c r="R32" s="22" t="s">
        <v>24</v>
      </c>
      <c r="S32" s="22" t="s">
        <v>596</v>
      </c>
      <c r="T32" s="23"/>
    </row>
    <row r="33" spans="2:22" s="1" customFormat="1" ht="19.899999999999999" customHeight="1" x14ac:dyDescent="0.25">
      <c r="B33" s="3">
        <v>11</v>
      </c>
      <c r="C33" s="343" t="s">
        <v>286</v>
      </c>
      <c r="D33" s="343"/>
      <c r="E33" s="344"/>
      <c r="G33" s="27"/>
      <c r="H33" s="28" t="s">
        <v>24</v>
      </c>
      <c r="I33" s="28" t="s">
        <v>624</v>
      </c>
      <c r="J33" s="29"/>
      <c r="L33" s="27"/>
      <c r="M33" s="28" t="s">
        <v>24</v>
      </c>
      <c r="N33" s="28" t="str">
        <f>I33</f>
        <v>1x20/ea</v>
      </c>
      <c r="O33" s="29"/>
      <c r="Q33" s="27"/>
      <c r="R33" s="28" t="s">
        <v>24</v>
      </c>
      <c r="S33" s="28" t="str">
        <f>N33</f>
        <v>1x20/ea</v>
      </c>
      <c r="T33" s="29"/>
    </row>
    <row r="34" spans="2:22" s="1" customFormat="1" ht="19.899999999999999" customHeight="1" thickBot="1" x14ac:dyDescent="0.3">
      <c r="B34" s="4">
        <v>12</v>
      </c>
      <c r="C34" s="341" t="s">
        <v>541</v>
      </c>
      <c r="D34" s="341"/>
      <c r="E34" s="342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>I34</f>
        <v>1x20/ea</v>
      </c>
      <c r="O34" s="26"/>
      <c r="Q34" s="47"/>
      <c r="R34" s="48" t="s">
        <v>24</v>
      </c>
      <c r="S34" s="48" t="str">
        <f>N34</f>
        <v>1x20/ea</v>
      </c>
      <c r="T34" s="49"/>
    </row>
    <row r="35" spans="2:22" s="2" customFormat="1" ht="16.149999999999999" customHeight="1" thickBot="1" x14ac:dyDescent="0.3">
      <c r="B35" s="338" t="s">
        <v>382</v>
      </c>
      <c r="C35" s="339"/>
      <c r="D35" s="339"/>
      <c r="E35" s="340"/>
      <c r="F35" s="81"/>
      <c r="G35" s="333"/>
      <c r="H35" s="334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5"/>
    </row>
    <row r="36" spans="2:22" s="1" customFormat="1" ht="19.899999999999999" customHeight="1" x14ac:dyDescent="0.25">
      <c r="B36" s="9">
        <v>13</v>
      </c>
      <c r="C36" s="336" t="s">
        <v>553</v>
      </c>
      <c r="D36" s="336"/>
      <c r="E36" s="337"/>
      <c r="G36" s="21"/>
      <c r="H36" s="22" t="s">
        <v>24</v>
      </c>
      <c r="I36" s="22" t="s">
        <v>26</v>
      </c>
      <c r="J36" s="23"/>
      <c r="L36" s="21"/>
      <c r="M36" s="22" t="s">
        <v>24</v>
      </c>
      <c r="N36" s="22" t="s">
        <v>26</v>
      </c>
      <c r="O36" s="23"/>
      <c r="Q36" s="21"/>
      <c r="R36" s="22" t="s">
        <v>24</v>
      </c>
      <c r="S36" s="22" t="str">
        <f>N36</f>
        <v>1x30s</v>
      </c>
      <c r="T36" s="23"/>
    </row>
    <row r="37" spans="2:22" s="1" customFormat="1" ht="19.899999999999999" customHeight="1" x14ac:dyDescent="0.25">
      <c r="B37" s="3">
        <v>14</v>
      </c>
      <c r="C37" s="343" t="s">
        <v>556</v>
      </c>
      <c r="D37" s="343"/>
      <c r="E37" s="344"/>
      <c r="G37" s="18"/>
      <c r="H37" s="28" t="s">
        <v>24</v>
      </c>
      <c r="I37" s="19" t="s">
        <v>26</v>
      </c>
      <c r="J37" s="20"/>
      <c r="L37" s="18"/>
      <c r="M37" s="19" t="str">
        <f>H37</f>
        <v>8-9</v>
      </c>
      <c r="N37" s="19" t="str">
        <f>I37</f>
        <v>1x30s</v>
      </c>
      <c r="O37" s="20"/>
      <c r="Q37" s="18"/>
      <c r="R37" s="19" t="str">
        <f>M37</f>
        <v>8-9</v>
      </c>
      <c r="S37" s="19" t="str">
        <f>N37</f>
        <v>1x30s</v>
      </c>
      <c r="T37" s="20"/>
    </row>
    <row r="38" spans="2:22" s="1" customFormat="1" ht="19.899999999999999" customHeight="1" x14ac:dyDescent="0.25">
      <c r="B38" s="3">
        <v>15</v>
      </c>
      <c r="C38" s="343" t="s">
        <v>549</v>
      </c>
      <c r="D38" s="343"/>
      <c r="E38" s="344"/>
      <c r="G38" s="27"/>
      <c r="H38" s="28" t="s">
        <v>24</v>
      </c>
      <c r="I38" s="28" t="s">
        <v>26</v>
      </c>
      <c r="J38" s="29"/>
      <c r="L38" s="27"/>
      <c r="M38" s="28" t="s">
        <v>24</v>
      </c>
      <c r="N38" s="28" t="str">
        <f>I38</f>
        <v>1x30s</v>
      </c>
      <c r="O38" s="29"/>
      <c r="Q38" s="27"/>
      <c r="R38" s="28" t="s">
        <v>24</v>
      </c>
      <c r="S38" s="28" t="str">
        <f>N36</f>
        <v>1x30s</v>
      </c>
      <c r="T38" s="29"/>
    </row>
    <row r="39" spans="2:22" s="1" customFormat="1" ht="19.899999999999999" customHeight="1" thickBot="1" x14ac:dyDescent="0.3">
      <c r="B39" s="4">
        <v>16</v>
      </c>
      <c r="C39" s="347" t="s">
        <v>641</v>
      </c>
      <c r="D39" s="347"/>
      <c r="E39" s="348"/>
      <c r="F39" s="67"/>
      <c r="G39" s="24"/>
      <c r="H39" s="25" t="s">
        <v>24</v>
      </c>
      <c r="I39" s="25" t="s">
        <v>135</v>
      </c>
      <c r="J39" s="26"/>
      <c r="K39" s="67"/>
      <c r="L39" s="24"/>
      <c r="M39" s="25" t="s">
        <v>24</v>
      </c>
      <c r="N39" s="25" t="str">
        <f>I39</f>
        <v>1x30s/ea</v>
      </c>
      <c r="O39" s="26"/>
      <c r="P39" s="67"/>
      <c r="Q39" s="24"/>
      <c r="R39" s="25" t="s">
        <v>24</v>
      </c>
      <c r="S39" s="25" t="str">
        <f>I39</f>
        <v>1x30s/ea</v>
      </c>
      <c r="T39" s="26"/>
    </row>
    <row r="40" spans="2:22" x14ac:dyDescent="0.25">
      <c r="V40" s="1" t="s">
        <v>313</v>
      </c>
    </row>
    <row r="41" spans="2:22" x14ac:dyDescent="0.25">
      <c r="V41" s="1" t="s">
        <v>28</v>
      </c>
    </row>
    <row r="42" spans="2:22" x14ac:dyDescent="0.25">
      <c r="V42" s="1" t="s">
        <v>29</v>
      </c>
    </row>
    <row r="43" spans="2:22" x14ac:dyDescent="0.25">
      <c r="V43" s="1" t="s">
        <v>26</v>
      </c>
    </row>
    <row r="44" spans="2:22" x14ac:dyDescent="0.25">
      <c r="V44" s="1" t="s">
        <v>232</v>
      </c>
    </row>
    <row r="45" spans="2:22" x14ac:dyDescent="0.25">
      <c r="V45" s="1" t="s">
        <v>233</v>
      </c>
    </row>
    <row r="48" spans="2:22" x14ac:dyDescent="0.25">
      <c r="V48" s="1" t="s">
        <v>296</v>
      </c>
    </row>
    <row r="49" spans="22:22" x14ac:dyDescent="0.25">
      <c r="V49" s="1" t="s">
        <v>17</v>
      </c>
    </row>
    <row r="50" spans="22:22" x14ac:dyDescent="0.25">
      <c r="V50" s="1" t="s">
        <v>606</v>
      </c>
    </row>
  </sheetData>
  <mergeCells count="42">
    <mergeCell ref="C36:E36"/>
    <mergeCell ref="C37:E37"/>
    <mergeCell ref="C38:E38"/>
    <mergeCell ref="C39:E39"/>
    <mergeCell ref="C31:E31"/>
    <mergeCell ref="C32:E32"/>
    <mergeCell ref="C33:E33"/>
    <mergeCell ref="C34:E34"/>
    <mergeCell ref="B35:E35"/>
    <mergeCell ref="G35:T35"/>
    <mergeCell ref="C25:E25"/>
    <mergeCell ref="C26:E26"/>
    <mergeCell ref="C27:E27"/>
    <mergeCell ref="C28:E28"/>
    <mergeCell ref="C29:E29"/>
    <mergeCell ref="C30:E30"/>
    <mergeCell ref="C24:E24"/>
    <mergeCell ref="B15:E16"/>
    <mergeCell ref="G15:T15"/>
    <mergeCell ref="H16:I16"/>
    <mergeCell ref="M16:N16"/>
    <mergeCell ref="R16:S16"/>
    <mergeCell ref="B17:E17"/>
    <mergeCell ref="C18:E18"/>
    <mergeCell ref="C19:E19"/>
    <mergeCell ref="C20:E20"/>
    <mergeCell ref="B22:E22"/>
    <mergeCell ref="C23:E23"/>
    <mergeCell ref="R13:T13"/>
    <mergeCell ref="O2:T7"/>
    <mergeCell ref="M10:N10"/>
    <mergeCell ref="B12:D12"/>
    <mergeCell ref="E12:G12"/>
    <mergeCell ref="H12:J12"/>
    <mergeCell ref="L12:N12"/>
    <mergeCell ref="O12:Q12"/>
    <mergeCell ref="R12:T12"/>
    <mergeCell ref="B13:D13"/>
    <mergeCell ref="E13:G13"/>
    <mergeCell ref="H13:J13"/>
    <mergeCell ref="L13:N13"/>
    <mergeCell ref="O13:Q13"/>
  </mergeCells>
  <dataValidations count="5">
    <dataValidation type="list" allowBlank="1" showInputMessage="1" showErrorMessage="1" sqref="N38:N39 I36:I38 S36 N36 S38" xr:uid="{00000000-0002-0000-0700-000000000000}">
      <formula1>$V$40:$V$45</formula1>
    </dataValidation>
    <dataValidation type="list" allowBlank="1" showInputMessage="1" showErrorMessage="1" sqref="M23:M34 H23:H34 R23:R34 R38:R39 H36:H39 R36 M36 M38:M39" xr:uid="{00000000-0002-0000-0700-000001000000}">
      <formula1>$W$22:$W$24</formula1>
    </dataValidation>
    <dataValidation type="list" allowBlank="1" showInputMessage="1" showErrorMessage="1" sqref="I24 N27 S31" xr:uid="{00000000-0002-0000-0700-000002000000}">
      <formula1>$V$40:$V$50</formula1>
    </dataValidation>
    <dataValidation type="list" allowBlank="1" showInputMessage="1" showErrorMessage="1" sqref="N31" xr:uid="{00000000-0002-0000-0700-000003000000}">
      <formula1>$V$40:$V$51</formula1>
    </dataValidation>
    <dataValidation type="list" allowBlank="1" showInputMessage="1" showErrorMessage="1" sqref="I31" xr:uid="{00000000-0002-0000-0700-000004000000}">
      <formula1>$V$40:$V$47</formula1>
    </dataValidation>
  </dataValidations>
  <pageMargins left="0.25" right="0.25" top="0.75" bottom="0.75" header="0.3" footer="0.3"/>
  <pageSetup paperSize="9"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 showInputMessage="1" showErrorMessage="1" xr:uid="{00000000-0002-0000-0700-000018000000}">
          <x14:formula1>
            <xm:f>'Warm Up'!$M:$M</xm:f>
          </x14:formula1>
          <xm:sqref>R13:T13</xm:sqref>
        </x14:dataValidation>
        <x14:dataValidation type="list" allowBlank="1" showInputMessage="1" showErrorMessage="1" xr:uid="{00000000-0002-0000-0700-000019000000}">
          <x14:formula1>
            <xm:f>'Warm Up'!$L:$L</xm:f>
          </x14:formula1>
          <xm:sqref>O13:Q13</xm:sqref>
        </x14:dataValidation>
        <x14:dataValidation type="list" allowBlank="1" showInputMessage="1" showErrorMessage="1" xr:uid="{00000000-0002-0000-0700-00001A000000}">
          <x14:formula1>
            <xm:f>'Warm Up'!$K:$K</xm:f>
          </x14:formula1>
          <xm:sqref>L13:N13</xm:sqref>
        </x14:dataValidation>
        <x14:dataValidation type="list" allowBlank="1" showInputMessage="1" showErrorMessage="1" xr:uid="{00000000-0002-0000-0700-00001B000000}">
          <x14:formula1>
            <xm:f>'Warm Up'!$J:$J</xm:f>
          </x14:formula1>
          <xm:sqref>H13:J13</xm:sqref>
        </x14:dataValidation>
        <x14:dataValidation type="list" allowBlank="1" showInputMessage="1" showErrorMessage="1" xr:uid="{00000000-0002-0000-0700-00001C000000}">
          <x14:formula1>
            <xm:f>'Warm Up'!$I:$I</xm:f>
          </x14:formula1>
          <xm:sqref>E13:G13</xm:sqref>
        </x14:dataValidation>
        <x14:dataValidation type="list" allowBlank="1" showInputMessage="1" showErrorMessage="1" xr:uid="{00000000-0002-0000-0700-00001D000000}">
          <x14:formula1>
            <xm:f>'Warm Up'!$H:$H</xm:f>
          </x14:formula1>
          <xm:sqref>B13:D13</xm:sqref>
        </x14:dataValidation>
        <x14:dataValidation type="list" allowBlank="1" showInputMessage="1" showErrorMessage="1" xr:uid="{00000000-0002-0000-0700-00001E000000}">
          <x14:formula1>
            <xm:f>'Warm Up'!$G:$G</xm:f>
          </x14:formula1>
          <xm:sqref>R12:T12</xm:sqref>
        </x14:dataValidation>
        <x14:dataValidation type="list" allowBlank="1" showInputMessage="1" showErrorMessage="1" xr:uid="{00000000-0002-0000-0700-00001F000000}">
          <x14:formula1>
            <xm:f>'Warm Up'!$F:$F</xm:f>
          </x14:formula1>
          <xm:sqref>O12:Q12</xm:sqref>
        </x14:dataValidation>
        <x14:dataValidation type="list" allowBlank="1" showInputMessage="1" showErrorMessage="1" xr:uid="{00000000-0002-0000-0700-000020000000}">
          <x14:formula1>
            <xm:f>'Warm Up'!$E:$E</xm:f>
          </x14:formula1>
          <xm:sqref>L12:N12</xm:sqref>
        </x14:dataValidation>
        <x14:dataValidation type="list" allowBlank="1" showInputMessage="1" showErrorMessage="1" xr:uid="{00000000-0002-0000-0700-000021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700-000022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700-000023000000}">
          <x14:formula1>
            <xm:f>'Warm Up'!$D:$D</xm:f>
          </x14:formula1>
          <xm:sqref>H12</xm:sqref>
        </x14:dataValidation>
        <x14:dataValidation type="list" allowBlank="1" showInputMessage="1" showErrorMessage="1" xr:uid="{00000000-0002-0000-0700-000005000000}">
          <x14:formula1>
            <xm:f>'Oberkörper Progressionen '!$I:$I</xm:f>
          </x14:formula1>
          <xm:sqref>C27:E27</xm:sqref>
        </x14:dataValidation>
        <x14:dataValidation type="list" allowBlank="1" showInputMessage="1" showErrorMessage="1" xr:uid="{00000000-0002-0000-0700-000006000000}">
          <x14:formula1>
            <xm:f>'Oberkörper Progressionen '!$G:$G</xm:f>
          </x14:formula1>
          <xm:sqref>C25:E25</xm:sqref>
        </x14:dataValidation>
        <x14:dataValidation type="list" allowBlank="1" showInputMessage="1" showErrorMessage="1" xr:uid="{00000000-0002-0000-0700-000007000000}">
          <x14:formula1>
            <xm:f>'Oberkörper Progressionen '!$M:$M</xm:f>
          </x14:formula1>
          <xm:sqref>C31:E31</xm:sqref>
        </x14:dataValidation>
        <x14:dataValidation type="list" allowBlank="1" showInputMessage="1" showErrorMessage="1" xr:uid="{00000000-0002-0000-0700-000008000000}">
          <x14:formula1>
            <xm:f>'Oberkörper Progressionen '!$J:$J</xm:f>
          </x14:formula1>
          <xm:sqref>C28:E28</xm:sqref>
        </x14:dataValidation>
        <x14:dataValidation type="list" allowBlank="1" showInputMessage="1" showErrorMessage="1" xr:uid="{00000000-0002-0000-0700-000009000000}">
          <x14:formula1>
            <xm:f>'Oberkörper Progressionen '!$H:$H</xm:f>
          </x14:formula1>
          <xm:sqref>C26:E26</xm:sqref>
        </x14:dataValidation>
        <x14:dataValidation type="list" allowBlank="1" showInputMessage="1" showErrorMessage="1" xr:uid="{00000000-0002-0000-0700-00000A000000}">
          <x14:formula1>
            <xm:f>'Oberkörper Progressionen '!$T:$T</xm:f>
          </x14:formula1>
          <xm:sqref>C37:E37</xm:sqref>
        </x14:dataValidation>
        <x14:dataValidation type="list" allowBlank="1" showInputMessage="1" showErrorMessage="1" xr:uid="{00000000-0002-0000-0700-00000B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0700-00000C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0700-00000D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0700-00000E000000}">
          <x14:formula1>
            <xm:f>'Oberkörper Progressionen '!$K:$K</xm:f>
          </x14:formula1>
          <xm:sqref>C29:E29</xm:sqref>
        </x14:dataValidation>
        <x14:dataValidation type="list" allowBlank="1" showInputMessage="1" showErrorMessage="1" xr:uid="{00000000-0002-0000-0700-00000F000000}">
          <x14:formula1>
            <xm:f>'Oberkörper Progressionen '!$L:$L</xm:f>
          </x14:formula1>
          <xm:sqref>C30:E30</xm:sqref>
        </x14:dataValidation>
        <x14:dataValidation type="list" allowBlank="1" showInputMessage="1" showErrorMessage="1" xr:uid="{00000000-0002-0000-0700-000010000000}">
          <x14:formula1>
            <xm:f>'Oberkörper Progressionen '!$N:$N</xm:f>
          </x14:formula1>
          <xm:sqref>C32:E32</xm:sqref>
        </x14:dataValidation>
        <x14:dataValidation type="list" allowBlank="1" showInputMessage="1" showErrorMessage="1" xr:uid="{00000000-0002-0000-0700-000011000000}">
          <x14:formula1>
            <xm:f>'Oberkörper Progressionen '!$O:$O</xm:f>
          </x14:formula1>
          <xm:sqref>C33:E33</xm:sqref>
        </x14:dataValidation>
        <x14:dataValidation type="list" allowBlank="1" showInputMessage="1" showErrorMessage="1" xr:uid="{00000000-0002-0000-0700-000012000000}">
          <x14:formula1>
            <xm:f>'Oberkörper Progressionen '!$Q:$Q</xm:f>
          </x14:formula1>
          <xm:sqref>C38:E38</xm:sqref>
        </x14:dataValidation>
        <x14:dataValidation type="list" allowBlank="1" showInputMessage="1" showErrorMessage="1" xr:uid="{00000000-0002-0000-0700-000013000000}">
          <x14:formula1>
            <xm:f>'Oberkörper Progressionen '!$R:$R</xm:f>
          </x14:formula1>
          <xm:sqref>C36:E36</xm:sqref>
        </x14:dataValidation>
        <x14:dataValidation type="list" allowBlank="1" showInputMessage="1" showErrorMessage="1" xr:uid="{00000000-0002-0000-0700-000014000000}">
          <x14:formula1>
            <xm:f>'Oberkörper Progressionen '!$S:$S</xm:f>
          </x14:formula1>
          <xm:sqref>C39:E39</xm:sqref>
        </x14:dataValidation>
        <x14:dataValidation type="list" allowBlank="1" showInputMessage="1" showErrorMessage="1" xr:uid="{00000000-0002-0000-0700-000015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0700-000016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0700-000017000000}">
          <x14:formula1>
            <xm:f>'Oberkörper Progressionen '!$P:$P</xm:f>
          </x14:formula1>
          <xm:sqref>C34:E34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X57"/>
  <sheetViews>
    <sheetView topLeftCell="A21" zoomScale="78" zoomScaleNormal="110" workbookViewId="0">
      <selection activeCell="I27" sqref="I27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4" ht="16.5" thickBot="1" x14ac:dyDescent="0.3"/>
    <row r="2" spans="2:24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4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4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4" x14ac:dyDescent="0.25">
      <c r="B5" s="7"/>
      <c r="C5" s="60" t="s">
        <v>216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4" x14ac:dyDescent="0.25">
      <c r="B6" s="7"/>
      <c r="C6" s="60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4" x14ac:dyDescent="0.25">
      <c r="B7" s="7"/>
      <c r="C7" s="60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4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4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4" x14ac:dyDescent="0.25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17</v>
      </c>
      <c r="T10" s="64"/>
    </row>
    <row r="11" spans="2:24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4" s="34" customFormat="1" ht="15.6" customHeight="1" x14ac:dyDescent="0.25">
      <c r="B12" s="374" t="s">
        <v>581</v>
      </c>
      <c r="C12" s="373"/>
      <c r="D12" s="373"/>
      <c r="E12" s="373" t="s">
        <v>170</v>
      </c>
      <c r="F12" s="373"/>
      <c r="G12" s="373"/>
      <c r="H12" s="66"/>
      <c r="I12" s="66" t="s">
        <v>54</v>
      </c>
      <c r="J12" s="66"/>
      <c r="K12" s="66"/>
      <c r="L12" s="66"/>
      <c r="M12" s="66" t="s">
        <v>395</v>
      </c>
      <c r="N12" s="66"/>
      <c r="O12" s="373" t="s">
        <v>427</v>
      </c>
      <c r="P12" s="373"/>
      <c r="Q12" s="373"/>
      <c r="R12" s="66"/>
      <c r="S12" s="66" t="s">
        <v>562</v>
      </c>
      <c r="T12" s="33"/>
    </row>
    <row r="13" spans="2:24" s="34" customFormat="1" ht="15.6" customHeight="1" x14ac:dyDescent="0.25">
      <c r="B13" s="376" t="s">
        <v>148</v>
      </c>
      <c r="C13" s="375"/>
      <c r="D13" s="375"/>
      <c r="E13" s="375" t="s">
        <v>144</v>
      </c>
      <c r="F13" s="375"/>
      <c r="G13" s="375"/>
      <c r="I13" s="34" t="s">
        <v>151</v>
      </c>
      <c r="M13" s="34" t="s">
        <v>152</v>
      </c>
      <c r="O13" s="375" t="s">
        <v>585</v>
      </c>
      <c r="P13" s="375"/>
      <c r="Q13" s="375"/>
      <c r="S13" s="34" t="s">
        <v>587</v>
      </c>
      <c r="T13" s="35"/>
    </row>
    <row r="14" spans="2:24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4" ht="16.5" thickBot="1" x14ac:dyDescent="0.3">
      <c r="B15" s="352" t="s">
        <v>648</v>
      </c>
      <c r="C15" s="353"/>
      <c r="D15" s="353"/>
      <c r="E15" s="354"/>
      <c r="F15" s="1"/>
      <c r="G15" s="338" t="s">
        <v>132</v>
      </c>
      <c r="H15" s="339"/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39"/>
      <c r="T15" s="340"/>
      <c r="X15" t="s">
        <v>311</v>
      </c>
    </row>
    <row r="16" spans="2:24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2" t="s">
        <v>165</v>
      </c>
      <c r="R16" s="358" t="s">
        <v>51</v>
      </c>
      <c r="S16" s="359"/>
      <c r="T16" s="72" t="s">
        <v>167</v>
      </c>
      <c r="W16" s="36"/>
      <c r="X16" s="1" t="s">
        <v>588</v>
      </c>
    </row>
    <row r="17" spans="2:24" ht="16.5" thickBot="1" x14ac:dyDescent="0.3">
      <c r="B17" s="338" t="s">
        <v>18</v>
      </c>
      <c r="C17" s="339"/>
      <c r="D17" s="339"/>
      <c r="E17" s="340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  <c r="W17" s="37"/>
      <c r="X17" s="1" t="s">
        <v>605</v>
      </c>
    </row>
    <row r="18" spans="2:24" s="1" customFormat="1" ht="19.899999999999999" customHeight="1" x14ac:dyDescent="0.25">
      <c r="B18" s="9">
        <v>1</v>
      </c>
      <c r="C18" s="336" t="s">
        <v>36</v>
      </c>
      <c r="D18" s="336"/>
      <c r="E18" s="337"/>
      <c r="G18" s="18" t="s">
        <v>23</v>
      </c>
      <c r="H18" s="19"/>
      <c r="I18" s="19" t="s">
        <v>643</v>
      </c>
      <c r="J18" s="20" t="s">
        <v>27</v>
      </c>
      <c r="L18" s="18" t="s">
        <v>23</v>
      </c>
      <c r="M18" s="19"/>
      <c r="N18" s="19" t="s">
        <v>644</v>
      </c>
      <c r="O18" s="20" t="s">
        <v>27</v>
      </c>
      <c r="Q18" s="44" t="s">
        <v>23</v>
      </c>
      <c r="R18" s="45"/>
      <c r="S18" s="45" t="s">
        <v>642</v>
      </c>
      <c r="T18" s="46" t="s">
        <v>27</v>
      </c>
      <c r="W18" s="36"/>
      <c r="X18" s="1" t="s">
        <v>607</v>
      </c>
    </row>
    <row r="19" spans="2:24" s="1" customFormat="1" ht="19.899999999999999" customHeight="1" x14ac:dyDescent="0.25">
      <c r="B19" s="3">
        <v>2</v>
      </c>
      <c r="C19" s="343" t="s">
        <v>613</v>
      </c>
      <c r="D19" s="343"/>
      <c r="E19" s="344"/>
      <c r="G19" s="68" t="s">
        <v>23</v>
      </c>
      <c r="H19" s="69"/>
      <c r="I19" s="69" t="s">
        <v>25</v>
      </c>
      <c r="J19" s="70"/>
      <c r="L19" s="68" t="s">
        <v>23</v>
      </c>
      <c r="M19" s="69"/>
      <c r="N19" s="69" t="s">
        <v>25</v>
      </c>
      <c r="O19" s="70"/>
      <c r="Q19" s="68" t="s">
        <v>23</v>
      </c>
      <c r="R19" s="69"/>
      <c r="S19" s="69" t="s">
        <v>25</v>
      </c>
      <c r="T19" s="70"/>
      <c r="W19" s="36"/>
      <c r="X19" s="1" t="s">
        <v>645</v>
      </c>
    </row>
    <row r="20" spans="2:24" s="1" customFormat="1" ht="19.899999999999999" customHeight="1" thickBot="1" x14ac:dyDescent="0.3">
      <c r="B20" s="4">
        <v>3</v>
      </c>
      <c r="C20" s="341" t="s">
        <v>614</v>
      </c>
      <c r="D20" s="341"/>
      <c r="E20" s="342"/>
      <c r="G20" s="24" t="s">
        <v>23</v>
      </c>
      <c r="H20" s="25"/>
      <c r="I20" s="25" t="s">
        <v>25</v>
      </c>
      <c r="J20" s="26"/>
      <c r="L20" s="24" t="s">
        <v>23</v>
      </c>
      <c r="M20" s="25"/>
      <c r="N20" s="25" t="s">
        <v>25</v>
      </c>
      <c r="O20" s="26"/>
      <c r="Q20" s="47" t="s">
        <v>23</v>
      </c>
      <c r="R20" s="48"/>
      <c r="S20" s="48" t="s">
        <v>25</v>
      </c>
      <c r="T20" s="49"/>
      <c r="X20" s="1" t="s">
        <v>648</v>
      </c>
    </row>
    <row r="21" spans="2:24" s="2" customFormat="1" ht="4.9000000000000004" customHeight="1" thickBot="1" x14ac:dyDescent="0.3">
      <c r="B21" s="74"/>
      <c r="Q21" s="50"/>
      <c r="R21" s="50"/>
      <c r="S21" s="50"/>
      <c r="T21" s="75"/>
      <c r="X21" s="1"/>
    </row>
    <row r="22" spans="2:24" s="1" customFormat="1" ht="16.5" thickBot="1" x14ac:dyDescent="0.3">
      <c r="B22" s="338" t="s">
        <v>379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</row>
    <row r="23" spans="2:24" s="1" customFormat="1" ht="19.899999999999999" customHeight="1" x14ac:dyDescent="0.25">
      <c r="B23" s="9">
        <v>1</v>
      </c>
      <c r="C23" s="336" t="s">
        <v>395</v>
      </c>
      <c r="D23" s="336"/>
      <c r="E23" s="337"/>
      <c r="G23" s="21"/>
      <c r="H23" s="22" t="s">
        <v>24</v>
      </c>
      <c r="I23" s="22" t="s">
        <v>17</v>
      </c>
      <c r="J23" s="23"/>
      <c r="L23" s="21"/>
      <c r="M23" s="22" t="s">
        <v>24</v>
      </c>
      <c r="N23" s="22" t="str">
        <f t="shared" ref="N23:N31" si="0">I23</f>
        <v>1x20</v>
      </c>
      <c r="O23" s="23"/>
      <c r="Q23" s="51"/>
      <c r="R23" s="53" t="s">
        <v>24</v>
      </c>
      <c r="S23" s="53" t="str">
        <f>N23</f>
        <v>1x20</v>
      </c>
      <c r="T23" s="54"/>
    </row>
    <row r="24" spans="2:24" s="1" customFormat="1" ht="19.899999999999999" customHeight="1" x14ac:dyDescent="0.25">
      <c r="B24" s="3">
        <v>2</v>
      </c>
      <c r="C24" s="343" t="s">
        <v>562</v>
      </c>
      <c r="D24" s="343"/>
      <c r="E24" s="344"/>
      <c r="G24" s="27"/>
      <c r="H24" s="28" t="s">
        <v>24</v>
      </c>
      <c r="I24" s="28" t="s">
        <v>657</v>
      </c>
      <c r="J24" s="29"/>
      <c r="L24" s="27"/>
      <c r="M24" s="28" t="s">
        <v>24</v>
      </c>
      <c r="N24" s="28" t="str">
        <f t="shared" si="0"/>
        <v>1x10/ea</v>
      </c>
      <c r="O24" s="29"/>
      <c r="Q24" s="55"/>
      <c r="R24" s="57" t="s">
        <v>24</v>
      </c>
      <c r="S24" s="57" t="str">
        <f>N24</f>
        <v>1x10/ea</v>
      </c>
      <c r="T24" s="58"/>
    </row>
    <row r="25" spans="2:24" s="1" customFormat="1" ht="19.899999999999999" customHeight="1" thickBot="1" x14ac:dyDescent="0.3">
      <c r="B25" s="4">
        <v>3</v>
      </c>
      <c r="C25" s="341" t="s">
        <v>420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4" s="1" customFormat="1" ht="19.899999999999999" customHeight="1" x14ac:dyDescent="0.25">
      <c r="B26" s="9">
        <v>4</v>
      </c>
      <c r="C26" s="336" t="s">
        <v>427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4" s="1" customFormat="1" ht="19.899999999999999" customHeight="1" x14ac:dyDescent="0.25">
      <c r="B27" s="3">
        <v>5</v>
      </c>
      <c r="C27" s="343" t="s">
        <v>425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">
        <v>17</v>
      </c>
      <c r="T27" s="58"/>
    </row>
    <row r="28" spans="2:24" s="1" customFormat="1" ht="19.899999999999999" customHeight="1" thickBot="1" x14ac:dyDescent="0.3">
      <c r="B28" s="4">
        <v>6</v>
      </c>
      <c r="C28" s="341" t="s">
        <v>440</v>
      </c>
      <c r="D28" s="341"/>
      <c r="E28" s="342"/>
      <c r="G28" s="24"/>
      <c r="H28" s="25" t="s">
        <v>24</v>
      </c>
      <c r="I28" s="25" t="s">
        <v>296</v>
      </c>
      <c r="J28" s="26"/>
      <c r="L28" s="24"/>
      <c r="M28" s="25" t="s">
        <v>24</v>
      </c>
      <c r="N28" s="25" t="str">
        <f t="shared" si="0"/>
        <v>3x10s</v>
      </c>
      <c r="O28" s="26"/>
      <c r="Q28" s="47"/>
      <c r="R28" s="48" t="s">
        <v>24</v>
      </c>
      <c r="S28" s="48" t="str">
        <f>N28</f>
        <v>3x10s</v>
      </c>
      <c r="T28" s="49"/>
    </row>
    <row r="29" spans="2:24" s="1" customFormat="1" ht="19.899999999999999" customHeight="1" x14ac:dyDescent="0.25">
      <c r="B29" s="9">
        <v>7</v>
      </c>
      <c r="C29" s="336" t="s">
        <v>501</v>
      </c>
      <c r="D29" s="336"/>
      <c r="E29" s="337"/>
      <c r="G29" s="21"/>
      <c r="H29" s="22" t="s">
        <v>24</v>
      </c>
      <c r="I29" s="22" t="s">
        <v>624</v>
      </c>
      <c r="J29" s="23"/>
      <c r="L29" s="21"/>
      <c r="M29" s="22" t="s">
        <v>24</v>
      </c>
      <c r="N29" s="22" t="str">
        <f t="shared" si="0"/>
        <v>1x20/ea</v>
      </c>
      <c r="O29" s="23"/>
      <c r="Q29" s="51"/>
      <c r="R29" s="53" t="s">
        <v>24</v>
      </c>
      <c r="S29" s="53" t="str">
        <f>N29</f>
        <v>1x20/ea</v>
      </c>
      <c r="T29" s="54"/>
    </row>
    <row r="30" spans="2:24" s="1" customFormat="1" ht="19.899999999999999" customHeight="1" x14ac:dyDescent="0.25">
      <c r="B30" s="3">
        <v>8</v>
      </c>
      <c r="C30" s="343" t="s">
        <v>188</v>
      </c>
      <c r="D30" s="343"/>
      <c r="E30" s="344"/>
      <c r="G30" s="27"/>
      <c r="H30" s="28" t="s">
        <v>24</v>
      </c>
      <c r="I30" s="28" t="s">
        <v>135</v>
      </c>
      <c r="J30" s="29"/>
      <c r="L30" s="27"/>
      <c r="M30" s="28" t="s">
        <v>24</v>
      </c>
      <c r="N30" s="28" t="str">
        <f t="shared" si="0"/>
        <v>1x30s/ea</v>
      </c>
      <c r="O30" s="29"/>
      <c r="Q30" s="55"/>
      <c r="R30" s="57" t="s">
        <v>24</v>
      </c>
      <c r="S30" s="57" t="str">
        <f>N30</f>
        <v>1x30s/ea</v>
      </c>
      <c r="T30" s="58"/>
    </row>
    <row r="31" spans="2:24" s="1" customFormat="1" ht="19.899999999999999" customHeight="1" thickBot="1" x14ac:dyDescent="0.3">
      <c r="B31" s="4">
        <v>9</v>
      </c>
      <c r="C31" s="341" t="s">
        <v>107</v>
      </c>
      <c r="D31" s="341"/>
      <c r="E31" s="342"/>
      <c r="G31" s="24"/>
      <c r="H31" s="25" t="s">
        <v>24</v>
      </c>
      <c r="I31" s="25" t="s">
        <v>623</v>
      </c>
      <c r="J31" s="26"/>
      <c r="L31" s="24"/>
      <c r="M31" s="25" t="s">
        <v>24</v>
      </c>
      <c r="N31" s="25" t="str">
        <f t="shared" si="0"/>
        <v>2x12/ea</v>
      </c>
      <c r="O31" s="26"/>
      <c r="Q31" s="47"/>
      <c r="R31" s="48" t="s">
        <v>24</v>
      </c>
      <c r="S31" s="25" t="str">
        <f>N31</f>
        <v>2x12/ea</v>
      </c>
      <c r="T31" s="49"/>
    </row>
    <row r="32" spans="2:24" s="1" customFormat="1" ht="19.899999999999999" customHeight="1" x14ac:dyDescent="0.25">
      <c r="B32" s="9">
        <v>10</v>
      </c>
      <c r="C32" s="336" t="s">
        <v>508</v>
      </c>
      <c r="D32" s="336"/>
      <c r="E32" s="337"/>
      <c r="G32" s="21"/>
      <c r="H32" s="22" t="s">
        <v>24</v>
      </c>
      <c r="I32" s="22" t="s">
        <v>659</v>
      </c>
      <c r="J32" s="23"/>
      <c r="L32" s="21"/>
      <c r="M32" s="22" t="s">
        <v>24</v>
      </c>
      <c r="N32" s="22" t="str">
        <f>I32</f>
        <v>1x12/ea</v>
      </c>
      <c r="O32" s="23"/>
      <c r="Q32" s="21"/>
      <c r="R32" s="22" t="s">
        <v>24</v>
      </c>
      <c r="S32" s="22" t="str">
        <f>I32</f>
        <v>1x12/ea</v>
      </c>
      <c r="T32" s="23"/>
    </row>
    <row r="33" spans="2:22" s="1" customFormat="1" ht="19.899999999999999" customHeight="1" x14ac:dyDescent="0.25">
      <c r="B33" s="3">
        <v>11</v>
      </c>
      <c r="C33" s="343" t="s">
        <v>431</v>
      </c>
      <c r="D33" s="343"/>
      <c r="E33" s="344"/>
      <c r="G33" s="27"/>
      <c r="H33" s="28" t="s">
        <v>24</v>
      </c>
      <c r="I33" s="28" t="s">
        <v>660</v>
      </c>
      <c r="J33" s="29"/>
      <c r="L33" s="27"/>
      <c r="M33" s="28" t="s">
        <v>24</v>
      </c>
      <c r="N33" s="28" t="str">
        <f t="shared" ref="N33:N38" si="1">I33</f>
        <v>1x12</v>
      </c>
      <c r="O33" s="29"/>
      <c r="Q33" s="27"/>
      <c r="R33" s="28" t="s">
        <v>24</v>
      </c>
      <c r="S33" s="28" t="str">
        <f>N33</f>
        <v>1x12</v>
      </c>
      <c r="T33" s="29"/>
    </row>
    <row r="34" spans="2:22" s="1" customFormat="1" ht="19.899999999999999" customHeight="1" thickBot="1" x14ac:dyDescent="0.3">
      <c r="B34" s="3">
        <v>12</v>
      </c>
      <c r="C34" s="343" t="s">
        <v>206</v>
      </c>
      <c r="D34" s="343"/>
      <c r="E34" s="344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 t="shared" si="1"/>
        <v>1x20/ea</v>
      </c>
      <c r="O34" s="26"/>
      <c r="Q34" s="47"/>
      <c r="R34" s="48" t="s">
        <v>24</v>
      </c>
      <c r="S34" s="48" t="str">
        <f>N34</f>
        <v>1x20/ea</v>
      </c>
      <c r="T34" s="49"/>
    </row>
    <row r="35" spans="2:22" s="1" customFormat="1" ht="19.899999999999999" customHeight="1" x14ac:dyDescent="0.25">
      <c r="B35" s="9">
        <v>13</v>
      </c>
      <c r="C35" s="336" t="s">
        <v>447</v>
      </c>
      <c r="D35" s="336"/>
      <c r="E35" s="337"/>
      <c r="G35" s="103"/>
      <c r="H35" s="22" t="s">
        <v>24</v>
      </c>
      <c r="I35" s="22" t="s">
        <v>626</v>
      </c>
      <c r="J35" s="23"/>
      <c r="L35" s="21"/>
      <c r="M35" s="22" t="s">
        <v>24</v>
      </c>
      <c r="N35" s="22" t="str">
        <f t="shared" si="1"/>
        <v>1x15m/ea</v>
      </c>
      <c r="O35" s="23"/>
      <c r="Q35" s="21"/>
      <c r="R35" s="22" t="s">
        <v>24</v>
      </c>
      <c r="S35" s="22" t="str">
        <f>I35</f>
        <v>1x15m/ea</v>
      </c>
      <c r="T35" s="23"/>
    </row>
    <row r="36" spans="2:22" s="1" customFormat="1" ht="19.899999999999999" customHeight="1" x14ac:dyDescent="0.25">
      <c r="B36" s="3">
        <v>14</v>
      </c>
      <c r="C36" s="343" t="s">
        <v>455</v>
      </c>
      <c r="D36" s="343"/>
      <c r="E36" s="344"/>
      <c r="G36" s="100"/>
      <c r="H36" s="28" t="s">
        <v>24</v>
      </c>
      <c r="I36" s="28" t="s">
        <v>317</v>
      </c>
      <c r="J36" s="29"/>
      <c r="L36" s="27"/>
      <c r="M36" s="28" t="s">
        <v>24</v>
      </c>
      <c r="N36" s="28" t="str">
        <f t="shared" si="1"/>
        <v>3x10s/ea</v>
      </c>
      <c r="O36" s="29"/>
      <c r="Q36" s="27"/>
      <c r="R36" s="28" t="s">
        <v>24</v>
      </c>
      <c r="S36" s="28" t="str">
        <f>N36</f>
        <v>3x10s/ea</v>
      </c>
      <c r="T36" s="29"/>
    </row>
    <row r="37" spans="2:22" s="1" customFormat="1" ht="19.899999999999999" customHeight="1" x14ac:dyDescent="0.25">
      <c r="B37" s="3">
        <v>15</v>
      </c>
      <c r="C37" s="343" t="s">
        <v>46</v>
      </c>
      <c r="D37" s="343"/>
      <c r="E37" s="344"/>
      <c r="G37" s="100"/>
      <c r="H37" s="28" t="s">
        <v>24</v>
      </c>
      <c r="I37" s="28" t="s">
        <v>624</v>
      </c>
      <c r="J37" s="29"/>
      <c r="L37" s="27"/>
      <c r="M37" s="28" t="s">
        <v>24</v>
      </c>
      <c r="N37" s="28" t="str">
        <f t="shared" si="1"/>
        <v>1x20/ea</v>
      </c>
      <c r="O37" s="29"/>
      <c r="Q37" s="27"/>
      <c r="R37" s="28" t="s">
        <v>24</v>
      </c>
      <c r="S37" s="28" t="str">
        <f>N37</f>
        <v>1x20/ea</v>
      </c>
      <c r="T37" s="29"/>
    </row>
    <row r="38" spans="2:22" s="1" customFormat="1" ht="19.899999999999999" customHeight="1" thickBot="1" x14ac:dyDescent="0.3">
      <c r="B38" s="4">
        <v>16</v>
      </c>
      <c r="C38" s="341" t="s">
        <v>649</v>
      </c>
      <c r="D38" s="341"/>
      <c r="E38" s="342"/>
      <c r="G38" s="24"/>
      <c r="H38" s="25" t="s">
        <v>24</v>
      </c>
      <c r="I38" s="25" t="s">
        <v>624</v>
      </c>
      <c r="J38" s="26"/>
      <c r="L38" s="24"/>
      <c r="M38" s="25" t="s">
        <v>24</v>
      </c>
      <c r="N38" s="25" t="str">
        <f t="shared" si="1"/>
        <v>1x20/ea</v>
      </c>
      <c r="O38" s="26"/>
      <c r="Q38" s="24"/>
      <c r="R38" s="25" t="s">
        <v>24</v>
      </c>
      <c r="S38" s="25" t="str">
        <f>N38</f>
        <v>1x20/ea</v>
      </c>
      <c r="T38" s="26"/>
    </row>
    <row r="39" spans="2:22" s="2" customFormat="1" ht="16.149999999999999" customHeight="1" thickBot="1" x14ac:dyDescent="0.3">
      <c r="B39" s="349" t="s">
        <v>383</v>
      </c>
      <c r="C39" s="350"/>
      <c r="D39" s="350"/>
      <c r="E39" s="351"/>
      <c r="F39" s="81"/>
      <c r="G39" s="333"/>
      <c r="H39" s="334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5"/>
    </row>
    <row r="40" spans="2:22" s="1" customFormat="1" ht="19.899999999999999" customHeight="1" x14ac:dyDescent="0.25">
      <c r="B40" s="9">
        <v>17</v>
      </c>
      <c r="C40" s="336" t="s">
        <v>205</v>
      </c>
      <c r="D40" s="336"/>
      <c r="E40" s="337"/>
      <c r="G40" s="21"/>
      <c r="H40" s="30" t="s">
        <v>24</v>
      </c>
      <c r="I40" s="22" t="s">
        <v>651</v>
      </c>
      <c r="J40" s="23"/>
      <c r="L40" s="21"/>
      <c r="M40" s="30" t="s">
        <v>24</v>
      </c>
      <c r="N40" s="22" t="str">
        <f>I40</f>
        <v>1x75s/ea</v>
      </c>
      <c r="O40" s="23"/>
      <c r="Q40" s="51"/>
      <c r="R40" s="52" t="s">
        <v>24</v>
      </c>
      <c r="S40" s="53" t="str">
        <f>I40</f>
        <v>1x75s/ea</v>
      </c>
      <c r="T40" s="54"/>
    </row>
    <row r="41" spans="2:22" s="1" customFormat="1" ht="19.899999999999999" customHeight="1" x14ac:dyDescent="0.25">
      <c r="B41" s="3">
        <v>18</v>
      </c>
      <c r="C41" s="345" t="s">
        <v>638</v>
      </c>
      <c r="D41" s="345"/>
      <c r="E41" s="346"/>
      <c r="G41" s="27"/>
      <c r="H41" s="31" t="s">
        <v>24</v>
      </c>
      <c r="I41" s="28" t="s">
        <v>651</v>
      </c>
      <c r="J41" s="29"/>
      <c r="L41" s="27"/>
      <c r="M41" s="31" t="s">
        <v>24</v>
      </c>
      <c r="N41" s="28" t="str">
        <f>I41</f>
        <v>1x75s/ea</v>
      </c>
      <c r="O41" s="29"/>
      <c r="Q41" s="55"/>
      <c r="R41" s="56" t="s">
        <v>24</v>
      </c>
      <c r="S41" s="57" t="str">
        <f>I41</f>
        <v>1x75s/ea</v>
      </c>
      <c r="T41" s="58"/>
    </row>
    <row r="42" spans="2:22" s="1" customFormat="1" ht="19.899999999999999" customHeight="1" thickBot="1" x14ac:dyDescent="0.3">
      <c r="B42" s="4">
        <v>19</v>
      </c>
      <c r="C42" s="347" t="s">
        <v>47</v>
      </c>
      <c r="D42" s="347"/>
      <c r="E42" s="348"/>
      <c r="F42" s="67"/>
      <c r="G42" s="24"/>
      <c r="H42" s="32" t="s">
        <v>24</v>
      </c>
      <c r="I42" s="25" t="s">
        <v>651</v>
      </c>
      <c r="J42" s="26"/>
      <c r="K42" s="67"/>
      <c r="L42" s="24"/>
      <c r="M42" s="32" t="s">
        <v>24</v>
      </c>
      <c r="N42" s="25" t="str">
        <f>I42</f>
        <v>1x75s/ea</v>
      </c>
      <c r="O42" s="26"/>
      <c r="P42" s="67"/>
      <c r="Q42" s="47"/>
      <c r="R42" s="59" t="s">
        <v>24</v>
      </c>
      <c r="S42" s="48" t="str">
        <f>N42</f>
        <v>1x75s/ea</v>
      </c>
      <c r="T42" s="49"/>
    </row>
    <row r="43" spans="2:22" s="2" customFormat="1" ht="4.9000000000000004" customHeight="1" x14ac:dyDescent="0.25">
      <c r="Q43" s="50"/>
      <c r="R43" s="50"/>
      <c r="S43" s="50"/>
      <c r="T43" s="50"/>
    </row>
    <row r="44" spans="2:22" x14ac:dyDescent="0.25">
      <c r="V44" s="1" t="s">
        <v>314</v>
      </c>
    </row>
    <row r="45" spans="2:22" x14ac:dyDescent="0.25">
      <c r="V45" s="1" t="s">
        <v>338</v>
      </c>
    </row>
    <row r="46" spans="2:22" x14ac:dyDescent="0.25">
      <c r="V46" s="1" t="s">
        <v>48</v>
      </c>
    </row>
    <row r="47" spans="2:22" x14ac:dyDescent="0.25">
      <c r="V47" s="1" t="s">
        <v>135</v>
      </c>
    </row>
    <row r="48" spans="2:22" x14ac:dyDescent="0.25">
      <c r="V48" s="1" t="s">
        <v>315</v>
      </c>
    </row>
    <row r="49" spans="22:22" x14ac:dyDescent="0.25">
      <c r="V49" s="1" t="s">
        <v>316</v>
      </c>
    </row>
    <row r="50" spans="22:22" x14ac:dyDescent="0.25">
      <c r="V50" s="1" t="s">
        <v>651</v>
      </c>
    </row>
    <row r="51" spans="22:22" x14ac:dyDescent="0.25">
      <c r="V51" s="1" t="s">
        <v>650</v>
      </c>
    </row>
    <row r="53" spans="22:22" x14ac:dyDescent="0.25">
      <c r="V53" s="1" t="s">
        <v>317</v>
      </c>
    </row>
    <row r="54" spans="22:22" x14ac:dyDescent="0.25">
      <c r="V54" s="1" t="s">
        <v>364</v>
      </c>
    </row>
    <row r="55" spans="22:22" x14ac:dyDescent="0.25">
      <c r="V55" s="1" t="s">
        <v>26</v>
      </c>
    </row>
    <row r="56" spans="22:22" x14ac:dyDescent="0.25">
      <c r="V56" s="1" t="s">
        <v>232</v>
      </c>
    </row>
    <row r="57" spans="22:22" x14ac:dyDescent="0.25">
      <c r="V57" s="1" t="s">
        <v>623</v>
      </c>
    </row>
  </sheetData>
  <mergeCells count="40">
    <mergeCell ref="C41:E41"/>
    <mergeCell ref="C42:E42"/>
    <mergeCell ref="C36:E36"/>
    <mergeCell ref="C37:E37"/>
    <mergeCell ref="C38:E38"/>
    <mergeCell ref="B39:E39"/>
    <mergeCell ref="G39:T39"/>
    <mergeCell ref="C40:E40"/>
    <mergeCell ref="C30:E30"/>
    <mergeCell ref="C31:E31"/>
    <mergeCell ref="C32:E32"/>
    <mergeCell ref="C33:E33"/>
    <mergeCell ref="C34:E34"/>
    <mergeCell ref="C35:E35"/>
    <mergeCell ref="C29:E29"/>
    <mergeCell ref="B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B13:D13"/>
    <mergeCell ref="E13:G13"/>
    <mergeCell ref="O13:Q13"/>
    <mergeCell ref="B15:E16"/>
    <mergeCell ref="G15:T15"/>
    <mergeCell ref="H16:I16"/>
    <mergeCell ref="M16:N16"/>
    <mergeCell ref="R16:S16"/>
    <mergeCell ref="O2:T7"/>
    <mergeCell ref="E10:G10"/>
    <mergeCell ref="I10:L10"/>
    <mergeCell ref="B12:D12"/>
    <mergeCell ref="E12:G12"/>
    <mergeCell ref="O12:Q12"/>
  </mergeCells>
  <dataValidations count="11">
    <dataValidation type="list" allowBlank="1" showInputMessage="1" showErrorMessage="1" sqref="N27 S27" xr:uid="{00000000-0002-0000-0800-000000000000}">
      <formula1>$V$40:$V$48</formula1>
    </dataValidation>
    <dataValidation type="list" allowBlank="1" showInputMessage="1" showErrorMessage="1" sqref="M23:M38 H23:H38 R23:R38" xr:uid="{00000000-0002-0000-0800-000001000000}">
      <formula1>$W$22:$W$24</formula1>
    </dataValidation>
    <dataValidation type="list" allowBlank="1" showInputMessage="1" showErrorMessage="1" sqref="B15:E16" xr:uid="{00000000-0002-0000-0800-000002000000}">
      <formula1>$X$16:$X$20</formula1>
    </dataValidation>
    <dataValidation type="list" allowBlank="1" showInputMessage="1" showErrorMessage="1" sqref="M40 R40 H40" xr:uid="{00000000-0002-0000-0800-000003000000}">
      <formula1>$W$16:$W$20</formula1>
    </dataValidation>
    <dataValidation type="list" allowBlank="1" showInputMessage="1" showErrorMessage="1" sqref="H41:H42 R41:R42 M41:M42" xr:uid="{00000000-0002-0000-0800-000004000000}">
      <formula1>$W$16:$W$18</formula1>
    </dataValidation>
    <dataValidation type="list" allowBlank="1" showInputMessage="1" showErrorMessage="1" sqref="S42 N40:N42" xr:uid="{00000000-0002-0000-0800-000005000000}">
      <formula1>$V$44:$V$49</formula1>
    </dataValidation>
    <dataValidation type="list" allowBlank="1" showInputMessage="1" showErrorMessage="1" sqref="S31" xr:uid="{00000000-0002-0000-0800-000006000000}">
      <formula1>$V$40:$V$53</formula1>
    </dataValidation>
    <dataValidation type="list" allowBlank="1" showInputMessage="1" showErrorMessage="1" sqref="I40:I41" xr:uid="{00000000-0002-0000-0800-000007000000}">
      <formula1>$V$44:$V$58</formula1>
    </dataValidation>
    <dataValidation type="list" allowBlank="1" showInputMessage="1" showErrorMessage="1" sqref="N31" xr:uid="{00000000-0002-0000-0800-000008000000}">
      <formula1>$V$40:$V$54</formula1>
    </dataValidation>
    <dataValidation type="list" allowBlank="1" showInputMessage="1" showErrorMessage="1" sqref="I31" xr:uid="{00000000-0002-0000-0800-000009000000}">
      <formula1>$V$40:$V$58</formula1>
    </dataValidation>
    <dataValidation type="list" allowBlank="1" showInputMessage="1" showErrorMessage="1" sqref="I42" xr:uid="{00000000-0002-0000-0800-00000A000000}">
      <formula1>$V$44:$V$57</formula1>
    </dataValidation>
  </dataValidations>
  <pageMargins left="0.25" right="0.25" top="0.75" bottom="0.75" header="0.3" footer="0.3"/>
  <pageSetup paperSize="9" scale="67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4">
        <x14:dataValidation type="list" allowBlank="1" showInputMessage="1" showErrorMessage="1" xr:uid="{00000000-0002-0000-0800-00000B000000}">
          <x14:formula1>
            <xm:f>'Warm Up'!$L:$L</xm:f>
          </x14:formula1>
          <xm:sqref>O13</xm:sqref>
        </x14:dataValidation>
        <x14:dataValidation type="list" allowBlank="1" showInputMessage="1" showErrorMessage="1" xr:uid="{00000000-0002-0000-0800-00000C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800-00000D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800-00000E000000}">
          <x14:formula1>
            <xm:f>'Warm Up'!$D:$D</xm:f>
          </x14:formula1>
          <xm:sqref>I12</xm:sqref>
        </x14:dataValidation>
        <x14:dataValidation type="list" allowBlank="1" showInputMessage="1" showErrorMessage="1" xr:uid="{00000000-0002-0000-0800-00000F000000}">
          <x14:formula1>
            <xm:f>'Warm Up'!$E:$E</xm:f>
          </x14:formula1>
          <xm:sqref>M12</xm:sqref>
        </x14:dataValidation>
        <x14:dataValidation type="list" allowBlank="1" showInputMessage="1" showErrorMessage="1" xr:uid="{00000000-0002-0000-0800-000010000000}">
          <x14:formula1>
            <xm:f>'Warm Up'!$F:$F</xm:f>
          </x14:formula1>
          <xm:sqref>O12</xm:sqref>
        </x14:dataValidation>
        <x14:dataValidation type="list" allowBlank="1" showInputMessage="1" showErrorMessage="1" xr:uid="{00000000-0002-0000-0800-000011000000}">
          <x14:formula1>
            <xm:f>'Warm Up'!$G:$G</xm:f>
          </x14:formula1>
          <xm:sqref>S12</xm:sqref>
        </x14:dataValidation>
        <x14:dataValidation type="list" allowBlank="1" showInputMessage="1" showErrorMessage="1" xr:uid="{00000000-0002-0000-0800-000012000000}">
          <x14:formula1>
            <xm:f>'Warm Up'!$H:$H</xm:f>
          </x14:formula1>
          <xm:sqref>B13</xm:sqref>
        </x14:dataValidation>
        <x14:dataValidation type="list" allowBlank="1" showInputMessage="1" showErrorMessage="1" xr:uid="{00000000-0002-0000-0800-000013000000}">
          <x14:formula1>
            <xm:f>'Warm Up'!$I:$I</xm:f>
          </x14:formula1>
          <xm:sqref>E13</xm:sqref>
        </x14:dataValidation>
        <x14:dataValidation type="list" allowBlank="1" showInputMessage="1" showErrorMessage="1" xr:uid="{00000000-0002-0000-0800-000014000000}">
          <x14:formula1>
            <xm:f>'Warm Up'!$J:$J</xm:f>
          </x14:formula1>
          <xm:sqref>I13</xm:sqref>
        </x14:dataValidation>
        <x14:dataValidation type="list" allowBlank="1" showInputMessage="1" showErrorMessage="1" xr:uid="{00000000-0002-0000-0800-000015000000}">
          <x14:formula1>
            <xm:f>'Warm Up'!$K:$K</xm:f>
          </x14:formula1>
          <xm:sqref>M13</xm:sqref>
        </x14:dataValidation>
        <x14:dataValidation type="list" allowBlank="1" showInputMessage="1" showErrorMessage="1" xr:uid="{00000000-0002-0000-0800-000016000000}">
          <x14:formula1>
            <xm:f>'Warm Up'!$M:$M</xm:f>
          </x14:formula1>
          <xm:sqref>S13</xm:sqref>
        </x14:dataValidation>
        <x14:dataValidation type="list" allowBlank="1" showInputMessage="1" showErrorMessage="1" xr:uid="{00000000-0002-0000-0800-000017000000}">
          <x14:formula1>
            <xm:f>' Unterkörper Progressionen '!$C:$C</xm:f>
          </x14:formula1>
          <xm:sqref>C19:E19</xm:sqref>
        </x14:dataValidation>
        <x14:dataValidation type="list" allowBlank="1" showInputMessage="1" showErrorMessage="1" xr:uid="{00000000-0002-0000-0800-000018000000}">
          <x14:formula1>
            <xm:f>' Unterkörper Progressionen '!$B:$B</xm:f>
          </x14:formula1>
          <xm:sqref>C18:E18</xm:sqref>
        </x14:dataValidation>
        <x14:dataValidation type="list" allowBlank="1" showInputMessage="1" showErrorMessage="1" xr:uid="{00000000-0002-0000-0800-000019000000}">
          <x14:formula1>
            <xm:f>' Unterkörper Progressionen '!$G:$G</xm:f>
          </x14:formula1>
          <xm:sqref>C25:E25</xm:sqref>
        </x14:dataValidation>
        <x14:dataValidation type="list" allowBlank="1" showInputMessage="1" showErrorMessage="1" xr:uid="{00000000-0002-0000-0800-00001A000000}">
          <x14:formula1>
            <xm:f>' Unterkörper Progressionen '!$M:$M</xm:f>
          </x14:formula1>
          <xm:sqref>C31:E31</xm:sqref>
        </x14:dataValidation>
        <x14:dataValidation type="list" allowBlank="1" showInputMessage="1" showErrorMessage="1" xr:uid="{00000000-0002-0000-0800-00001B000000}">
          <x14:formula1>
            <xm:f>' Unterkörper Progressionen '!$N:$N</xm:f>
          </x14:formula1>
          <xm:sqref>C32:E32</xm:sqref>
        </x14:dataValidation>
        <x14:dataValidation type="list" allowBlank="1" showInputMessage="1" showErrorMessage="1" xr:uid="{00000000-0002-0000-0800-00001C000000}">
          <x14:formula1>
            <xm:f>' Unterkörper Progressionen '!$R:$R</xm:f>
          </x14:formula1>
          <xm:sqref>C36:E36</xm:sqref>
        </x14:dataValidation>
        <x14:dataValidation type="list" allowBlank="1" showInputMessage="1" showErrorMessage="1" xr:uid="{00000000-0002-0000-0800-00001D000000}">
          <x14:formula1>
            <xm:f>' Unterkörper Progressionen '!$S:$S</xm:f>
          </x14:formula1>
          <xm:sqref>C37:E37</xm:sqref>
        </x14:dataValidation>
        <x14:dataValidation type="list" allowBlank="1" showInputMessage="1" showErrorMessage="1" xr:uid="{00000000-0002-0000-0800-00001E000000}">
          <x14:formula1>
            <xm:f>' Unterkörper Progressionen '!$E:$E</xm:f>
          </x14:formula1>
          <xm:sqref>C23:E23</xm:sqref>
        </x14:dataValidation>
        <x14:dataValidation type="list" allowBlank="1" showInputMessage="1" showErrorMessage="1" xr:uid="{00000000-0002-0000-0800-00001F000000}">
          <x14:formula1>
            <xm:f>' Unterkörper Progressionen '!$D:$D</xm:f>
          </x14:formula1>
          <xm:sqref>C20:E20</xm:sqref>
        </x14:dataValidation>
        <x14:dataValidation type="list" allowBlank="1" showInputMessage="1" showErrorMessage="1" xr:uid="{00000000-0002-0000-0800-000020000000}">
          <x14:formula1>
            <xm:f>' Unterkörper Progressionen '!$U:$U</xm:f>
          </x14:formula1>
          <xm:sqref>C40:E40</xm:sqref>
        </x14:dataValidation>
        <x14:dataValidation type="list" allowBlank="1" showInputMessage="1" showErrorMessage="1" xr:uid="{00000000-0002-0000-0800-000021000000}">
          <x14:formula1>
            <xm:f>' Unterkörper Progressionen '!$T:$T</xm:f>
          </x14:formula1>
          <xm:sqref>C38:E38</xm:sqref>
        </x14:dataValidation>
        <x14:dataValidation type="list" allowBlank="1" showInputMessage="1" showErrorMessage="1" xr:uid="{00000000-0002-0000-0800-000022000000}">
          <x14:formula1>
            <xm:f>' Unterkörper Progressionen '!$W:$W</xm:f>
          </x14:formula1>
          <xm:sqref>C41:E41</xm:sqref>
        </x14:dataValidation>
        <x14:dataValidation type="list" allowBlank="1" showInputMessage="1" showErrorMessage="1" xr:uid="{00000000-0002-0000-0800-000023000000}">
          <x14:formula1>
            <xm:f>' Unterkörper Progressionen '!$V:$V</xm:f>
          </x14:formula1>
          <xm:sqref>C42:E42</xm:sqref>
        </x14:dataValidation>
        <x14:dataValidation type="list" allowBlank="1" showInputMessage="1" showErrorMessage="1" xr:uid="{00000000-0002-0000-0800-000024000000}">
          <x14:formula1>
            <xm:f>' Unterkörper Progressionen '!$I:$I</xm:f>
          </x14:formula1>
          <xm:sqref>C27:E27</xm:sqref>
        </x14:dataValidation>
        <x14:dataValidation type="list" allowBlank="1" showInputMessage="1" showErrorMessage="1" xr:uid="{00000000-0002-0000-0800-000025000000}">
          <x14:formula1>
            <xm:f>' Unterkörper Progressionen '!$H:$H</xm:f>
          </x14:formula1>
          <xm:sqref>C26:E26</xm:sqref>
        </x14:dataValidation>
        <x14:dataValidation type="list" allowBlank="1" showInputMessage="1" showErrorMessage="1" xr:uid="{00000000-0002-0000-0800-000026000000}">
          <x14:formula1>
            <xm:f>' Unterkörper Progressionen '!$J:$J</xm:f>
          </x14:formula1>
          <xm:sqref>C28:E28</xm:sqref>
        </x14:dataValidation>
        <x14:dataValidation type="list" allowBlank="1" showInputMessage="1" showErrorMessage="1" xr:uid="{00000000-0002-0000-0800-000027000000}">
          <x14:formula1>
            <xm:f>' Unterkörper Progressionen '!$L:$L</xm:f>
          </x14:formula1>
          <xm:sqref>C30:E30</xm:sqref>
        </x14:dataValidation>
        <x14:dataValidation type="list" allowBlank="1" showInputMessage="1" showErrorMessage="1" xr:uid="{00000000-0002-0000-0800-000028000000}">
          <x14:formula1>
            <xm:f>' Unterkörper Progressionen '!$K:$K</xm:f>
          </x14:formula1>
          <xm:sqref>C29:E29</xm:sqref>
        </x14:dataValidation>
        <x14:dataValidation type="list" allowBlank="1" showInputMessage="1" showErrorMessage="1" xr:uid="{00000000-0002-0000-0800-000029000000}">
          <x14:formula1>
            <xm:f>' Unterkörper Progressionen '!$O:$O</xm:f>
          </x14:formula1>
          <xm:sqref>C33:E33</xm:sqref>
        </x14:dataValidation>
        <x14:dataValidation type="list" allowBlank="1" showInputMessage="1" showErrorMessage="1" xr:uid="{00000000-0002-0000-0800-00002A000000}">
          <x14:formula1>
            <xm:f>' Unterkörper Progressionen '!$P:$P</xm:f>
          </x14:formula1>
          <xm:sqref>C34:E34</xm:sqref>
        </x14:dataValidation>
        <x14:dataValidation type="list" allowBlank="1" showInputMessage="1" showErrorMessage="1" xr:uid="{00000000-0002-0000-0800-00002B000000}">
          <x14:formula1>
            <xm:f>' Unterkörper Progressionen '!$Q:$Q</xm:f>
          </x14:formula1>
          <xm:sqref>C35:E35</xm:sqref>
        </x14:dataValidation>
        <x14:dataValidation type="list" allowBlank="1" showInputMessage="1" showErrorMessage="1" xr:uid="{00000000-0002-0000-0800-00002C000000}">
          <x14:formula1>
            <xm:f>' Unterkörper Progressionen '!$F:$F</xm:f>
          </x14:formula1>
          <xm:sqref>C24:E24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W50"/>
  <sheetViews>
    <sheetView zoomScale="57" zoomScaleNormal="70" workbookViewId="0">
      <selection activeCell="I40" sqref="I40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76" t="str">
        <f>UnterkörperA!C5</f>
        <v>NAME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76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76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x14ac:dyDescent="0.25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e">
        <f>UnterkörperA!#REF!</f>
        <v>#REF!</v>
      </c>
      <c r="T10" s="64"/>
    </row>
    <row r="11" spans="2:23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34" customFormat="1" ht="15.6" customHeight="1" x14ac:dyDescent="0.25">
      <c r="B12" s="374" t="s">
        <v>581</v>
      </c>
      <c r="C12" s="373"/>
      <c r="D12" s="373"/>
      <c r="E12" s="373" t="s">
        <v>170</v>
      </c>
      <c r="F12" s="373"/>
      <c r="G12" s="373"/>
      <c r="H12" s="373" t="s">
        <v>54</v>
      </c>
      <c r="I12" s="373"/>
      <c r="J12" s="373"/>
      <c r="K12" s="66"/>
      <c r="L12" s="373" t="s">
        <v>395</v>
      </c>
      <c r="M12" s="373"/>
      <c r="N12" s="373"/>
      <c r="O12" s="373" t="s">
        <v>427</v>
      </c>
      <c r="P12" s="373"/>
      <c r="Q12" s="373"/>
      <c r="R12" s="373" t="s">
        <v>562</v>
      </c>
      <c r="S12" s="373"/>
      <c r="T12" s="377"/>
    </row>
    <row r="13" spans="2:23" s="34" customFormat="1" ht="15.6" customHeight="1" x14ac:dyDescent="0.25">
      <c r="B13" s="376" t="s">
        <v>148</v>
      </c>
      <c r="C13" s="375"/>
      <c r="D13" s="375"/>
      <c r="E13" s="375" t="s">
        <v>144</v>
      </c>
      <c r="F13" s="375"/>
      <c r="G13" s="375"/>
      <c r="H13" s="375" t="s">
        <v>151</v>
      </c>
      <c r="I13" s="375"/>
      <c r="J13" s="375"/>
      <c r="L13" s="375" t="s">
        <v>152</v>
      </c>
      <c r="M13" s="375"/>
      <c r="N13" s="375"/>
      <c r="O13" s="375" t="s">
        <v>585</v>
      </c>
      <c r="P13" s="375"/>
      <c r="Q13" s="375"/>
      <c r="R13" s="375" t="s">
        <v>587</v>
      </c>
      <c r="S13" s="375"/>
      <c r="T13" s="379"/>
    </row>
    <row r="14" spans="2:23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3" ht="16.5" thickBot="1" x14ac:dyDescent="0.3">
      <c r="B15" s="352" t="str">
        <f>UnterkörperE!B15</f>
        <v>Level E</v>
      </c>
      <c r="C15" s="353"/>
      <c r="D15" s="353"/>
      <c r="E15" s="354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6.5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177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631</v>
      </c>
      <c r="D19" s="343"/>
      <c r="E19" s="344"/>
      <c r="G19" s="68" t="s">
        <v>23</v>
      </c>
      <c r="H19" s="69"/>
      <c r="I19" s="69" t="s">
        <v>25</v>
      </c>
      <c r="J19" s="70" t="s">
        <v>592</v>
      </c>
      <c r="L19" s="68" t="s">
        <v>23</v>
      </c>
      <c r="M19" s="69"/>
      <c r="N19" s="69" t="s">
        <v>25</v>
      </c>
      <c r="O19" s="70" t="s">
        <v>592</v>
      </c>
      <c r="Q19" s="77" t="s">
        <v>23</v>
      </c>
      <c r="R19" s="78"/>
      <c r="S19" s="78" t="s">
        <v>25</v>
      </c>
      <c r="T19" s="79" t="s">
        <v>592</v>
      </c>
    </row>
    <row r="20" spans="2:23" s="1" customFormat="1" ht="19.899999999999999" customHeight="1" thickBot="1" x14ac:dyDescent="0.3">
      <c r="B20" s="4">
        <v>3</v>
      </c>
      <c r="C20" s="341" t="s">
        <v>636</v>
      </c>
      <c r="D20" s="341"/>
      <c r="E20" s="342"/>
      <c r="G20" s="24" t="s">
        <v>23</v>
      </c>
      <c r="H20" s="25"/>
      <c r="I20" s="25" t="s">
        <v>25</v>
      </c>
      <c r="J20" s="26" t="s">
        <v>592</v>
      </c>
      <c r="L20" s="24" t="s">
        <v>23</v>
      </c>
      <c r="M20" s="25"/>
      <c r="N20" s="25" t="s">
        <v>25</v>
      </c>
      <c r="O20" s="26" t="s">
        <v>592</v>
      </c>
      <c r="Q20" s="47" t="s">
        <v>23</v>
      </c>
      <c r="R20" s="48"/>
      <c r="S20" s="48" t="s">
        <v>25</v>
      </c>
      <c r="T20" s="49" t="s">
        <v>592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6.5" thickBot="1" x14ac:dyDescent="0.3">
      <c r="B22" s="338" t="s">
        <v>381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518</v>
      </c>
      <c r="D23" s="336"/>
      <c r="E23" s="337"/>
      <c r="G23" s="21"/>
      <c r="H23" s="22" t="s">
        <v>24</v>
      </c>
      <c r="I23" s="22" t="s">
        <v>655</v>
      </c>
      <c r="J23" s="23"/>
      <c r="L23" s="21"/>
      <c r="M23" s="22" t="s">
        <v>24</v>
      </c>
      <c r="N23" s="22" t="str">
        <f t="shared" ref="N23:N31" si="0">I23</f>
        <v>1x10</v>
      </c>
      <c r="O23" s="23"/>
      <c r="Q23" s="51"/>
      <c r="R23" s="53" t="s">
        <v>24</v>
      </c>
      <c r="S23" s="53" t="str">
        <f>N23</f>
        <v>1x10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276</v>
      </c>
      <c r="D24" s="343"/>
      <c r="E24" s="344"/>
      <c r="G24" s="27"/>
      <c r="H24" s="28" t="s">
        <v>24</v>
      </c>
      <c r="I24" s="28" t="s">
        <v>656</v>
      </c>
      <c r="J24" s="29"/>
      <c r="L24" s="27"/>
      <c r="M24" s="28" t="s">
        <v>24</v>
      </c>
      <c r="N24" s="28" t="str">
        <f t="shared" si="0"/>
        <v>1x8</v>
      </c>
      <c r="O24" s="29"/>
      <c r="Q24" s="55"/>
      <c r="R24" s="57" t="s">
        <v>24</v>
      </c>
      <c r="S24" s="57" t="str">
        <f>N24</f>
        <v>1x8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223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3" s="1" customFormat="1" ht="19.899999999999999" customHeight="1" x14ac:dyDescent="0.25">
      <c r="B26" s="9">
        <v>4</v>
      </c>
      <c r="C26" s="336" t="s">
        <v>524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3" s="1" customFormat="1" ht="19.899999999999999" customHeight="1" x14ac:dyDescent="0.25">
      <c r="B27" s="3">
        <v>5</v>
      </c>
      <c r="C27" s="343" t="s">
        <v>527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tr">
        <f>I27</f>
        <v>1x20/ea</v>
      </c>
      <c r="T27" s="58"/>
    </row>
    <row r="28" spans="2:23" s="1" customFormat="1" ht="19.899999999999999" customHeight="1" thickBot="1" x14ac:dyDescent="0.3">
      <c r="B28" s="4">
        <v>6</v>
      </c>
      <c r="C28" s="341" t="s">
        <v>440</v>
      </c>
      <c r="D28" s="341"/>
      <c r="E28" s="342"/>
      <c r="G28" s="24"/>
      <c r="H28" s="25" t="s">
        <v>24</v>
      </c>
      <c r="I28" s="25" t="s">
        <v>317</v>
      </c>
      <c r="J28" s="26"/>
      <c r="L28" s="24"/>
      <c r="M28" s="25" t="s">
        <v>24</v>
      </c>
      <c r="N28" s="25" t="str">
        <f t="shared" si="0"/>
        <v>3x10s/ea</v>
      </c>
      <c r="O28" s="26"/>
      <c r="Q28" s="47"/>
      <c r="R28" s="48" t="s">
        <v>24</v>
      </c>
      <c r="S28" s="48" t="str">
        <f>N28</f>
        <v>3x10s/ea</v>
      </c>
      <c r="T28" s="49"/>
    </row>
    <row r="29" spans="2:23" s="1" customFormat="1" ht="19.899999999999999" customHeight="1" x14ac:dyDescent="0.25">
      <c r="B29" s="9">
        <v>7</v>
      </c>
      <c r="C29" s="336" t="s">
        <v>536</v>
      </c>
      <c r="D29" s="336"/>
      <c r="E29" s="337"/>
      <c r="G29" s="21"/>
      <c r="H29" s="22" t="s">
        <v>24</v>
      </c>
      <c r="I29" s="22" t="s">
        <v>17</v>
      </c>
      <c r="J29" s="23"/>
      <c r="L29" s="21"/>
      <c r="M29" s="22" t="s">
        <v>24</v>
      </c>
      <c r="N29" s="22" t="str">
        <f t="shared" si="0"/>
        <v>1x20</v>
      </c>
      <c r="O29" s="23"/>
      <c r="Q29" s="51"/>
      <c r="R29" s="53" t="s">
        <v>24</v>
      </c>
      <c r="S29" s="53" t="str">
        <f>N29</f>
        <v>1x20</v>
      </c>
      <c r="T29" s="54"/>
    </row>
    <row r="30" spans="2:23" s="1" customFormat="1" ht="19.899999999999999" customHeight="1" x14ac:dyDescent="0.25">
      <c r="B30" s="3">
        <v>8</v>
      </c>
      <c r="C30" s="343" t="s">
        <v>285</v>
      </c>
      <c r="D30" s="343"/>
      <c r="E30" s="344"/>
      <c r="G30" s="27"/>
      <c r="H30" s="28" t="s">
        <v>24</v>
      </c>
      <c r="I30" s="28" t="s">
        <v>17</v>
      </c>
      <c r="J30" s="29"/>
      <c r="L30" s="27"/>
      <c r="M30" s="28" t="s">
        <v>24</v>
      </c>
      <c r="N30" s="28" t="str">
        <f t="shared" si="0"/>
        <v>1x20</v>
      </c>
      <c r="O30" s="29"/>
      <c r="Q30" s="55"/>
      <c r="R30" s="57" t="s">
        <v>24</v>
      </c>
      <c r="S30" s="57" t="str">
        <f>N30</f>
        <v>1x20</v>
      </c>
      <c r="T30" s="58"/>
    </row>
    <row r="31" spans="2:23" s="1" customFormat="1" ht="19.899999999999999" customHeight="1" thickBot="1" x14ac:dyDescent="0.3">
      <c r="B31" s="4">
        <v>9</v>
      </c>
      <c r="C31" s="341" t="s">
        <v>288</v>
      </c>
      <c r="D31" s="341"/>
      <c r="E31" s="342"/>
      <c r="G31" s="24"/>
      <c r="H31" s="25" t="s">
        <v>24</v>
      </c>
      <c r="I31" s="25" t="s">
        <v>17</v>
      </c>
      <c r="J31" s="26"/>
      <c r="L31" s="24"/>
      <c r="M31" s="25" t="s">
        <v>24</v>
      </c>
      <c r="N31" s="25" t="str">
        <f t="shared" si="0"/>
        <v>1x20</v>
      </c>
      <c r="O31" s="26"/>
      <c r="Q31" s="47"/>
      <c r="R31" s="48" t="s">
        <v>24</v>
      </c>
      <c r="S31" s="25" t="str">
        <f>N31</f>
        <v>1x20</v>
      </c>
      <c r="T31" s="49"/>
    </row>
    <row r="32" spans="2:23" s="1" customFormat="1" ht="19.899999999999999" customHeight="1" x14ac:dyDescent="0.25">
      <c r="B32" s="9">
        <v>10</v>
      </c>
      <c r="C32" s="336" t="s">
        <v>170</v>
      </c>
      <c r="D32" s="336"/>
      <c r="E32" s="337"/>
      <c r="G32" s="21"/>
      <c r="H32" s="22" t="s">
        <v>24</v>
      </c>
      <c r="I32" s="22" t="s">
        <v>594</v>
      </c>
      <c r="J32" s="23"/>
      <c r="L32" s="21"/>
      <c r="M32" s="22" t="s">
        <v>24</v>
      </c>
      <c r="N32" s="22" t="s">
        <v>595</v>
      </c>
      <c r="O32" s="23"/>
      <c r="Q32" s="21"/>
      <c r="R32" s="22" t="s">
        <v>24</v>
      </c>
      <c r="S32" s="22" t="s">
        <v>596</v>
      </c>
      <c r="T32" s="23"/>
    </row>
    <row r="33" spans="2:22" s="1" customFormat="1" ht="19.899999999999999" customHeight="1" x14ac:dyDescent="0.25">
      <c r="B33" s="3">
        <v>11</v>
      </c>
      <c r="C33" s="343" t="s">
        <v>286</v>
      </c>
      <c r="D33" s="343"/>
      <c r="E33" s="344"/>
      <c r="G33" s="27"/>
      <c r="H33" s="28" t="s">
        <v>24</v>
      </c>
      <c r="I33" s="28" t="s">
        <v>624</v>
      </c>
      <c r="J33" s="29"/>
      <c r="L33" s="27"/>
      <c r="M33" s="28" t="s">
        <v>24</v>
      </c>
      <c r="N33" s="28" t="str">
        <f>I33</f>
        <v>1x20/ea</v>
      </c>
      <c r="O33" s="29"/>
      <c r="Q33" s="27"/>
      <c r="R33" s="28" t="s">
        <v>24</v>
      </c>
      <c r="S33" s="28" t="str">
        <f>N33</f>
        <v>1x20/ea</v>
      </c>
      <c r="T33" s="29"/>
    </row>
    <row r="34" spans="2:22" s="1" customFormat="1" ht="19.899999999999999" customHeight="1" thickBot="1" x14ac:dyDescent="0.3">
      <c r="B34" s="4">
        <v>12</v>
      </c>
      <c r="C34" s="341" t="s">
        <v>545</v>
      </c>
      <c r="D34" s="341"/>
      <c r="E34" s="342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>I34</f>
        <v>1x20/ea</v>
      </c>
      <c r="O34" s="26"/>
      <c r="Q34" s="47"/>
      <c r="R34" s="48" t="s">
        <v>24</v>
      </c>
      <c r="S34" s="48" t="str">
        <f>N34</f>
        <v>1x20/ea</v>
      </c>
      <c r="T34" s="49"/>
    </row>
    <row r="35" spans="2:22" s="2" customFormat="1" ht="16.149999999999999" customHeight="1" thickBot="1" x14ac:dyDescent="0.3">
      <c r="B35" s="338" t="s">
        <v>382</v>
      </c>
      <c r="C35" s="339"/>
      <c r="D35" s="339"/>
      <c r="E35" s="340"/>
      <c r="F35" s="81"/>
      <c r="G35" s="333"/>
      <c r="H35" s="334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5"/>
    </row>
    <row r="36" spans="2:22" s="1" customFormat="1" ht="19.899999999999999" customHeight="1" x14ac:dyDescent="0.25">
      <c r="B36" s="9">
        <v>13</v>
      </c>
      <c r="C36" s="336" t="s">
        <v>553</v>
      </c>
      <c r="D36" s="336"/>
      <c r="E36" s="337"/>
      <c r="G36" s="21"/>
      <c r="H36" s="22" t="s">
        <v>24</v>
      </c>
      <c r="I36" s="22" t="s">
        <v>232</v>
      </c>
      <c r="J36" s="23"/>
      <c r="L36" s="21"/>
      <c r="M36" s="22" t="s">
        <v>24</v>
      </c>
      <c r="N36" s="22" t="s">
        <v>232</v>
      </c>
      <c r="O36" s="23"/>
      <c r="Q36" s="21"/>
      <c r="R36" s="22" t="s">
        <v>24</v>
      </c>
      <c r="S36" s="22" t="str">
        <f>N36</f>
        <v>1x45s</v>
      </c>
      <c r="T36" s="23"/>
    </row>
    <row r="37" spans="2:22" s="1" customFormat="1" ht="19.899999999999999" customHeight="1" x14ac:dyDescent="0.25">
      <c r="B37" s="3">
        <v>14</v>
      </c>
      <c r="C37" s="343" t="s">
        <v>556</v>
      </c>
      <c r="D37" s="343"/>
      <c r="E37" s="344"/>
      <c r="G37" s="18"/>
      <c r="H37" s="28" t="s">
        <v>24</v>
      </c>
      <c r="I37" s="19" t="s">
        <v>232</v>
      </c>
      <c r="J37" s="20"/>
      <c r="L37" s="18"/>
      <c r="M37" s="19" t="str">
        <f>H37</f>
        <v>8-9</v>
      </c>
      <c r="N37" s="19" t="str">
        <f>I37</f>
        <v>1x45s</v>
      </c>
      <c r="O37" s="20"/>
      <c r="Q37" s="18"/>
      <c r="R37" s="19" t="str">
        <f>M37</f>
        <v>8-9</v>
      </c>
      <c r="S37" s="19" t="str">
        <f>N37</f>
        <v>1x45s</v>
      </c>
      <c r="T37" s="20"/>
    </row>
    <row r="38" spans="2:22" s="1" customFormat="1" ht="19.899999999999999" customHeight="1" x14ac:dyDescent="0.25">
      <c r="B38" s="3">
        <v>15</v>
      </c>
      <c r="C38" s="343" t="s">
        <v>549</v>
      </c>
      <c r="D38" s="343"/>
      <c r="E38" s="344"/>
      <c r="G38" s="27"/>
      <c r="H38" s="28" t="s">
        <v>24</v>
      </c>
      <c r="I38" s="28" t="s">
        <v>232</v>
      </c>
      <c r="J38" s="29"/>
      <c r="L38" s="27"/>
      <c r="M38" s="28" t="s">
        <v>24</v>
      </c>
      <c r="N38" s="28" t="str">
        <f>I38</f>
        <v>1x45s</v>
      </c>
      <c r="O38" s="29"/>
      <c r="Q38" s="27"/>
      <c r="R38" s="28" t="s">
        <v>24</v>
      </c>
      <c r="S38" s="28" t="str">
        <f>N36</f>
        <v>1x45s</v>
      </c>
      <c r="T38" s="29"/>
    </row>
    <row r="39" spans="2:22" s="1" customFormat="1" ht="19.899999999999999" customHeight="1" thickBot="1" x14ac:dyDescent="0.3">
      <c r="B39" s="4">
        <v>16</v>
      </c>
      <c r="C39" s="347" t="s">
        <v>641</v>
      </c>
      <c r="D39" s="347"/>
      <c r="E39" s="348"/>
      <c r="F39" s="67"/>
      <c r="G39" s="24"/>
      <c r="H39" s="25" t="s">
        <v>24</v>
      </c>
      <c r="I39" s="25" t="s">
        <v>315</v>
      </c>
      <c r="J39" s="26"/>
      <c r="K39" s="67"/>
      <c r="L39" s="24"/>
      <c r="M39" s="25" t="s">
        <v>24</v>
      </c>
      <c r="N39" s="25" t="str">
        <f>I39</f>
        <v>1x45s/ea</v>
      </c>
      <c r="O39" s="26"/>
      <c r="P39" s="67"/>
      <c r="Q39" s="24"/>
      <c r="R39" s="25" t="s">
        <v>24</v>
      </c>
      <c r="S39" s="25" t="str">
        <f>I39</f>
        <v>1x45s/ea</v>
      </c>
      <c r="T39" s="26"/>
    </row>
    <row r="40" spans="2:22" x14ac:dyDescent="0.25">
      <c r="V40" s="1" t="s">
        <v>313</v>
      </c>
    </row>
    <row r="41" spans="2:22" x14ac:dyDescent="0.25">
      <c r="V41" s="1" t="s">
        <v>28</v>
      </c>
    </row>
    <row r="42" spans="2:22" x14ac:dyDescent="0.25">
      <c r="V42" s="1" t="s">
        <v>29</v>
      </c>
    </row>
    <row r="43" spans="2:22" x14ac:dyDescent="0.25">
      <c r="V43" s="1" t="s">
        <v>26</v>
      </c>
    </row>
    <row r="44" spans="2:22" x14ac:dyDescent="0.25">
      <c r="V44" s="1" t="s">
        <v>232</v>
      </c>
    </row>
    <row r="45" spans="2:22" x14ac:dyDescent="0.25">
      <c r="V45" s="1" t="s">
        <v>233</v>
      </c>
    </row>
    <row r="46" spans="2:22" x14ac:dyDescent="0.25">
      <c r="V46" s="1" t="s">
        <v>656</v>
      </c>
    </row>
    <row r="47" spans="2:22" x14ac:dyDescent="0.25">
      <c r="V47" s="1" t="s">
        <v>655</v>
      </c>
    </row>
    <row r="48" spans="2:22" x14ac:dyDescent="0.25">
      <c r="V48" s="1" t="s">
        <v>296</v>
      </c>
    </row>
    <row r="49" spans="22:22" x14ac:dyDescent="0.25">
      <c r="V49" s="1" t="s">
        <v>17</v>
      </c>
    </row>
    <row r="50" spans="22:22" x14ac:dyDescent="0.25">
      <c r="V50" s="1" t="s">
        <v>606</v>
      </c>
    </row>
  </sheetData>
  <mergeCells count="42">
    <mergeCell ref="C36:E36"/>
    <mergeCell ref="C37:E37"/>
    <mergeCell ref="C38:E38"/>
    <mergeCell ref="C39:E39"/>
    <mergeCell ref="C31:E31"/>
    <mergeCell ref="C32:E32"/>
    <mergeCell ref="C33:E33"/>
    <mergeCell ref="C34:E34"/>
    <mergeCell ref="B35:E35"/>
    <mergeCell ref="G35:T35"/>
    <mergeCell ref="C25:E25"/>
    <mergeCell ref="C26:E26"/>
    <mergeCell ref="C27:E27"/>
    <mergeCell ref="C28:E28"/>
    <mergeCell ref="C29:E29"/>
    <mergeCell ref="C30:E30"/>
    <mergeCell ref="C24:E24"/>
    <mergeCell ref="B15:E16"/>
    <mergeCell ref="G15:T15"/>
    <mergeCell ref="H16:I16"/>
    <mergeCell ref="M16:N16"/>
    <mergeCell ref="R16:S16"/>
    <mergeCell ref="B17:E17"/>
    <mergeCell ref="C18:E18"/>
    <mergeCell ref="C19:E19"/>
    <mergeCell ref="C20:E20"/>
    <mergeCell ref="B22:E22"/>
    <mergeCell ref="C23:E23"/>
    <mergeCell ref="R13:T13"/>
    <mergeCell ref="O2:T7"/>
    <mergeCell ref="M10:N10"/>
    <mergeCell ref="B12:D12"/>
    <mergeCell ref="E12:G12"/>
    <mergeCell ref="H12:J12"/>
    <mergeCell ref="L12:N12"/>
    <mergeCell ref="O12:Q12"/>
    <mergeCell ref="R12:T12"/>
    <mergeCell ref="B13:D13"/>
    <mergeCell ref="E13:G13"/>
    <mergeCell ref="H13:J13"/>
    <mergeCell ref="L13:N13"/>
    <mergeCell ref="O13:Q13"/>
  </mergeCells>
  <dataValidations count="5">
    <dataValidation type="list" allowBlank="1" showInputMessage="1" showErrorMessage="1" sqref="I31" xr:uid="{00000000-0002-0000-0900-000000000000}">
      <formula1>$V$40:$V$47</formula1>
    </dataValidation>
    <dataValidation type="list" allowBlank="1" showInputMessage="1" showErrorMessage="1" sqref="N31" xr:uid="{00000000-0002-0000-0900-000001000000}">
      <formula1>$V$40:$V$51</formula1>
    </dataValidation>
    <dataValidation type="list" allowBlank="1" showInputMessage="1" showErrorMessage="1" sqref="I24 I23 S31 N27" xr:uid="{00000000-0002-0000-0900-000002000000}">
      <formula1>$V$40:$V$50</formula1>
    </dataValidation>
    <dataValidation type="list" allowBlank="1" showInputMessage="1" showErrorMessage="1" sqref="M23:M34 H23:H34 R23:R34 R38:R39 H36:H39 R36 M36 M38:M39" xr:uid="{00000000-0002-0000-0900-000003000000}">
      <formula1>$W$22:$W$24</formula1>
    </dataValidation>
    <dataValidation type="list" allowBlank="1" showInputMessage="1" showErrorMessage="1" sqref="N38:N39 I36:I38 S36 N36 S38" xr:uid="{00000000-0002-0000-0900-000004000000}">
      <formula1>$V$40:$V$45</formula1>
    </dataValidation>
  </dataValidations>
  <pageMargins left="0.25" right="0.25" top="0.75" bottom="0.75" header="0.3" footer="0.3"/>
  <pageSetup paperSize="9"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 showInputMessage="1" showErrorMessage="1" xr:uid="{00000000-0002-0000-0900-000018000000}">
          <x14:formula1>
            <xm:f>'Warm Up'!$D:$D</xm:f>
          </x14:formula1>
          <xm:sqref>H12</xm:sqref>
        </x14:dataValidation>
        <x14:dataValidation type="list" allowBlank="1" showInputMessage="1" showErrorMessage="1" xr:uid="{00000000-0002-0000-0900-000019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900-00001A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900-00001B000000}">
          <x14:formula1>
            <xm:f>'Warm Up'!$E:$E</xm:f>
          </x14:formula1>
          <xm:sqref>L12:N12</xm:sqref>
        </x14:dataValidation>
        <x14:dataValidation type="list" allowBlank="1" showInputMessage="1" showErrorMessage="1" xr:uid="{00000000-0002-0000-0900-00001C000000}">
          <x14:formula1>
            <xm:f>'Warm Up'!$F:$F</xm:f>
          </x14:formula1>
          <xm:sqref>O12:Q12</xm:sqref>
        </x14:dataValidation>
        <x14:dataValidation type="list" allowBlank="1" showInputMessage="1" showErrorMessage="1" xr:uid="{00000000-0002-0000-0900-00001D000000}">
          <x14:formula1>
            <xm:f>'Warm Up'!$G:$G</xm:f>
          </x14:formula1>
          <xm:sqref>R12:T12</xm:sqref>
        </x14:dataValidation>
        <x14:dataValidation type="list" allowBlank="1" showInputMessage="1" showErrorMessage="1" xr:uid="{00000000-0002-0000-0900-00001E000000}">
          <x14:formula1>
            <xm:f>'Warm Up'!$H:$H</xm:f>
          </x14:formula1>
          <xm:sqref>B13:D13</xm:sqref>
        </x14:dataValidation>
        <x14:dataValidation type="list" allowBlank="1" showInputMessage="1" showErrorMessage="1" xr:uid="{00000000-0002-0000-0900-00001F000000}">
          <x14:formula1>
            <xm:f>'Warm Up'!$I:$I</xm:f>
          </x14:formula1>
          <xm:sqref>E13:G13</xm:sqref>
        </x14:dataValidation>
        <x14:dataValidation type="list" allowBlank="1" showInputMessage="1" showErrorMessage="1" xr:uid="{00000000-0002-0000-0900-000020000000}">
          <x14:formula1>
            <xm:f>'Warm Up'!$J:$J</xm:f>
          </x14:formula1>
          <xm:sqref>H13:J13</xm:sqref>
        </x14:dataValidation>
        <x14:dataValidation type="list" allowBlank="1" showInputMessage="1" showErrorMessage="1" xr:uid="{00000000-0002-0000-0900-000021000000}">
          <x14:formula1>
            <xm:f>'Warm Up'!$K:$K</xm:f>
          </x14:formula1>
          <xm:sqref>L13:N13</xm:sqref>
        </x14:dataValidation>
        <x14:dataValidation type="list" allowBlank="1" showInputMessage="1" showErrorMessage="1" xr:uid="{00000000-0002-0000-0900-000022000000}">
          <x14:formula1>
            <xm:f>'Warm Up'!$L:$L</xm:f>
          </x14:formula1>
          <xm:sqref>O13:Q13</xm:sqref>
        </x14:dataValidation>
        <x14:dataValidation type="list" allowBlank="1" showInputMessage="1" showErrorMessage="1" xr:uid="{00000000-0002-0000-0900-000023000000}">
          <x14:formula1>
            <xm:f>'Warm Up'!$M:$M</xm:f>
          </x14:formula1>
          <xm:sqref>R13:T13</xm:sqref>
        </x14:dataValidation>
        <x14:dataValidation type="list" allowBlank="1" showInputMessage="1" showErrorMessage="1" xr:uid="{00000000-0002-0000-0900-000005000000}">
          <x14:formula1>
            <xm:f>'Oberkörper Progressionen '!$P:$P</xm:f>
          </x14:formula1>
          <xm:sqref>C34:E34</xm:sqref>
        </x14:dataValidation>
        <x14:dataValidation type="list" allowBlank="1" showInputMessage="1" showErrorMessage="1" xr:uid="{00000000-0002-0000-0900-000006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0900-000007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0900-000008000000}">
          <x14:formula1>
            <xm:f>'Oberkörper Progressionen '!$S:$S</xm:f>
          </x14:formula1>
          <xm:sqref>C39:E39</xm:sqref>
        </x14:dataValidation>
        <x14:dataValidation type="list" allowBlank="1" showInputMessage="1" showErrorMessage="1" xr:uid="{00000000-0002-0000-0900-000009000000}">
          <x14:formula1>
            <xm:f>'Oberkörper Progressionen '!$R:$R</xm:f>
          </x14:formula1>
          <xm:sqref>C36:E36</xm:sqref>
        </x14:dataValidation>
        <x14:dataValidation type="list" allowBlank="1" showInputMessage="1" showErrorMessage="1" xr:uid="{00000000-0002-0000-0900-00000A000000}">
          <x14:formula1>
            <xm:f>'Oberkörper Progressionen '!$Q:$Q</xm:f>
          </x14:formula1>
          <xm:sqref>C38:E38</xm:sqref>
        </x14:dataValidation>
        <x14:dataValidation type="list" allowBlank="1" showInputMessage="1" showErrorMessage="1" xr:uid="{00000000-0002-0000-0900-00000B000000}">
          <x14:formula1>
            <xm:f>'Oberkörper Progressionen '!$O:$O</xm:f>
          </x14:formula1>
          <xm:sqref>C33:E33</xm:sqref>
        </x14:dataValidation>
        <x14:dataValidation type="list" allowBlank="1" showInputMessage="1" showErrorMessage="1" xr:uid="{00000000-0002-0000-0900-00000C000000}">
          <x14:formula1>
            <xm:f>'Oberkörper Progressionen '!$N:$N</xm:f>
          </x14:formula1>
          <xm:sqref>C32:E32</xm:sqref>
        </x14:dataValidation>
        <x14:dataValidation type="list" allowBlank="1" showInputMessage="1" showErrorMessage="1" xr:uid="{00000000-0002-0000-0900-00000D000000}">
          <x14:formula1>
            <xm:f>'Oberkörper Progressionen '!$L:$L</xm:f>
          </x14:formula1>
          <xm:sqref>C30:E30</xm:sqref>
        </x14:dataValidation>
        <x14:dataValidation type="list" allowBlank="1" showInputMessage="1" showErrorMessage="1" xr:uid="{00000000-0002-0000-0900-00000E000000}">
          <x14:formula1>
            <xm:f>'Oberkörper Progressionen '!$K:$K</xm:f>
          </x14:formula1>
          <xm:sqref>C29:E29</xm:sqref>
        </x14:dataValidation>
        <x14:dataValidation type="list" allowBlank="1" showInputMessage="1" showErrorMessage="1" xr:uid="{00000000-0002-0000-0900-00000F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0900-000010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0900-000011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0900-000012000000}">
          <x14:formula1>
            <xm:f>'Oberkörper Progressionen '!$T:$T</xm:f>
          </x14:formula1>
          <xm:sqref>C37:E37</xm:sqref>
        </x14:dataValidation>
        <x14:dataValidation type="list" allowBlank="1" showInputMessage="1" showErrorMessage="1" xr:uid="{00000000-0002-0000-0900-000013000000}">
          <x14:formula1>
            <xm:f>'Oberkörper Progressionen '!$H:$H</xm:f>
          </x14:formula1>
          <xm:sqref>C26:E26</xm:sqref>
        </x14:dataValidation>
        <x14:dataValidation type="list" allowBlank="1" showInputMessage="1" showErrorMessage="1" xr:uid="{00000000-0002-0000-0900-000014000000}">
          <x14:formula1>
            <xm:f>'Oberkörper Progressionen '!$J:$J</xm:f>
          </x14:formula1>
          <xm:sqref>C28:E28</xm:sqref>
        </x14:dataValidation>
        <x14:dataValidation type="list" allowBlank="1" showInputMessage="1" showErrorMessage="1" xr:uid="{00000000-0002-0000-0900-000015000000}">
          <x14:formula1>
            <xm:f>'Oberkörper Progressionen '!$M:$M</xm:f>
          </x14:formula1>
          <xm:sqref>C31:E31</xm:sqref>
        </x14:dataValidation>
        <x14:dataValidation type="list" allowBlank="1" showInputMessage="1" showErrorMessage="1" xr:uid="{00000000-0002-0000-0900-000016000000}">
          <x14:formula1>
            <xm:f>'Oberkörper Progressionen '!$G:$G</xm:f>
          </x14:formula1>
          <xm:sqref>C25:E25</xm:sqref>
        </x14:dataValidation>
        <x14:dataValidation type="list" allowBlank="1" showInputMessage="1" showErrorMessage="1" xr:uid="{00000000-0002-0000-0900-000017000000}">
          <x14:formula1>
            <xm:f>'Oberkörper Progressionen '!$I:$I</xm:f>
          </x14:formula1>
          <xm:sqref>C27:E27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X57"/>
  <sheetViews>
    <sheetView topLeftCell="A11" zoomScale="78" zoomScaleNormal="110" workbookViewId="0">
      <selection activeCell="B2" sqref="B2:T44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4" ht="16.5" thickBot="1" x14ac:dyDescent="0.3"/>
    <row r="2" spans="2:24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4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4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4" x14ac:dyDescent="0.25">
      <c r="B5" s="7"/>
      <c r="C5" s="60" t="s">
        <v>216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4" x14ac:dyDescent="0.25">
      <c r="B6" s="7"/>
      <c r="C6" s="60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4" x14ac:dyDescent="0.25">
      <c r="B7" s="7"/>
      <c r="C7" s="60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4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4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4" x14ac:dyDescent="0.25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17</v>
      </c>
      <c r="T10" s="64"/>
    </row>
    <row r="11" spans="2:24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4" s="34" customFormat="1" ht="15.6" customHeight="1" x14ac:dyDescent="0.25">
      <c r="B12" s="374" t="s">
        <v>582</v>
      </c>
      <c r="C12" s="373"/>
      <c r="D12" s="373"/>
      <c r="E12" s="373" t="s">
        <v>521</v>
      </c>
      <c r="F12" s="373"/>
      <c r="G12" s="373"/>
      <c r="H12" s="66"/>
      <c r="I12" s="66" t="s">
        <v>55</v>
      </c>
      <c r="J12" s="66"/>
      <c r="K12" s="66"/>
      <c r="L12" s="66"/>
      <c r="M12" s="66" t="s">
        <v>419</v>
      </c>
      <c r="N12" s="66"/>
      <c r="O12" s="373" t="s">
        <v>418</v>
      </c>
      <c r="P12" s="373"/>
      <c r="Q12" s="373"/>
      <c r="R12" s="66"/>
      <c r="S12" s="66" t="s">
        <v>564</v>
      </c>
      <c r="T12" s="33"/>
    </row>
    <row r="13" spans="2:24" s="34" customFormat="1" ht="15.6" customHeight="1" x14ac:dyDescent="0.25">
      <c r="B13" s="376" t="s">
        <v>181</v>
      </c>
      <c r="C13" s="375"/>
      <c r="D13" s="375"/>
      <c r="E13" s="375" t="s">
        <v>173</v>
      </c>
      <c r="F13" s="375"/>
      <c r="G13" s="375"/>
      <c r="I13" s="34" t="s">
        <v>176</v>
      </c>
      <c r="M13" s="34" t="s">
        <v>153</v>
      </c>
      <c r="O13" s="375" t="s">
        <v>586</v>
      </c>
      <c r="P13" s="375"/>
      <c r="Q13" s="375"/>
      <c r="S13" s="34" t="s">
        <v>178</v>
      </c>
      <c r="T13" s="35"/>
    </row>
    <row r="14" spans="2:24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4" ht="16.5" thickBot="1" x14ac:dyDescent="0.3">
      <c r="B15" s="352" t="s">
        <v>654</v>
      </c>
      <c r="C15" s="353"/>
      <c r="D15" s="353"/>
      <c r="E15" s="354"/>
      <c r="F15" s="1"/>
      <c r="G15" s="338" t="s">
        <v>132</v>
      </c>
      <c r="H15" s="339"/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39"/>
      <c r="T15" s="340"/>
      <c r="X15" t="s">
        <v>311</v>
      </c>
    </row>
    <row r="16" spans="2:24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2" t="s">
        <v>165</v>
      </c>
      <c r="R16" s="358" t="s">
        <v>51</v>
      </c>
      <c r="S16" s="359"/>
      <c r="T16" s="72" t="s">
        <v>167</v>
      </c>
      <c r="W16" s="36"/>
      <c r="X16" s="1" t="s">
        <v>588</v>
      </c>
    </row>
    <row r="17" spans="2:24" ht="16.5" thickBot="1" x14ac:dyDescent="0.3">
      <c r="B17" s="338" t="s">
        <v>18</v>
      </c>
      <c r="C17" s="339"/>
      <c r="D17" s="339"/>
      <c r="E17" s="340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  <c r="W17" s="37"/>
      <c r="X17" s="1" t="s">
        <v>605</v>
      </c>
    </row>
    <row r="18" spans="2:24" s="1" customFormat="1" ht="19.899999999999999" customHeight="1" x14ac:dyDescent="0.25">
      <c r="B18" s="9">
        <v>1</v>
      </c>
      <c r="C18" s="336" t="s">
        <v>109</v>
      </c>
      <c r="D18" s="336"/>
      <c r="E18" s="337"/>
      <c r="G18" s="18" t="s">
        <v>23</v>
      </c>
      <c r="H18" s="19"/>
      <c r="I18" s="19" t="s">
        <v>643</v>
      </c>
      <c r="J18" s="20" t="s">
        <v>27</v>
      </c>
      <c r="L18" s="18" t="s">
        <v>23</v>
      </c>
      <c r="M18" s="19"/>
      <c r="N18" s="19" t="s">
        <v>644</v>
      </c>
      <c r="O18" s="20" t="s">
        <v>27</v>
      </c>
      <c r="Q18" s="44" t="s">
        <v>23</v>
      </c>
      <c r="R18" s="45"/>
      <c r="S18" s="45" t="s">
        <v>642</v>
      </c>
      <c r="T18" s="46" t="s">
        <v>27</v>
      </c>
      <c r="W18" s="36"/>
      <c r="X18" s="1" t="s">
        <v>607</v>
      </c>
    </row>
    <row r="19" spans="2:24" s="1" customFormat="1" ht="19.899999999999999" customHeight="1" x14ac:dyDescent="0.25">
      <c r="B19" s="3">
        <v>2</v>
      </c>
      <c r="C19" s="343" t="s">
        <v>612</v>
      </c>
      <c r="D19" s="343"/>
      <c r="E19" s="344"/>
      <c r="G19" s="68" t="s">
        <v>23</v>
      </c>
      <c r="H19" s="69"/>
      <c r="I19" s="69" t="s">
        <v>25</v>
      </c>
      <c r="J19" s="70"/>
      <c r="L19" s="68" t="s">
        <v>23</v>
      </c>
      <c r="M19" s="69"/>
      <c r="N19" s="69" t="s">
        <v>25</v>
      </c>
      <c r="O19" s="70"/>
      <c r="Q19" s="68" t="s">
        <v>23</v>
      </c>
      <c r="R19" s="69"/>
      <c r="S19" s="69" t="s">
        <v>25</v>
      </c>
      <c r="T19" s="70"/>
      <c r="W19" s="36"/>
      <c r="X19" s="1" t="s">
        <v>645</v>
      </c>
    </row>
    <row r="20" spans="2:24" s="1" customFormat="1" ht="19.899999999999999" customHeight="1" thickBot="1" x14ac:dyDescent="0.3">
      <c r="B20" s="4">
        <v>3</v>
      </c>
      <c r="C20" s="341" t="s">
        <v>615</v>
      </c>
      <c r="D20" s="341"/>
      <c r="E20" s="342"/>
      <c r="G20" s="24" t="s">
        <v>23</v>
      </c>
      <c r="H20" s="25"/>
      <c r="I20" s="25" t="s">
        <v>25</v>
      </c>
      <c r="J20" s="26"/>
      <c r="L20" s="24" t="s">
        <v>23</v>
      </c>
      <c r="M20" s="25"/>
      <c r="N20" s="25" t="s">
        <v>25</v>
      </c>
      <c r="O20" s="26"/>
      <c r="Q20" s="47" t="s">
        <v>23</v>
      </c>
      <c r="R20" s="48"/>
      <c r="S20" s="48" t="s">
        <v>25</v>
      </c>
      <c r="T20" s="49"/>
      <c r="X20" s="1" t="s">
        <v>648</v>
      </c>
    </row>
    <row r="21" spans="2:24" s="2" customFormat="1" ht="4.9000000000000004" customHeight="1" thickBot="1" x14ac:dyDescent="0.3">
      <c r="B21" s="74"/>
      <c r="Q21" s="50"/>
      <c r="R21" s="50"/>
      <c r="S21" s="50"/>
      <c r="T21" s="75"/>
      <c r="X21" s="1" t="s">
        <v>654</v>
      </c>
    </row>
    <row r="22" spans="2:24" s="1" customFormat="1" ht="16.5" thickBot="1" x14ac:dyDescent="0.3">
      <c r="B22" s="338" t="s">
        <v>379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</row>
    <row r="23" spans="2:24" s="1" customFormat="1" ht="19.899999999999999" customHeight="1" x14ac:dyDescent="0.25">
      <c r="B23" s="9">
        <v>1</v>
      </c>
      <c r="C23" s="336" t="s">
        <v>419</v>
      </c>
      <c r="D23" s="336"/>
      <c r="E23" s="337"/>
      <c r="G23" s="21"/>
      <c r="H23" s="22" t="s">
        <v>24</v>
      </c>
      <c r="I23" s="22" t="s">
        <v>657</v>
      </c>
      <c r="J23" s="23"/>
      <c r="L23" s="21"/>
      <c r="M23" s="22" t="s">
        <v>24</v>
      </c>
      <c r="N23" s="22" t="str">
        <f t="shared" ref="N23:N31" si="0">I23</f>
        <v>1x10/ea</v>
      </c>
      <c r="O23" s="23"/>
      <c r="Q23" s="51"/>
      <c r="R23" s="53" t="s">
        <v>24</v>
      </c>
      <c r="S23" s="53" t="str">
        <f>N23</f>
        <v>1x10/ea</v>
      </c>
      <c r="T23" s="54"/>
    </row>
    <row r="24" spans="2:24" s="1" customFormat="1" ht="19.899999999999999" customHeight="1" x14ac:dyDescent="0.25">
      <c r="B24" s="3">
        <v>2</v>
      </c>
      <c r="C24" s="343" t="s">
        <v>564</v>
      </c>
      <c r="D24" s="343"/>
      <c r="E24" s="344"/>
      <c r="G24" s="27"/>
      <c r="H24" s="28" t="s">
        <v>24</v>
      </c>
      <c r="I24" s="28" t="s">
        <v>624</v>
      </c>
      <c r="J24" s="29"/>
      <c r="L24" s="27"/>
      <c r="M24" s="28" t="s">
        <v>24</v>
      </c>
      <c r="N24" s="28" t="str">
        <f t="shared" si="0"/>
        <v>1x20/ea</v>
      </c>
      <c r="O24" s="29"/>
      <c r="Q24" s="55"/>
      <c r="R24" s="57" t="s">
        <v>24</v>
      </c>
      <c r="S24" s="57" t="str">
        <f>N24</f>
        <v>1x20/ea</v>
      </c>
      <c r="T24" s="58"/>
    </row>
    <row r="25" spans="2:24" s="1" customFormat="1" ht="19.899999999999999" customHeight="1" thickBot="1" x14ac:dyDescent="0.3">
      <c r="B25" s="4">
        <v>3</v>
      </c>
      <c r="C25" s="341" t="s">
        <v>64</v>
      </c>
      <c r="D25" s="341"/>
      <c r="E25" s="342"/>
      <c r="G25" s="24"/>
      <c r="H25" s="25" t="s">
        <v>24</v>
      </c>
      <c r="I25" s="25" t="s">
        <v>657</v>
      </c>
      <c r="J25" s="26"/>
      <c r="L25" s="24"/>
      <c r="M25" s="25" t="s">
        <v>24</v>
      </c>
      <c r="N25" s="25" t="str">
        <f t="shared" si="0"/>
        <v>1x10/ea</v>
      </c>
      <c r="O25" s="26"/>
      <c r="Q25" s="47"/>
      <c r="R25" s="48" t="s">
        <v>24</v>
      </c>
      <c r="S25" s="48" t="str">
        <f>N25</f>
        <v>1x10/ea</v>
      </c>
      <c r="T25" s="49"/>
    </row>
    <row r="26" spans="2:24" s="1" customFormat="1" ht="19.899999999999999" customHeight="1" x14ac:dyDescent="0.25">
      <c r="B26" s="9">
        <v>4</v>
      </c>
      <c r="C26" s="336" t="s">
        <v>418</v>
      </c>
      <c r="D26" s="336"/>
      <c r="E26" s="337"/>
      <c r="G26" s="21"/>
      <c r="H26" s="22" t="s">
        <v>24</v>
      </c>
      <c r="I26" s="22" t="s">
        <v>624</v>
      </c>
      <c r="J26" s="23"/>
      <c r="L26" s="21"/>
      <c r="M26" s="22" t="s">
        <v>24</v>
      </c>
      <c r="N26" s="22" t="str">
        <f t="shared" si="0"/>
        <v>1x20/ea</v>
      </c>
      <c r="O26" s="23"/>
      <c r="Q26" s="51"/>
      <c r="R26" s="53" t="s">
        <v>24</v>
      </c>
      <c r="S26" s="53" t="s">
        <v>17</v>
      </c>
      <c r="T26" s="54"/>
    </row>
    <row r="27" spans="2:24" s="1" customFormat="1" ht="19.899999999999999" customHeight="1" x14ac:dyDescent="0.25">
      <c r="B27" s="3">
        <v>5</v>
      </c>
      <c r="C27" s="343" t="s">
        <v>424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">
        <v>17</v>
      </c>
      <c r="T27" s="58"/>
    </row>
    <row r="28" spans="2:24" s="1" customFormat="1" ht="19.899999999999999" customHeight="1" thickBot="1" x14ac:dyDescent="0.3">
      <c r="B28" s="4">
        <v>6</v>
      </c>
      <c r="C28" s="341" t="s">
        <v>433</v>
      </c>
      <c r="D28" s="341"/>
      <c r="E28" s="342"/>
      <c r="G28" s="24"/>
      <c r="H28" s="25" t="s">
        <v>24</v>
      </c>
      <c r="I28" s="25" t="s">
        <v>296</v>
      </c>
      <c r="J28" s="26"/>
      <c r="L28" s="24"/>
      <c r="M28" s="25" t="s">
        <v>24</v>
      </c>
      <c r="N28" s="25" t="str">
        <f t="shared" si="0"/>
        <v>3x10s</v>
      </c>
      <c r="O28" s="26"/>
      <c r="Q28" s="47"/>
      <c r="R28" s="48" t="s">
        <v>24</v>
      </c>
      <c r="S28" s="48" t="str">
        <f>N28</f>
        <v>3x10s</v>
      </c>
      <c r="T28" s="49"/>
    </row>
    <row r="29" spans="2:24" s="1" customFormat="1" ht="19.899999999999999" customHeight="1" x14ac:dyDescent="0.25">
      <c r="B29" s="9">
        <v>7</v>
      </c>
      <c r="C29" s="336" t="s">
        <v>502</v>
      </c>
      <c r="D29" s="336"/>
      <c r="E29" s="337"/>
      <c r="G29" s="21"/>
      <c r="H29" s="22" t="s">
        <v>24</v>
      </c>
      <c r="I29" s="22" t="s">
        <v>624</v>
      </c>
      <c r="J29" s="23"/>
      <c r="L29" s="21"/>
      <c r="M29" s="22" t="s">
        <v>24</v>
      </c>
      <c r="N29" s="22" t="str">
        <f t="shared" si="0"/>
        <v>1x20/ea</v>
      </c>
      <c r="O29" s="23"/>
      <c r="Q29" s="51"/>
      <c r="R29" s="53" t="s">
        <v>24</v>
      </c>
      <c r="S29" s="53" t="str">
        <f>N29</f>
        <v>1x20/ea</v>
      </c>
      <c r="T29" s="54"/>
    </row>
    <row r="30" spans="2:24" s="1" customFormat="1" ht="19.899999999999999" customHeight="1" x14ac:dyDescent="0.25">
      <c r="B30" s="3">
        <v>8</v>
      </c>
      <c r="C30" s="343" t="s">
        <v>189</v>
      </c>
      <c r="D30" s="343"/>
      <c r="E30" s="344"/>
      <c r="G30" s="27"/>
      <c r="H30" s="28" t="s">
        <v>24</v>
      </c>
      <c r="I30" s="28" t="s">
        <v>135</v>
      </c>
      <c r="J30" s="29"/>
      <c r="L30" s="27"/>
      <c r="M30" s="28" t="s">
        <v>24</v>
      </c>
      <c r="N30" s="28" t="str">
        <f t="shared" si="0"/>
        <v>1x30s/ea</v>
      </c>
      <c r="O30" s="29"/>
      <c r="Q30" s="55"/>
      <c r="R30" s="57" t="s">
        <v>24</v>
      </c>
      <c r="S30" s="57" t="str">
        <f>N30</f>
        <v>1x30s/ea</v>
      </c>
      <c r="T30" s="58"/>
    </row>
    <row r="31" spans="2:24" s="1" customFormat="1" ht="19.899999999999999" customHeight="1" thickBot="1" x14ac:dyDescent="0.3">
      <c r="B31" s="4">
        <v>9</v>
      </c>
      <c r="C31" s="341" t="s">
        <v>459</v>
      </c>
      <c r="D31" s="341"/>
      <c r="E31" s="342"/>
      <c r="G31" s="24"/>
      <c r="H31" s="25" t="s">
        <v>24</v>
      </c>
      <c r="I31" s="25" t="s">
        <v>623</v>
      </c>
      <c r="J31" s="26"/>
      <c r="L31" s="24"/>
      <c r="M31" s="25" t="s">
        <v>24</v>
      </c>
      <c r="N31" s="25" t="str">
        <f t="shared" si="0"/>
        <v>2x12/ea</v>
      </c>
      <c r="O31" s="26"/>
      <c r="Q31" s="47"/>
      <c r="R31" s="48" t="s">
        <v>24</v>
      </c>
      <c r="S31" s="25" t="str">
        <f>N31</f>
        <v>2x12/ea</v>
      </c>
      <c r="T31" s="49"/>
    </row>
    <row r="32" spans="2:24" s="1" customFormat="1" ht="19.899999999999999" customHeight="1" x14ac:dyDescent="0.25">
      <c r="B32" s="9">
        <v>10</v>
      </c>
      <c r="C32" s="336" t="s">
        <v>509</v>
      </c>
      <c r="D32" s="336"/>
      <c r="E32" s="337"/>
      <c r="G32" s="21"/>
      <c r="H32" s="22" t="s">
        <v>24</v>
      </c>
      <c r="I32" s="22" t="s">
        <v>657</v>
      </c>
      <c r="J32" s="23"/>
      <c r="L32" s="21"/>
      <c r="M32" s="22" t="s">
        <v>24</v>
      </c>
      <c r="N32" s="22" t="s">
        <v>595</v>
      </c>
      <c r="O32" s="23"/>
      <c r="Q32" s="21"/>
      <c r="R32" s="22" t="s">
        <v>24</v>
      </c>
      <c r="S32" s="22" t="s">
        <v>596</v>
      </c>
      <c r="T32" s="23"/>
    </row>
    <row r="33" spans="2:22" s="1" customFormat="1" ht="19.899999999999999" customHeight="1" x14ac:dyDescent="0.25">
      <c r="B33" s="3">
        <v>11</v>
      </c>
      <c r="C33" s="343" t="s">
        <v>432</v>
      </c>
      <c r="D33" s="343"/>
      <c r="E33" s="344"/>
      <c r="G33" s="27"/>
      <c r="H33" s="28" t="s">
        <v>24</v>
      </c>
      <c r="I33" s="28" t="s">
        <v>658</v>
      </c>
      <c r="J33" s="29"/>
      <c r="L33" s="27"/>
      <c r="M33" s="28" t="s">
        <v>24</v>
      </c>
      <c r="N33" s="28" t="str">
        <f t="shared" ref="N33:N38" si="1">I33</f>
        <v xml:space="preserve">1x20 </v>
      </c>
      <c r="O33" s="29"/>
      <c r="Q33" s="27"/>
      <c r="R33" s="28" t="s">
        <v>24</v>
      </c>
      <c r="S33" s="28" t="str">
        <f>N33</f>
        <v xml:space="preserve">1x20 </v>
      </c>
      <c r="T33" s="29"/>
    </row>
    <row r="34" spans="2:22" s="1" customFormat="1" ht="19.899999999999999" customHeight="1" thickBot="1" x14ac:dyDescent="0.3">
      <c r="B34" s="3">
        <v>12</v>
      </c>
      <c r="C34" s="343" t="s">
        <v>206</v>
      </c>
      <c r="D34" s="343"/>
      <c r="E34" s="344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 t="shared" si="1"/>
        <v>1x20/ea</v>
      </c>
      <c r="O34" s="26"/>
      <c r="Q34" s="47"/>
      <c r="R34" s="48" t="s">
        <v>24</v>
      </c>
      <c r="S34" s="48" t="str">
        <f>N34</f>
        <v>1x20/ea</v>
      </c>
      <c r="T34" s="49"/>
    </row>
    <row r="35" spans="2:22" s="1" customFormat="1" ht="19.899999999999999" customHeight="1" x14ac:dyDescent="0.25">
      <c r="B35" s="9">
        <v>13</v>
      </c>
      <c r="C35" s="336" t="s">
        <v>448</v>
      </c>
      <c r="D35" s="336"/>
      <c r="E35" s="337"/>
      <c r="G35" s="103"/>
      <c r="H35" s="22" t="s">
        <v>24</v>
      </c>
      <c r="I35" s="22" t="s">
        <v>626</v>
      </c>
      <c r="J35" s="23"/>
      <c r="L35" s="21"/>
      <c r="M35" s="22" t="s">
        <v>24</v>
      </c>
      <c r="N35" s="22" t="str">
        <f t="shared" si="1"/>
        <v>1x15m/ea</v>
      </c>
      <c r="O35" s="23"/>
      <c r="Q35" s="21"/>
      <c r="R35" s="22" t="s">
        <v>24</v>
      </c>
      <c r="S35" s="22" t="str">
        <f>I35</f>
        <v>1x15m/ea</v>
      </c>
      <c r="T35" s="23"/>
    </row>
    <row r="36" spans="2:22" s="1" customFormat="1" ht="19.899999999999999" customHeight="1" x14ac:dyDescent="0.25">
      <c r="B36" s="3">
        <v>14</v>
      </c>
      <c r="C36" s="343" t="s">
        <v>456</v>
      </c>
      <c r="D36" s="343"/>
      <c r="E36" s="344"/>
      <c r="G36" s="100"/>
      <c r="H36" s="28" t="s">
        <v>24</v>
      </c>
      <c r="I36" s="28" t="s">
        <v>317</v>
      </c>
      <c r="J36" s="29"/>
      <c r="L36" s="27"/>
      <c r="M36" s="28" t="s">
        <v>24</v>
      </c>
      <c r="N36" s="28" t="str">
        <f t="shared" si="1"/>
        <v>3x10s/ea</v>
      </c>
      <c r="O36" s="29"/>
      <c r="Q36" s="27"/>
      <c r="R36" s="28" t="s">
        <v>24</v>
      </c>
      <c r="S36" s="28" t="str">
        <f>N36</f>
        <v>3x10s/ea</v>
      </c>
      <c r="T36" s="29"/>
    </row>
    <row r="37" spans="2:22" s="1" customFormat="1" ht="19.899999999999999" customHeight="1" x14ac:dyDescent="0.25">
      <c r="B37" s="3">
        <v>15</v>
      </c>
      <c r="C37" s="343" t="s">
        <v>46</v>
      </c>
      <c r="D37" s="343"/>
      <c r="E37" s="344"/>
      <c r="G37" s="100"/>
      <c r="H37" s="28" t="s">
        <v>24</v>
      </c>
      <c r="I37" s="28" t="s">
        <v>624</v>
      </c>
      <c r="J37" s="29"/>
      <c r="L37" s="27"/>
      <c r="M37" s="28" t="s">
        <v>24</v>
      </c>
      <c r="N37" s="28" t="str">
        <f t="shared" si="1"/>
        <v>1x20/ea</v>
      </c>
      <c r="O37" s="29"/>
      <c r="Q37" s="27"/>
      <c r="R37" s="28" t="s">
        <v>24</v>
      </c>
      <c r="S37" s="28" t="str">
        <f>N37</f>
        <v>1x20/ea</v>
      </c>
      <c r="T37" s="29"/>
    </row>
    <row r="38" spans="2:22" s="1" customFormat="1" ht="19.899999999999999" customHeight="1" thickBot="1" x14ac:dyDescent="0.3">
      <c r="B38" s="4">
        <v>16</v>
      </c>
      <c r="C38" s="341" t="s">
        <v>649</v>
      </c>
      <c r="D38" s="341"/>
      <c r="E38" s="342"/>
      <c r="G38" s="24"/>
      <c r="H38" s="25" t="s">
        <v>24</v>
      </c>
      <c r="I38" s="25" t="s">
        <v>624</v>
      </c>
      <c r="J38" s="26"/>
      <c r="L38" s="24"/>
      <c r="M38" s="25" t="s">
        <v>24</v>
      </c>
      <c r="N38" s="25" t="str">
        <f t="shared" si="1"/>
        <v>1x20/ea</v>
      </c>
      <c r="O38" s="26"/>
      <c r="Q38" s="24"/>
      <c r="R38" s="25" t="s">
        <v>24</v>
      </c>
      <c r="S38" s="25" t="str">
        <f>N38</f>
        <v>1x20/ea</v>
      </c>
      <c r="T38" s="26"/>
    </row>
    <row r="39" spans="2:22" s="2" customFormat="1" ht="16.149999999999999" customHeight="1" thickBot="1" x14ac:dyDescent="0.3">
      <c r="B39" s="349" t="s">
        <v>383</v>
      </c>
      <c r="C39" s="350"/>
      <c r="D39" s="350"/>
      <c r="E39" s="351"/>
      <c r="F39" s="81"/>
      <c r="G39" s="333"/>
      <c r="H39" s="334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5"/>
    </row>
    <row r="40" spans="2:22" s="1" customFormat="1" ht="19.899999999999999" customHeight="1" x14ac:dyDescent="0.25">
      <c r="B40" s="9">
        <v>17</v>
      </c>
      <c r="C40" s="336" t="s">
        <v>205</v>
      </c>
      <c r="D40" s="336"/>
      <c r="E40" s="337"/>
      <c r="G40" s="21"/>
      <c r="H40" s="30" t="s">
        <v>24</v>
      </c>
      <c r="I40" s="22" t="s">
        <v>650</v>
      </c>
      <c r="J40" s="23"/>
      <c r="L40" s="21"/>
      <c r="M40" s="30" t="s">
        <v>24</v>
      </c>
      <c r="N40" s="22" t="str">
        <f>I40</f>
        <v>1x90s/ea</v>
      </c>
      <c r="O40" s="23"/>
      <c r="Q40" s="51"/>
      <c r="R40" s="52" t="s">
        <v>24</v>
      </c>
      <c r="S40" s="53" t="str">
        <f>I40</f>
        <v>1x90s/ea</v>
      </c>
      <c r="T40" s="54"/>
    </row>
    <row r="41" spans="2:22" s="1" customFormat="1" ht="19.899999999999999" customHeight="1" x14ac:dyDescent="0.25">
      <c r="B41" s="3">
        <v>18</v>
      </c>
      <c r="C41" s="345" t="s">
        <v>638</v>
      </c>
      <c r="D41" s="345"/>
      <c r="E41" s="346"/>
      <c r="G41" s="27"/>
      <c r="H41" s="31" t="s">
        <v>24</v>
      </c>
      <c r="I41" s="28" t="s">
        <v>650</v>
      </c>
      <c r="J41" s="29"/>
      <c r="L41" s="27"/>
      <c r="M41" s="31" t="s">
        <v>24</v>
      </c>
      <c r="N41" s="28" t="str">
        <f>I41</f>
        <v>1x90s/ea</v>
      </c>
      <c r="O41" s="29"/>
      <c r="Q41" s="55"/>
      <c r="R41" s="56" t="s">
        <v>24</v>
      </c>
      <c r="S41" s="57" t="str">
        <f>I41</f>
        <v>1x90s/ea</v>
      </c>
      <c r="T41" s="58"/>
    </row>
    <row r="42" spans="2:22" s="1" customFormat="1" ht="19.899999999999999" customHeight="1" thickBot="1" x14ac:dyDescent="0.3">
      <c r="B42" s="4">
        <v>19</v>
      </c>
      <c r="C42" s="347" t="s">
        <v>47</v>
      </c>
      <c r="D42" s="347"/>
      <c r="E42" s="348"/>
      <c r="F42" s="67"/>
      <c r="G42" s="24"/>
      <c r="H42" s="32" t="s">
        <v>24</v>
      </c>
      <c r="I42" s="25" t="s">
        <v>650</v>
      </c>
      <c r="J42" s="26"/>
      <c r="K42" s="67"/>
      <c r="L42" s="24"/>
      <c r="M42" s="32" t="s">
        <v>24</v>
      </c>
      <c r="N42" s="25" t="str">
        <f>I42</f>
        <v>1x90s/ea</v>
      </c>
      <c r="O42" s="26"/>
      <c r="P42" s="67"/>
      <c r="Q42" s="47"/>
      <c r="R42" s="59" t="s">
        <v>24</v>
      </c>
      <c r="S42" s="48" t="str">
        <f>N42</f>
        <v>1x90s/ea</v>
      </c>
      <c r="T42" s="49"/>
    </row>
    <row r="43" spans="2:22" s="2" customFormat="1" ht="4.9000000000000004" customHeight="1" x14ac:dyDescent="0.25">
      <c r="Q43" s="50"/>
      <c r="R43" s="50"/>
      <c r="S43" s="50"/>
      <c r="T43" s="50"/>
    </row>
    <row r="44" spans="2:22" x14ac:dyDescent="0.25">
      <c r="V44" s="1" t="s">
        <v>314</v>
      </c>
    </row>
    <row r="45" spans="2:22" x14ac:dyDescent="0.25">
      <c r="V45" s="1" t="s">
        <v>338</v>
      </c>
    </row>
    <row r="46" spans="2:22" x14ac:dyDescent="0.25">
      <c r="V46" s="1" t="s">
        <v>48</v>
      </c>
    </row>
    <row r="47" spans="2:22" x14ac:dyDescent="0.25">
      <c r="V47" s="1" t="s">
        <v>135</v>
      </c>
    </row>
    <row r="48" spans="2:22" x14ac:dyDescent="0.25">
      <c r="V48" s="1" t="s">
        <v>315</v>
      </c>
    </row>
    <row r="49" spans="22:22" x14ac:dyDescent="0.25">
      <c r="V49" s="1" t="s">
        <v>316</v>
      </c>
    </row>
    <row r="50" spans="22:22" x14ac:dyDescent="0.25">
      <c r="V50" s="1" t="s">
        <v>651</v>
      </c>
    </row>
    <row r="51" spans="22:22" x14ac:dyDescent="0.25">
      <c r="V51" s="1" t="s">
        <v>650</v>
      </c>
    </row>
    <row r="53" spans="22:22" x14ac:dyDescent="0.25">
      <c r="V53" s="1" t="s">
        <v>317</v>
      </c>
    </row>
    <row r="54" spans="22:22" x14ac:dyDescent="0.25">
      <c r="V54" s="1" t="s">
        <v>364</v>
      </c>
    </row>
    <row r="55" spans="22:22" x14ac:dyDescent="0.25">
      <c r="V55" s="1" t="s">
        <v>26</v>
      </c>
    </row>
    <row r="56" spans="22:22" x14ac:dyDescent="0.25">
      <c r="V56" s="1" t="s">
        <v>232</v>
      </c>
    </row>
    <row r="57" spans="22:22" x14ac:dyDescent="0.25">
      <c r="V57" s="1" t="s">
        <v>623</v>
      </c>
    </row>
  </sheetData>
  <mergeCells count="40">
    <mergeCell ref="C41:E41"/>
    <mergeCell ref="C42:E42"/>
    <mergeCell ref="C36:E36"/>
    <mergeCell ref="C37:E37"/>
    <mergeCell ref="C38:E38"/>
    <mergeCell ref="B39:E39"/>
    <mergeCell ref="G39:T39"/>
    <mergeCell ref="C40:E40"/>
    <mergeCell ref="C30:E30"/>
    <mergeCell ref="C31:E31"/>
    <mergeCell ref="C32:E32"/>
    <mergeCell ref="C33:E33"/>
    <mergeCell ref="C34:E34"/>
    <mergeCell ref="C35:E35"/>
    <mergeCell ref="C29:E29"/>
    <mergeCell ref="B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B13:D13"/>
    <mergeCell ref="E13:G13"/>
    <mergeCell ref="O13:Q13"/>
    <mergeCell ref="B15:E16"/>
    <mergeCell ref="G15:T15"/>
    <mergeCell ref="H16:I16"/>
    <mergeCell ref="M16:N16"/>
    <mergeCell ref="R16:S16"/>
    <mergeCell ref="O2:T7"/>
    <mergeCell ref="E10:G10"/>
    <mergeCell ref="I10:L10"/>
    <mergeCell ref="B12:D12"/>
    <mergeCell ref="E12:G12"/>
    <mergeCell ref="O12:Q12"/>
  </mergeCells>
  <dataValidations count="11">
    <dataValidation type="list" allowBlank="1" showInputMessage="1" showErrorMessage="1" sqref="I42" xr:uid="{00000000-0002-0000-0A00-000000000000}">
      <formula1>$V$44:$V$57</formula1>
    </dataValidation>
    <dataValidation type="list" allowBlank="1" showInputMessage="1" showErrorMessage="1" sqref="I31" xr:uid="{00000000-0002-0000-0A00-000001000000}">
      <formula1>$V$40:$V$58</formula1>
    </dataValidation>
    <dataValidation type="list" allowBlank="1" showInputMessage="1" showErrorMessage="1" sqref="N31" xr:uid="{00000000-0002-0000-0A00-000002000000}">
      <formula1>$V$40:$V$54</formula1>
    </dataValidation>
    <dataValidation type="list" allowBlank="1" showInputMessage="1" showErrorMessage="1" sqref="I40:I41" xr:uid="{00000000-0002-0000-0A00-000003000000}">
      <formula1>$V$44:$V$58</formula1>
    </dataValidation>
    <dataValidation type="list" allowBlank="1" showInputMessage="1" showErrorMessage="1" sqref="S31" xr:uid="{00000000-0002-0000-0A00-000004000000}">
      <formula1>$V$40:$V$53</formula1>
    </dataValidation>
    <dataValidation type="list" allowBlank="1" showInputMessage="1" showErrorMessage="1" sqref="S42 N40:N42" xr:uid="{00000000-0002-0000-0A00-000005000000}">
      <formula1>$V$44:$V$49</formula1>
    </dataValidation>
    <dataValidation type="list" allowBlank="1" showInputMessage="1" showErrorMessage="1" sqref="H41:H42 R41:R42 M41:M42" xr:uid="{00000000-0002-0000-0A00-000006000000}">
      <formula1>$W$16:$W$18</formula1>
    </dataValidation>
    <dataValidation type="list" allowBlank="1" showInputMessage="1" showErrorMessage="1" sqref="M40 R40 H40" xr:uid="{00000000-0002-0000-0A00-000007000000}">
      <formula1>$W$16:$W$20</formula1>
    </dataValidation>
    <dataValidation type="list" allowBlank="1" showInputMessage="1" showErrorMessage="1" sqref="B15:E16" xr:uid="{00000000-0002-0000-0A00-000008000000}">
      <formula1>$X$16:$X$24</formula1>
    </dataValidation>
    <dataValidation type="list" allowBlank="1" showInputMessage="1" showErrorMessage="1" sqref="M23:M38 H23:H38 R23:R38" xr:uid="{00000000-0002-0000-0A00-000009000000}">
      <formula1>$W$22:$W$24</formula1>
    </dataValidation>
    <dataValidation type="list" allowBlank="1" showInputMessage="1" showErrorMessage="1" sqref="N27 S27" xr:uid="{00000000-0002-0000-0A00-00000A000000}">
      <formula1>$V$40:$V$48</formula1>
    </dataValidation>
  </dataValidations>
  <pageMargins left="0.25" right="0.25" top="0.75" bottom="0.75" header="0.3" footer="0.3"/>
  <pageSetup paperSize="9" scale="67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4">
        <x14:dataValidation type="list" allowBlank="1" showInputMessage="1" showErrorMessage="1" xr:uid="{00000000-0002-0000-0A00-00000B000000}">
          <x14:formula1>
            <xm:f>'Warm Up'!$M:$M</xm:f>
          </x14:formula1>
          <xm:sqref>S13</xm:sqref>
        </x14:dataValidation>
        <x14:dataValidation type="list" allowBlank="1" showInputMessage="1" showErrorMessage="1" xr:uid="{00000000-0002-0000-0A00-00000C000000}">
          <x14:formula1>
            <xm:f>'Warm Up'!$K:$K</xm:f>
          </x14:formula1>
          <xm:sqref>M13</xm:sqref>
        </x14:dataValidation>
        <x14:dataValidation type="list" allowBlank="1" showInputMessage="1" showErrorMessage="1" xr:uid="{00000000-0002-0000-0A00-00000D000000}">
          <x14:formula1>
            <xm:f>'Warm Up'!$J:$J</xm:f>
          </x14:formula1>
          <xm:sqref>I13</xm:sqref>
        </x14:dataValidation>
        <x14:dataValidation type="list" allowBlank="1" showInputMessage="1" showErrorMessage="1" xr:uid="{00000000-0002-0000-0A00-00000E000000}">
          <x14:formula1>
            <xm:f>'Warm Up'!$I:$I</xm:f>
          </x14:formula1>
          <xm:sqref>E13</xm:sqref>
        </x14:dataValidation>
        <x14:dataValidation type="list" allowBlank="1" showInputMessage="1" showErrorMessage="1" xr:uid="{00000000-0002-0000-0A00-00000F000000}">
          <x14:formula1>
            <xm:f>'Warm Up'!$H:$H</xm:f>
          </x14:formula1>
          <xm:sqref>B13</xm:sqref>
        </x14:dataValidation>
        <x14:dataValidation type="list" allowBlank="1" showInputMessage="1" showErrorMessage="1" xr:uid="{00000000-0002-0000-0A00-000010000000}">
          <x14:formula1>
            <xm:f>'Warm Up'!$G:$G</xm:f>
          </x14:formula1>
          <xm:sqref>S12</xm:sqref>
        </x14:dataValidation>
        <x14:dataValidation type="list" allowBlank="1" showInputMessage="1" showErrorMessage="1" xr:uid="{00000000-0002-0000-0A00-000011000000}">
          <x14:formula1>
            <xm:f>'Warm Up'!$F:$F</xm:f>
          </x14:formula1>
          <xm:sqref>O12</xm:sqref>
        </x14:dataValidation>
        <x14:dataValidation type="list" allowBlank="1" showInputMessage="1" showErrorMessage="1" xr:uid="{00000000-0002-0000-0A00-000012000000}">
          <x14:formula1>
            <xm:f>'Warm Up'!$E:$E</xm:f>
          </x14:formula1>
          <xm:sqref>M12</xm:sqref>
        </x14:dataValidation>
        <x14:dataValidation type="list" allowBlank="1" showInputMessage="1" showErrorMessage="1" xr:uid="{00000000-0002-0000-0A00-000013000000}">
          <x14:formula1>
            <xm:f>'Warm Up'!$D:$D</xm:f>
          </x14:formula1>
          <xm:sqref>I12</xm:sqref>
        </x14:dataValidation>
        <x14:dataValidation type="list" allowBlank="1" showInputMessage="1" showErrorMessage="1" xr:uid="{00000000-0002-0000-0A00-000014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A00-000015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A00-000016000000}">
          <x14:formula1>
            <xm:f>'Warm Up'!$L:$L</xm:f>
          </x14:formula1>
          <xm:sqref>O13</xm:sqref>
        </x14:dataValidation>
        <x14:dataValidation type="list" allowBlank="1" showInputMessage="1" showErrorMessage="1" xr:uid="{00000000-0002-0000-0A00-000017000000}">
          <x14:formula1>
            <xm:f>' Unterkörper Progressionen '!$F:$F</xm:f>
          </x14:formula1>
          <xm:sqref>C24:E24</xm:sqref>
        </x14:dataValidation>
        <x14:dataValidation type="list" allowBlank="1" showInputMessage="1" showErrorMessage="1" xr:uid="{00000000-0002-0000-0A00-000018000000}">
          <x14:formula1>
            <xm:f>' Unterkörper Progressionen '!$Q:$Q</xm:f>
          </x14:formula1>
          <xm:sqref>C35:E35</xm:sqref>
        </x14:dataValidation>
        <x14:dataValidation type="list" allowBlank="1" showInputMessage="1" showErrorMessage="1" xr:uid="{00000000-0002-0000-0A00-000019000000}">
          <x14:formula1>
            <xm:f>' Unterkörper Progressionen '!$P:$P</xm:f>
          </x14:formula1>
          <xm:sqref>C34:E34</xm:sqref>
        </x14:dataValidation>
        <x14:dataValidation type="list" allowBlank="1" showInputMessage="1" showErrorMessage="1" xr:uid="{00000000-0002-0000-0A00-00001A000000}">
          <x14:formula1>
            <xm:f>' Unterkörper Progressionen '!$O:$O</xm:f>
          </x14:formula1>
          <xm:sqref>C33:E33</xm:sqref>
        </x14:dataValidation>
        <x14:dataValidation type="list" allowBlank="1" showInputMessage="1" showErrorMessage="1" xr:uid="{00000000-0002-0000-0A00-00001B000000}">
          <x14:formula1>
            <xm:f>' Unterkörper Progressionen '!$K:$K</xm:f>
          </x14:formula1>
          <xm:sqref>C29:E29</xm:sqref>
        </x14:dataValidation>
        <x14:dataValidation type="list" allowBlank="1" showInputMessage="1" showErrorMessage="1" xr:uid="{00000000-0002-0000-0A00-00001C000000}">
          <x14:formula1>
            <xm:f>' Unterkörper Progressionen '!$L:$L</xm:f>
          </x14:formula1>
          <xm:sqref>C30:E30</xm:sqref>
        </x14:dataValidation>
        <x14:dataValidation type="list" allowBlank="1" showInputMessage="1" showErrorMessage="1" xr:uid="{00000000-0002-0000-0A00-00001D000000}">
          <x14:formula1>
            <xm:f>' Unterkörper Progressionen '!$J:$J</xm:f>
          </x14:formula1>
          <xm:sqref>C28:E28</xm:sqref>
        </x14:dataValidation>
        <x14:dataValidation type="list" allowBlank="1" showInputMessage="1" showErrorMessage="1" xr:uid="{00000000-0002-0000-0A00-00001E000000}">
          <x14:formula1>
            <xm:f>' Unterkörper Progressionen '!$H:$H</xm:f>
          </x14:formula1>
          <xm:sqref>C26:E26</xm:sqref>
        </x14:dataValidation>
        <x14:dataValidation type="list" allowBlank="1" showInputMessage="1" showErrorMessage="1" xr:uid="{00000000-0002-0000-0A00-00001F000000}">
          <x14:formula1>
            <xm:f>' Unterkörper Progressionen '!$I:$I</xm:f>
          </x14:formula1>
          <xm:sqref>C27:E27</xm:sqref>
        </x14:dataValidation>
        <x14:dataValidation type="list" allowBlank="1" showInputMessage="1" showErrorMessage="1" xr:uid="{00000000-0002-0000-0A00-000020000000}">
          <x14:formula1>
            <xm:f>' Unterkörper Progressionen '!$V:$V</xm:f>
          </x14:formula1>
          <xm:sqref>C42:E42</xm:sqref>
        </x14:dataValidation>
        <x14:dataValidation type="list" allowBlank="1" showInputMessage="1" showErrorMessage="1" xr:uid="{00000000-0002-0000-0A00-000021000000}">
          <x14:formula1>
            <xm:f>' Unterkörper Progressionen '!$W:$W</xm:f>
          </x14:formula1>
          <xm:sqref>C41:E41</xm:sqref>
        </x14:dataValidation>
        <x14:dataValidation type="list" allowBlank="1" showInputMessage="1" showErrorMessage="1" xr:uid="{00000000-0002-0000-0A00-000022000000}">
          <x14:formula1>
            <xm:f>' Unterkörper Progressionen '!$T:$T</xm:f>
          </x14:formula1>
          <xm:sqref>C38:E38</xm:sqref>
        </x14:dataValidation>
        <x14:dataValidation type="list" allowBlank="1" showInputMessage="1" showErrorMessage="1" xr:uid="{00000000-0002-0000-0A00-000023000000}">
          <x14:formula1>
            <xm:f>' Unterkörper Progressionen '!$U:$U</xm:f>
          </x14:formula1>
          <xm:sqref>C40:E40</xm:sqref>
        </x14:dataValidation>
        <x14:dataValidation type="list" allowBlank="1" showInputMessage="1" showErrorMessage="1" xr:uid="{00000000-0002-0000-0A00-000024000000}">
          <x14:formula1>
            <xm:f>' Unterkörper Progressionen '!$D:$D</xm:f>
          </x14:formula1>
          <xm:sqref>C20:E20</xm:sqref>
        </x14:dataValidation>
        <x14:dataValidation type="list" allowBlank="1" showInputMessage="1" showErrorMessage="1" xr:uid="{00000000-0002-0000-0A00-000025000000}">
          <x14:formula1>
            <xm:f>' Unterkörper Progressionen '!$E:$E</xm:f>
          </x14:formula1>
          <xm:sqref>C23:E23</xm:sqref>
        </x14:dataValidation>
        <x14:dataValidation type="list" allowBlank="1" showInputMessage="1" showErrorMessage="1" xr:uid="{00000000-0002-0000-0A00-000026000000}">
          <x14:formula1>
            <xm:f>' Unterkörper Progressionen '!$S:$S</xm:f>
          </x14:formula1>
          <xm:sqref>C37:E37</xm:sqref>
        </x14:dataValidation>
        <x14:dataValidation type="list" allowBlank="1" showInputMessage="1" showErrorMessage="1" xr:uid="{00000000-0002-0000-0A00-000027000000}">
          <x14:formula1>
            <xm:f>' Unterkörper Progressionen '!$R:$R</xm:f>
          </x14:formula1>
          <xm:sqref>C36:E36</xm:sqref>
        </x14:dataValidation>
        <x14:dataValidation type="list" allowBlank="1" showInputMessage="1" showErrorMessage="1" xr:uid="{00000000-0002-0000-0A00-000028000000}">
          <x14:formula1>
            <xm:f>' Unterkörper Progressionen '!$N:$N</xm:f>
          </x14:formula1>
          <xm:sqref>C32:E32</xm:sqref>
        </x14:dataValidation>
        <x14:dataValidation type="list" allowBlank="1" showInputMessage="1" showErrorMessage="1" xr:uid="{00000000-0002-0000-0A00-000029000000}">
          <x14:formula1>
            <xm:f>' Unterkörper Progressionen '!$M:$M</xm:f>
          </x14:formula1>
          <xm:sqref>C31:E31</xm:sqref>
        </x14:dataValidation>
        <x14:dataValidation type="list" allowBlank="1" showInputMessage="1" showErrorMessage="1" xr:uid="{00000000-0002-0000-0A00-00002A000000}">
          <x14:formula1>
            <xm:f>' Unterkörper Progressionen '!$G:$G</xm:f>
          </x14:formula1>
          <xm:sqref>C25:E25</xm:sqref>
        </x14:dataValidation>
        <x14:dataValidation type="list" allowBlank="1" showInputMessage="1" showErrorMessage="1" xr:uid="{00000000-0002-0000-0A00-00002B000000}">
          <x14:formula1>
            <xm:f>' Unterkörper Progressionen '!$B:$B</xm:f>
          </x14:formula1>
          <xm:sqref>C18:E18</xm:sqref>
        </x14:dataValidation>
        <x14:dataValidation type="list" allowBlank="1" showInputMessage="1" showErrorMessage="1" xr:uid="{00000000-0002-0000-0A00-00002C000000}">
          <x14:formula1>
            <xm:f>' Unterkörper Progressionen '!$C:$C</xm:f>
          </x14:formula1>
          <xm:sqref>C19:E19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W50"/>
  <sheetViews>
    <sheetView topLeftCell="A6" zoomScale="72" zoomScaleNormal="70" workbookViewId="0">
      <selection activeCell="C29" sqref="C29:E29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1" t="s">
        <v>0</v>
      </c>
      <c r="F2" s="11"/>
      <c r="G2" s="11"/>
      <c r="H2" s="11"/>
      <c r="I2" s="11" t="s">
        <v>5</v>
      </c>
      <c r="J2" s="11"/>
      <c r="K2" s="11"/>
      <c r="L2" s="11"/>
      <c r="M2" s="11" t="s">
        <v>10</v>
      </c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I4" t="s">
        <v>6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76" t="str">
        <f>UnterkörperA!C5</f>
        <v>NAME</v>
      </c>
      <c r="E5" t="s">
        <v>2</v>
      </c>
      <c r="I5" s="12" t="s">
        <v>7</v>
      </c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76"/>
      <c r="E6" t="s">
        <v>3</v>
      </c>
      <c r="I6" t="s">
        <v>8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76"/>
      <c r="E7" t="s">
        <v>4</v>
      </c>
      <c r="I7" t="s">
        <v>9</v>
      </c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x14ac:dyDescent="0.25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x14ac:dyDescent="0.25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e">
        <f>UnterkörperA!#REF!</f>
        <v>#REF!</v>
      </c>
      <c r="T10" s="64"/>
    </row>
    <row r="11" spans="2:23" ht="16.5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34" customFormat="1" ht="15.6" customHeight="1" x14ac:dyDescent="0.25">
      <c r="B12" s="374" t="s">
        <v>582</v>
      </c>
      <c r="C12" s="373"/>
      <c r="D12" s="373"/>
      <c r="E12" s="373" t="s">
        <v>521</v>
      </c>
      <c r="F12" s="373"/>
      <c r="G12" s="373"/>
      <c r="H12" s="373" t="s">
        <v>55</v>
      </c>
      <c r="I12" s="373"/>
      <c r="J12" s="373"/>
      <c r="K12" s="66"/>
      <c r="L12" s="373" t="s">
        <v>419</v>
      </c>
      <c r="M12" s="373"/>
      <c r="N12" s="373"/>
      <c r="O12" s="373" t="s">
        <v>418</v>
      </c>
      <c r="P12" s="373"/>
      <c r="Q12" s="373"/>
      <c r="R12" s="373" t="s">
        <v>564</v>
      </c>
      <c r="S12" s="373"/>
      <c r="T12" s="377"/>
    </row>
    <row r="13" spans="2:23" s="34" customFormat="1" ht="15.6" customHeight="1" x14ac:dyDescent="0.25">
      <c r="B13" s="376" t="s">
        <v>181</v>
      </c>
      <c r="C13" s="375"/>
      <c r="D13" s="375"/>
      <c r="E13" s="375" t="s">
        <v>173</v>
      </c>
      <c r="F13" s="375"/>
      <c r="G13" s="375"/>
      <c r="H13" s="375" t="s">
        <v>176</v>
      </c>
      <c r="I13" s="375"/>
      <c r="J13" s="375"/>
      <c r="L13" s="375" t="s">
        <v>153</v>
      </c>
      <c r="M13" s="375"/>
      <c r="N13" s="375"/>
      <c r="O13" s="375" t="s">
        <v>586</v>
      </c>
      <c r="P13" s="375"/>
      <c r="Q13" s="375"/>
      <c r="R13" s="375"/>
      <c r="S13" s="375" t="s">
        <v>178</v>
      </c>
      <c r="T13" s="379"/>
    </row>
    <row r="14" spans="2:23" ht="4.9000000000000004" customHeight="1" thickBot="1" x14ac:dyDescent="0.3">
      <c r="B14" s="8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6"/>
    </row>
    <row r="15" spans="2:23" ht="16.5" thickBot="1" x14ac:dyDescent="0.3">
      <c r="B15" s="352" t="str">
        <f>UnterkörperF!B15</f>
        <v>Level F</v>
      </c>
      <c r="C15" s="353"/>
      <c r="D15" s="353"/>
      <c r="E15" s="354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55"/>
      <c r="C16" s="356"/>
      <c r="D16" s="356"/>
      <c r="E16" s="357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6.5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510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653</v>
      </c>
      <c r="D19" s="343"/>
      <c r="E19" s="344"/>
      <c r="G19" s="68" t="s">
        <v>23</v>
      </c>
      <c r="H19" s="69"/>
      <c r="I19" s="69" t="s">
        <v>25</v>
      </c>
      <c r="J19" s="70" t="s">
        <v>592</v>
      </c>
      <c r="L19" s="68" t="s">
        <v>23</v>
      </c>
      <c r="M19" s="69"/>
      <c r="N19" s="69" t="s">
        <v>25</v>
      </c>
      <c r="O19" s="70" t="s">
        <v>592</v>
      </c>
      <c r="Q19" s="77" t="s">
        <v>23</v>
      </c>
      <c r="R19" s="78"/>
      <c r="S19" s="78" t="s">
        <v>25</v>
      </c>
      <c r="T19" s="79" t="s">
        <v>592</v>
      </c>
    </row>
    <row r="20" spans="2:23" s="1" customFormat="1" ht="19.899999999999999" customHeight="1" thickBot="1" x14ac:dyDescent="0.3">
      <c r="B20" s="4">
        <v>3</v>
      </c>
      <c r="C20" s="341" t="s">
        <v>652</v>
      </c>
      <c r="D20" s="341"/>
      <c r="E20" s="342"/>
      <c r="G20" s="24" t="s">
        <v>23</v>
      </c>
      <c r="H20" s="25"/>
      <c r="I20" s="25" t="s">
        <v>25</v>
      </c>
      <c r="J20" s="26" t="s">
        <v>592</v>
      </c>
      <c r="L20" s="24" t="s">
        <v>23</v>
      </c>
      <c r="M20" s="25"/>
      <c r="N20" s="25" t="s">
        <v>25</v>
      </c>
      <c r="O20" s="26" t="s">
        <v>592</v>
      </c>
      <c r="Q20" s="47" t="s">
        <v>23</v>
      </c>
      <c r="R20" s="48"/>
      <c r="S20" s="48" t="s">
        <v>25</v>
      </c>
      <c r="T20" s="49" t="s">
        <v>592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6.5" thickBot="1" x14ac:dyDescent="0.3">
      <c r="B22" s="338" t="s">
        <v>381</v>
      </c>
      <c r="C22" s="339"/>
      <c r="D22" s="339"/>
      <c r="E22" s="340"/>
      <c r="G22" s="82" t="s">
        <v>22</v>
      </c>
      <c r="H22" s="83" t="s">
        <v>20</v>
      </c>
      <c r="I22" s="83" t="s">
        <v>21</v>
      </c>
      <c r="J22" s="84" t="s">
        <v>22</v>
      </c>
      <c r="K22" s="73"/>
      <c r="L22" s="82" t="str">
        <f>G22</f>
        <v>WEIGHT</v>
      </c>
      <c r="M22" s="83" t="s">
        <v>20</v>
      </c>
      <c r="N22" s="83" t="s">
        <v>21</v>
      </c>
      <c r="O22" s="84" t="s">
        <v>22</v>
      </c>
      <c r="P22" s="73"/>
      <c r="Q22" s="85" t="str">
        <f>L22</f>
        <v>WEIGHT</v>
      </c>
      <c r="R22" s="86" t="s">
        <v>20</v>
      </c>
      <c r="S22" s="86" t="s">
        <v>21</v>
      </c>
      <c r="T22" s="87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277</v>
      </c>
      <c r="D23" s="336"/>
      <c r="E23" s="337"/>
      <c r="G23" s="21"/>
      <c r="H23" s="22" t="s">
        <v>24</v>
      </c>
      <c r="I23" s="22" t="s">
        <v>655</v>
      </c>
      <c r="J23" s="23"/>
      <c r="L23" s="21"/>
      <c r="M23" s="22" t="s">
        <v>24</v>
      </c>
      <c r="N23" s="22" t="str">
        <f t="shared" ref="N23:N31" si="0">I23</f>
        <v>1x10</v>
      </c>
      <c r="O23" s="23"/>
      <c r="Q23" s="51"/>
      <c r="R23" s="53" t="s">
        <v>24</v>
      </c>
      <c r="S23" s="53" t="str">
        <f>N23</f>
        <v>1x10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303</v>
      </c>
      <c r="D24" s="343"/>
      <c r="E24" s="344"/>
      <c r="G24" s="27"/>
      <c r="H24" s="28" t="s">
        <v>24</v>
      </c>
      <c r="I24" s="28" t="s">
        <v>656</v>
      </c>
      <c r="J24" s="29"/>
      <c r="L24" s="27"/>
      <c r="M24" s="28" t="s">
        <v>24</v>
      </c>
      <c r="N24" s="28" t="str">
        <f t="shared" si="0"/>
        <v>1x8</v>
      </c>
      <c r="O24" s="29"/>
      <c r="Q24" s="55"/>
      <c r="R24" s="57" t="s">
        <v>24</v>
      </c>
      <c r="S24" s="57" t="str">
        <f>N24</f>
        <v>1x8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420</v>
      </c>
      <c r="D25" s="341"/>
      <c r="E25" s="342"/>
      <c r="G25" s="24"/>
      <c r="H25" s="25" t="s">
        <v>24</v>
      </c>
      <c r="I25" s="25" t="s">
        <v>593</v>
      </c>
      <c r="J25" s="26"/>
      <c r="L25" s="24"/>
      <c r="M25" s="25" t="s">
        <v>24</v>
      </c>
      <c r="N25" s="25" t="str">
        <f t="shared" si="0"/>
        <v>1x10ea</v>
      </c>
      <c r="O25" s="26"/>
      <c r="Q25" s="47"/>
      <c r="R25" s="48" t="s">
        <v>24</v>
      </c>
      <c r="S25" s="48" t="str">
        <f>N25</f>
        <v>1x10ea</v>
      </c>
      <c r="T25" s="49"/>
    </row>
    <row r="26" spans="2:23" s="1" customFormat="1" ht="19.899999999999999" customHeight="1" x14ac:dyDescent="0.25">
      <c r="B26" s="9">
        <v>4</v>
      </c>
      <c r="C26" s="336" t="s">
        <v>526</v>
      </c>
      <c r="D26" s="336"/>
      <c r="E26" s="337"/>
      <c r="G26" s="21"/>
      <c r="H26" s="22" t="s">
        <v>24</v>
      </c>
      <c r="I26" s="22" t="s">
        <v>17</v>
      </c>
      <c r="J26" s="23"/>
      <c r="L26" s="21"/>
      <c r="M26" s="22" t="s">
        <v>24</v>
      </c>
      <c r="N26" s="22" t="str">
        <f t="shared" si="0"/>
        <v>1x20</v>
      </c>
      <c r="O26" s="23"/>
      <c r="Q26" s="51"/>
      <c r="R26" s="53" t="s">
        <v>24</v>
      </c>
      <c r="S26" s="53" t="s">
        <v>17</v>
      </c>
      <c r="T26" s="54"/>
    </row>
    <row r="27" spans="2:23" s="1" customFormat="1" ht="19.899999999999999" customHeight="1" x14ac:dyDescent="0.25">
      <c r="B27" s="3">
        <v>5</v>
      </c>
      <c r="C27" s="343" t="s">
        <v>533</v>
      </c>
      <c r="D27" s="343"/>
      <c r="E27" s="344"/>
      <c r="G27" s="27"/>
      <c r="H27" s="28" t="s">
        <v>24</v>
      </c>
      <c r="I27" s="28" t="s">
        <v>624</v>
      </c>
      <c r="J27" s="29"/>
      <c r="L27" s="27"/>
      <c r="M27" s="28" t="s">
        <v>24</v>
      </c>
      <c r="N27" s="28" t="str">
        <f t="shared" si="0"/>
        <v>1x20/ea</v>
      </c>
      <c r="O27" s="29"/>
      <c r="Q27" s="55"/>
      <c r="R27" s="57" t="s">
        <v>24</v>
      </c>
      <c r="S27" s="28" t="str">
        <f>I27</f>
        <v>1x20/ea</v>
      </c>
      <c r="T27" s="58"/>
    </row>
    <row r="28" spans="2:23" s="1" customFormat="1" ht="19.899999999999999" customHeight="1" thickBot="1" x14ac:dyDescent="0.3">
      <c r="B28" s="4">
        <v>6</v>
      </c>
      <c r="C28" s="341" t="s">
        <v>433</v>
      </c>
      <c r="D28" s="341"/>
      <c r="E28" s="342"/>
      <c r="G28" s="24"/>
      <c r="H28" s="25" t="s">
        <v>24</v>
      </c>
      <c r="I28" s="25" t="s">
        <v>317</v>
      </c>
      <c r="J28" s="26"/>
      <c r="L28" s="24"/>
      <c r="M28" s="25" t="s">
        <v>24</v>
      </c>
      <c r="N28" s="25" t="str">
        <f t="shared" si="0"/>
        <v>3x10s/ea</v>
      </c>
      <c r="O28" s="26"/>
      <c r="Q28" s="47"/>
      <c r="R28" s="48" t="s">
        <v>24</v>
      </c>
      <c r="S28" s="48" t="str">
        <f>N28</f>
        <v>3x10s/ea</v>
      </c>
      <c r="T28" s="49"/>
    </row>
    <row r="29" spans="2:23" s="1" customFormat="1" ht="19.899999999999999" customHeight="1" x14ac:dyDescent="0.25">
      <c r="B29" s="9">
        <v>7</v>
      </c>
      <c r="C29" s="336" t="s">
        <v>537</v>
      </c>
      <c r="D29" s="336"/>
      <c r="E29" s="337"/>
      <c r="G29" s="21"/>
      <c r="H29" s="22" t="s">
        <v>24</v>
      </c>
      <c r="I29" s="22" t="s">
        <v>17</v>
      </c>
      <c r="J29" s="23"/>
      <c r="L29" s="21"/>
      <c r="M29" s="22" t="s">
        <v>24</v>
      </c>
      <c r="N29" s="22" t="str">
        <f t="shared" si="0"/>
        <v>1x20</v>
      </c>
      <c r="O29" s="23"/>
      <c r="Q29" s="51"/>
      <c r="R29" s="53" t="s">
        <v>24</v>
      </c>
      <c r="S29" s="53" t="str">
        <f>N29</f>
        <v>1x20</v>
      </c>
      <c r="T29" s="54"/>
    </row>
    <row r="30" spans="2:23" s="1" customFormat="1" ht="19.899999999999999" customHeight="1" x14ac:dyDescent="0.25">
      <c r="B30" s="3">
        <v>8</v>
      </c>
      <c r="C30" s="343" t="s">
        <v>285</v>
      </c>
      <c r="D30" s="343"/>
      <c r="E30" s="344"/>
      <c r="G30" s="27"/>
      <c r="H30" s="28" t="s">
        <v>24</v>
      </c>
      <c r="I30" s="28" t="s">
        <v>17</v>
      </c>
      <c r="J30" s="29"/>
      <c r="L30" s="27"/>
      <c r="M30" s="28" t="s">
        <v>24</v>
      </c>
      <c r="N30" s="28" t="str">
        <f t="shared" si="0"/>
        <v>1x20</v>
      </c>
      <c r="O30" s="29"/>
      <c r="Q30" s="55"/>
      <c r="R30" s="57" t="s">
        <v>24</v>
      </c>
      <c r="S30" s="57" t="str">
        <f>N30</f>
        <v>1x20</v>
      </c>
      <c r="T30" s="58"/>
    </row>
    <row r="31" spans="2:23" s="1" customFormat="1" ht="19.899999999999999" customHeight="1" thickBot="1" x14ac:dyDescent="0.3">
      <c r="B31" s="4">
        <v>9</v>
      </c>
      <c r="C31" s="341" t="s">
        <v>288</v>
      </c>
      <c r="D31" s="341"/>
      <c r="E31" s="342"/>
      <c r="G31" s="24"/>
      <c r="H31" s="25" t="s">
        <v>24</v>
      </c>
      <c r="I31" s="25" t="s">
        <v>17</v>
      </c>
      <c r="J31" s="26"/>
      <c r="L31" s="24"/>
      <c r="M31" s="25" t="s">
        <v>24</v>
      </c>
      <c r="N31" s="25" t="str">
        <f t="shared" si="0"/>
        <v>1x20</v>
      </c>
      <c r="O31" s="26"/>
      <c r="Q31" s="47"/>
      <c r="R31" s="48" t="s">
        <v>24</v>
      </c>
      <c r="S31" s="25" t="str">
        <f>N31</f>
        <v>1x20</v>
      </c>
      <c r="T31" s="49"/>
    </row>
    <row r="32" spans="2:23" s="1" customFormat="1" ht="19.899999999999999" customHeight="1" x14ac:dyDescent="0.25">
      <c r="B32" s="9">
        <v>10</v>
      </c>
      <c r="C32" s="336" t="s">
        <v>521</v>
      </c>
      <c r="D32" s="336"/>
      <c r="E32" s="337"/>
      <c r="G32" s="21"/>
      <c r="H32" s="22" t="s">
        <v>24</v>
      </c>
      <c r="I32" s="22" t="s">
        <v>594</v>
      </c>
      <c r="J32" s="23"/>
      <c r="L32" s="21"/>
      <c r="M32" s="22" t="s">
        <v>24</v>
      </c>
      <c r="N32" s="22" t="s">
        <v>595</v>
      </c>
      <c r="O32" s="23"/>
      <c r="Q32" s="21"/>
      <c r="R32" s="22" t="s">
        <v>24</v>
      </c>
      <c r="S32" s="22" t="s">
        <v>596</v>
      </c>
      <c r="T32" s="23"/>
    </row>
    <row r="33" spans="2:22" s="1" customFormat="1" ht="19.899999999999999" customHeight="1" x14ac:dyDescent="0.25">
      <c r="B33" s="3">
        <v>11</v>
      </c>
      <c r="C33" s="343" t="s">
        <v>286</v>
      </c>
      <c r="D33" s="343"/>
      <c r="E33" s="344"/>
      <c r="G33" s="27"/>
      <c r="H33" s="28" t="s">
        <v>24</v>
      </c>
      <c r="I33" s="28" t="s">
        <v>624</v>
      </c>
      <c r="J33" s="29"/>
      <c r="L33" s="27"/>
      <c r="M33" s="28" t="s">
        <v>24</v>
      </c>
      <c r="N33" s="28" t="str">
        <f>I33</f>
        <v>1x20/ea</v>
      </c>
      <c r="O33" s="29"/>
      <c r="Q33" s="27"/>
      <c r="R33" s="28" t="s">
        <v>24</v>
      </c>
      <c r="S33" s="28" t="str">
        <f>N33</f>
        <v>1x20/ea</v>
      </c>
      <c r="T33" s="29"/>
    </row>
    <row r="34" spans="2:22" s="1" customFormat="1" ht="19.899999999999999" customHeight="1" thickBot="1" x14ac:dyDescent="0.3">
      <c r="B34" s="4">
        <v>12</v>
      </c>
      <c r="C34" s="341" t="s">
        <v>546</v>
      </c>
      <c r="D34" s="341"/>
      <c r="E34" s="342"/>
      <c r="G34" s="24"/>
      <c r="H34" s="25" t="s">
        <v>24</v>
      </c>
      <c r="I34" s="25" t="s">
        <v>624</v>
      </c>
      <c r="J34" s="26"/>
      <c r="L34" s="24"/>
      <c r="M34" s="25" t="s">
        <v>24</v>
      </c>
      <c r="N34" s="25" t="str">
        <f>I34</f>
        <v>1x20/ea</v>
      </c>
      <c r="O34" s="26"/>
      <c r="Q34" s="47"/>
      <c r="R34" s="48" t="s">
        <v>24</v>
      </c>
      <c r="S34" s="48" t="str">
        <f>N34</f>
        <v>1x20/ea</v>
      </c>
      <c r="T34" s="49"/>
    </row>
    <row r="35" spans="2:22" s="2" customFormat="1" ht="16.149999999999999" customHeight="1" thickBot="1" x14ac:dyDescent="0.3">
      <c r="B35" s="338" t="s">
        <v>382</v>
      </c>
      <c r="C35" s="339"/>
      <c r="D35" s="339"/>
      <c r="E35" s="340"/>
      <c r="F35" s="81"/>
      <c r="G35" s="333"/>
      <c r="H35" s="334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5"/>
    </row>
    <row r="36" spans="2:22" s="1" customFormat="1" ht="19.899999999999999" customHeight="1" x14ac:dyDescent="0.25">
      <c r="B36" s="9">
        <v>13</v>
      </c>
      <c r="C36" s="336" t="s">
        <v>553</v>
      </c>
      <c r="D36" s="336"/>
      <c r="E36" s="337"/>
      <c r="G36" s="21"/>
      <c r="H36" s="22" t="s">
        <v>24</v>
      </c>
      <c r="I36" s="22" t="s">
        <v>233</v>
      </c>
      <c r="J36" s="23"/>
      <c r="L36" s="21"/>
      <c r="M36" s="22" t="s">
        <v>24</v>
      </c>
      <c r="N36" s="22" t="s">
        <v>233</v>
      </c>
      <c r="O36" s="23"/>
      <c r="Q36" s="21"/>
      <c r="R36" s="22" t="s">
        <v>24</v>
      </c>
      <c r="S36" s="22" t="str">
        <f>N36</f>
        <v>1x60s</v>
      </c>
      <c r="T36" s="23"/>
    </row>
    <row r="37" spans="2:22" s="1" customFormat="1" ht="19.899999999999999" customHeight="1" x14ac:dyDescent="0.25">
      <c r="B37" s="3">
        <v>14</v>
      </c>
      <c r="C37" s="343" t="s">
        <v>556</v>
      </c>
      <c r="D37" s="343"/>
      <c r="E37" s="344"/>
      <c r="G37" s="18"/>
      <c r="H37" s="28" t="s">
        <v>24</v>
      </c>
      <c r="I37" s="19" t="s">
        <v>233</v>
      </c>
      <c r="J37" s="20"/>
      <c r="L37" s="18"/>
      <c r="M37" s="19" t="str">
        <f>H37</f>
        <v>8-9</v>
      </c>
      <c r="N37" s="19" t="str">
        <f>I37</f>
        <v>1x60s</v>
      </c>
      <c r="O37" s="20"/>
      <c r="Q37" s="18"/>
      <c r="R37" s="19" t="str">
        <f>M37</f>
        <v>8-9</v>
      </c>
      <c r="S37" s="19" t="str">
        <f>N37</f>
        <v>1x60s</v>
      </c>
      <c r="T37" s="20"/>
    </row>
    <row r="38" spans="2:22" s="1" customFormat="1" ht="19.899999999999999" customHeight="1" x14ac:dyDescent="0.25">
      <c r="B38" s="3">
        <v>15</v>
      </c>
      <c r="C38" s="343" t="s">
        <v>549</v>
      </c>
      <c r="D38" s="343"/>
      <c r="E38" s="344"/>
      <c r="G38" s="27"/>
      <c r="H38" s="28" t="s">
        <v>24</v>
      </c>
      <c r="I38" s="28" t="s">
        <v>233</v>
      </c>
      <c r="J38" s="29"/>
      <c r="L38" s="27"/>
      <c r="M38" s="28" t="s">
        <v>24</v>
      </c>
      <c r="N38" s="28" t="str">
        <f>I38</f>
        <v>1x60s</v>
      </c>
      <c r="O38" s="29"/>
      <c r="Q38" s="27"/>
      <c r="R38" s="28" t="s">
        <v>24</v>
      </c>
      <c r="S38" s="28" t="str">
        <f>N36</f>
        <v>1x60s</v>
      </c>
      <c r="T38" s="29"/>
    </row>
    <row r="39" spans="2:22" s="1" customFormat="1" ht="19.899999999999999" customHeight="1" thickBot="1" x14ac:dyDescent="0.3">
      <c r="B39" s="4">
        <v>16</v>
      </c>
      <c r="C39" s="347" t="s">
        <v>641</v>
      </c>
      <c r="D39" s="347"/>
      <c r="E39" s="348"/>
      <c r="F39" s="67"/>
      <c r="G39" s="24"/>
      <c r="H39" s="25" t="s">
        <v>24</v>
      </c>
      <c r="I39" s="25" t="s">
        <v>316</v>
      </c>
      <c r="J39" s="26"/>
      <c r="K39" s="67"/>
      <c r="L39" s="24"/>
      <c r="M39" s="25" t="s">
        <v>24</v>
      </c>
      <c r="N39" s="25" t="str">
        <f>I39</f>
        <v>1x60s/ea</v>
      </c>
      <c r="O39" s="26"/>
      <c r="P39" s="67"/>
      <c r="Q39" s="24"/>
      <c r="R39" s="25" t="s">
        <v>24</v>
      </c>
      <c r="S39" s="25" t="str">
        <f>I39</f>
        <v>1x60s/ea</v>
      </c>
      <c r="T39" s="26"/>
    </row>
    <row r="40" spans="2:22" x14ac:dyDescent="0.25">
      <c r="V40" s="1" t="s">
        <v>313</v>
      </c>
    </row>
    <row r="41" spans="2:22" x14ac:dyDescent="0.25">
      <c r="V41" s="1" t="s">
        <v>28</v>
      </c>
    </row>
    <row r="42" spans="2:22" x14ac:dyDescent="0.25">
      <c r="V42" s="1" t="s">
        <v>29</v>
      </c>
    </row>
    <row r="43" spans="2:22" x14ac:dyDescent="0.25">
      <c r="V43" s="1" t="s">
        <v>26</v>
      </c>
    </row>
    <row r="44" spans="2:22" x14ac:dyDescent="0.25">
      <c r="V44" s="1" t="s">
        <v>232</v>
      </c>
    </row>
    <row r="45" spans="2:22" x14ac:dyDescent="0.25">
      <c r="V45" s="1" t="s">
        <v>233</v>
      </c>
    </row>
    <row r="46" spans="2:22" x14ac:dyDescent="0.25">
      <c r="V46" s="1" t="s">
        <v>656</v>
      </c>
    </row>
    <row r="47" spans="2:22" x14ac:dyDescent="0.25">
      <c r="V47" s="1" t="s">
        <v>655</v>
      </c>
    </row>
    <row r="48" spans="2:22" x14ac:dyDescent="0.25">
      <c r="V48" s="1" t="s">
        <v>296</v>
      </c>
    </row>
    <row r="49" spans="22:22" x14ac:dyDescent="0.25">
      <c r="V49" s="1" t="s">
        <v>17</v>
      </c>
    </row>
    <row r="50" spans="22:22" x14ac:dyDescent="0.25">
      <c r="V50" s="1" t="s">
        <v>606</v>
      </c>
    </row>
  </sheetData>
  <mergeCells count="42">
    <mergeCell ref="C36:E36"/>
    <mergeCell ref="C37:E37"/>
    <mergeCell ref="C38:E38"/>
    <mergeCell ref="C39:E39"/>
    <mergeCell ref="S13:T13"/>
    <mergeCell ref="O13:R13"/>
    <mergeCell ref="C31:E31"/>
    <mergeCell ref="C32:E32"/>
    <mergeCell ref="C33:E33"/>
    <mergeCell ref="C34:E34"/>
    <mergeCell ref="B35:E35"/>
    <mergeCell ref="G35:T35"/>
    <mergeCell ref="C25:E25"/>
    <mergeCell ref="C26:E26"/>
    <mergeCell ref="C27:E27"/>
    <mergeCell ref="C28:E28"/>
    <mergeCell ref="C29:E29"/>
    <mergeCell ref="C30:E30"/>
    <mergeCell ref="C18:E18"/>
    <mergeCell ref="C19:E19"/>
    <mergeCell ref="C20:E20"/>
    <mergeCell ref="B22:E22"/>
    <mergeCell ref="C23:E23"/>
    <mergeCell ref="C24:E24"/>
    <mergeCell ref="B17:E17"/>
    <mergeCell ref="B13:D13"/>
    <mergeCell ref="E13:G13"/>
    <mergeCell ref="H13:J13"/>
    <mergeCell ref="L13:N13"/>
    <mergeCell ref="B15:E16"/>
    <mergeCell ref="G15:T15"/>
    <mergeCell ref="H16:I16"/>
    <mergeCell ref="M16:N16"/>
    <mergeCell ref="R16:S16"/>
    <mergeCell ref="O2:T7"/>
    <mergeCell ref="M10:N10"/>
    <mergeCell ref="B12:D12"/>
    <mergeCell ref="E12:G12"/>
    <mergeCell ref="H12:J12"/>
    <mergeCell ref="L12:N12"/>
    <mergeCell ref="O12:Q12"/>
    <mergeCell ref="R12:T12"/>
  </mergeCells>
  <dataValidations count="5">
    <dataValidation type="list" allowBlank="1" showInputMessage="1" showErrorMessage="1" sqref="N38:N39 I36:I38 S36 N36 S38" xr:uid="{00000000-0002-0000-0B00-000000000000}">
      <formula1>$V$40:$V$45</formula1>
    </dataValidation>
    <dataValidation type="list" allowBlank="1" showInputMessage="1" showErrorMessage="1" sqref="M23:M34 H23:H34 R23:R34 R38:R39 H36:H39 R36 M36 M38:M39" xr:uid="{00000000-0002-0000-0B00-000001000000}">
      <formula1>$W$22:$W$24</formula1>
    </dataValidation>
    <dataValidation type="list" allowBlank="1" showInputMessage="1" showErrorMessage="1" sqref="I24 N27 S31" xr:uid="{00000000-0002-0000-0B00-000002000000}">
      <formula1>$V$40:$V$50</formula1>
    </dataValidation>
    <dataValidation type="list" allowBlank="1" showInputMessage="1" showErrorMessage="1" sqref="N31" xr:uid="{00000000-0002-0000-0B00-000003000000}">
      <formula1>$V$40:$V$51</formula1>
    </dataValidation>
    <dataValidation type="list" allowBlank="1" showInputMessage="1" showErrorMessage="1" sqref="I31" xr:uid="{00000000-0002-0000-0B00-000004000000}">
      <formula1>$V$40:$V$47</formula1>
    </dataValidation>
  </dataValidations>
  <pageMargins left="0.25" right="0.25" top="0.75" bottom="0.75" header="0.3" footer="0.3"/>
  <pageSetup paperSize="9"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 showInputMessage="1" showErrorMessage="1" xr:uid="{00000000-0002-0000-0B00-000018000000}">
          <x14:formula1>
            <xm:f>'Warm Up'!$M:$M</xm:f>
          </x14:formula1>
          <xm:sqref>S13</xm:sqref>
        </x14:dataValidation>
        <x14:dataValidation type="list" allowBlank="1" showInputMessage="1" showErrorMessage="1" xr:uid="{00000000-0002-0000-0B00-000019000000}">
          <x14:formula1>
            <xm:f>'Warm Up'!$L:$L</xm:f>
          </x14:formula1>
          <xm:sqref>O13</xm:sqref>
        </x14:dataValidation>
        <x14:dataValidation type="list" allowBlank="1" showInputMessage="1" showErrorMessage="1" xr:uid="{00000000-0002-0000-0B00-00001A000000}">
          <x14:formula1>
            <xm:f>'Warm Up'!$K:$K</xm:f>
          </x14:formula1>
          <xm:sqref>L13:N13</xm:sqref>
        </x14:dataValidation>
        <x14:dataValidation type="list" allowBlank="1" showInputMessage="1" showErrorMessage="1" xr:uid="{00000000-0002-0000-0B00-00001B000000}">
          <x14:formula1>
            <xm:f>'Warm Up'!$J:$J</xm:f>
          </x14:formula1>
          <xm:sqref>H13:J13</xm:sqref>
        </x14:dataValidation>
        <x14:dataValidation type="list" allowBlank="1" showInputMessage="1" showErrorMessage="1" xr:uid="{00000000-0002-0000-0B00-00001C000000}">
          <x14:formula1>
            <xm:f>'Warm Up'!$I:$I</xm:f>
          </x14:formula1>
          <xm:sqref>E13:G13</xm:sqref>
        </x14:dataValidation>
        <x14:dataValidation type="list" allowBlank="1" showInputMessage="1" showErrorMessage="1" xr:uid="{00000000-0002-0000-0B00-00001D000000}">
          <x14:formula1>
            <xm:f>'Warm Up'!$H:$H</xm:f>
          </x14:formula1>
          <xm:sqref>B13:D13</xm:sqref>
        </x14:dataValidation>
        <x14:dataValidation type="list" allowBlank="1" showInputMessage="1" showErrorMessage="1" xr:uid="{00000000-0002-0000-0B00-00001E000000}">
          <x14:formula1>
            <xm:f>'Warm Up'!$G:$G</xm:f>
          </x14:formula1>
          <xm:sqref>R12:T12</xm:sqref>
        </x14:dataValidation>
        <x14:dataValidation type="list" allowBlank="1" showInputMessage="1" showErrorMessage="1" xr:uid="{00000000-0002-0000-0B00-00001F000000}">
          <x14:formula1>
            <xm:f>'Warm Up'!$F:$F</xm:f>
          </x14:formula1>
          <xm:sqref>O12:Q12</xm:sqref>
        </x14:dataValidation>
        <x14:dataValidation type="list" allowBlank="1" showInputMessage="1" showErrorMessage="1" xr:uid="{00000000-0002-0000-0B00-000020000000}">
          <x14:formula1>
            <xm:f>'Warm Up'!$E:$E</xm:f>
          </x14:formula1>
          <xm:sqref>L12:N12</xm:sqref>
        </x14:dataValidation>
        <x14:dataValidation type="list" allowBlank="1" showInputMessage="1" showErrorMessage="1" xr:uid="{00000000-0002-0000-0B00-000021000000}">
          <x14:formula1>
            <xm:f>'Warm Up'!$B:$B</xm:f>
          </x14:formula1>
          <xm:sqref>B12</xm:sqref>
        </x14:dataValidation>
        <x14:dataValidation type="list" allowBlank="1" showInputMessage="1" showErrorMessage="1" xr:uid="{00000000-0002-0000-0B00-000022000000}">
          <x14:formula1>
            <xm:f>'Warm Up'!$C:$C</xm:f>
          </x14:formula1>
          <xm:sqref>E12</xm:sqref>
        </x14:dataValidation>
        <x14:dataValidation type="list" allowBlank="1" showInputMessage="1" showErrorMessage="1" xr:uid="{00000000-0002-0000-0B00-000023000000}">
          <x14:formula1>
            <xm:f>'Warm Up'!$D:$D</xm:f>
          </x14:formula1>
          <xm:sqref>H12</xm:sqref>
        </x14:dataValidation>
        <x14:dataValidation type="list" allowBlank="1" showInputMessage="1" showErrorMessage="1" xr:uid="{00000000-0002-0000-0B00-000005000000}">
          <x14:formula1>
            <xm:f>'Oberkörper Progressionen '!$I:$I</xm:f>
          </x14:formula1>
          <xm:sqref>C27:E27</xm:sqref>
        </x14:dataValidation>
        <x14:dataValidation type="list" allowBlank="1" showInputMessage="1" showErrorMessage="1" xr:uid="{00000000-0002-0000-0B00-000006000000}">
          <x14:formula1>
            <xm:f>'Oberkörper Progressionen '!$G:$G</xm:f>
          </x14:formula1>
          <xm:sqref>C25:E25</xm:sqref>
        </x14:dataValidation>
        <x14:dataValidation type="list" allowBlank="1" showInputMessage="1" showErrorMessage="1" xr:uid="{00000000-0002-0000-0B00-000007000000}">
          <x14:formula1>
            <xm:f>'Oberkörper Progressionen '!$M:$M</xm:f>
          </x14:formula1>
          <xm:sqref>C31:E31</xm:sqref>
        </x14:dataValidation>
        <x14:dataValidation type="list" allowBlank="1" showInputMessage="1" showErrorMessage="1" xr:uid="{00000000-0002-0000-0B00-000008000000}">
          <x14:formula1>
            <xm:f>'Oberkörper Progressionen '!$J:$J</xm:f>
          </x14:formula1>
          <xm:sqref>C28:E28</xm:sqref>
        </x14:dataValidation>
        <x14:dataValidation type="list" allowBlank="1" showInputMessage="1" showErrorMessage="1" xr:uid="{00000000-0002-0000-0B00-000009000000}">
          <x14:formula1>
            <xm:f>'Oberkörper Progressionen '!$H:$H</xm:f>
          </x14:formula1>
          <xm:sqref>C26:E26</xm:sqref>
        </x14:dataValidation>
        <x14:dataValidation type="list" allowBlank="1" showInputMessage="1" showErrorMessage="1" xr:uid="{00000000-0002-0000-0B00-00000A000000}">
          <x14:formula1>
            <xm:f>'Oberkörper Progressionen '!$T:$T</xm:f>
          </x14:formula1>
          <xm:sqref>C37:E37</xm:sqref>
        </x14:dataValidation>
        <x14:dataValidation type="list" allowBlank="1" showInputMessage="1" showErrorMessage="1" xr:uid="{00000000-0002-0000-0B00-00000B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0B00-00000C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0B00-00000D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0B00-00000E000000}">
          <x14:formula1>
            <xm:f>'Oberkörper Progressionen '!$K:$K</xm:f>
          </x14:formula1>
          <xm:sqref>C29:E29</xm:sqref>
        </x14:dataValidation>
        <x14:dataValidation type="list" allowBlank="1" showInputMessage="1" showErrorMessage="1" xr:uid="{00000000-0002-0000-0B00-00000F000000}">
          <x14:formula1>
            <xm:f>'Oberkörper Progressionen '!$L:$L</xm:f>
          </x14:formula1>
          <xm:sqref>C30:E30</xm:sqref>
        </x14:dataValidation>
        <x14:dataValidation type="list" allowBlank="1" showInputMessage="1" showErrorMessage="1" xr:uid="{00000000-0002-0000-0B00-000010000000}">
          <x14:formula1>
            <xm:f>'Oberkörper Progressionen '!$N:$N</xm:f>
          </x14:formula1>
          <xm:sqref>C32:E32</xm:sqref>
        </x14:dataValidation>
        <x14:dataValidation type="list" allowBlank="1" showInputMessage="1" showErrorMessage="1" xr:uid="{00000000-0002-0000-0B00-000011000000}">
          <x14:formula1>
            <xm:f>'Oberkörper Progressionen '!$O:$O</xm:f>
          </x14:formula1>
          <xm:sqref>C33:E33</xm:sqref>
        </x14:dataValidation>
        <x14:dataValidation type="list" allowBlank="1" showInputMessage="1" showErrorMessage="1" xr:uid="{00000000-0002-0000-0B00-000012000000}">
          <x14:formula1>
            <xm:f>'Oberkörper Progressionen '!$Q:$Q</xm:f>
          </x14:formula1>
          <xm:sqref>C38:E38</xm:sqref>
        </x14:dataValidation>
        <x14:dataValidation type="list" allowBlank="1" showInputMessage="1" showErrorMessage="1" xr:uid="{00000000-0002-0000-0B00-000013000000}">
          <x14:formula1>
            <xm:f>'Oberkörper Progressionen '!$R:$R</xm:f>
          </x14:formula1>
          <xm:sqref>C36:E36</xm:sqref>
        </x14:dataValidation>
        <x14:dataValidation type="list" allowBlank="1" showInputMessage="1" showErrorMessage="1" xr:uid="{00000000-0002-0000-0B00-000014000000}">
          <x14:formula1>
            <xm:f>'Oberkörper Progressionen '!$S:$S</xm:f>
          </x14:formula1>
          <xm:sqref>C39:E39</xm:sqref>
        </x14:dataValidation>
        <x14:dataValidation type="list" allowBlank="1" showInputMessage="1" showErrorMessage="1" xr:uid="{00000000-0002-0000-0B00-000015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0B00-000016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0B00-000017000000}">
          <x14:formula1>
            <xm:f>'Oberkörper Progressionen '!$P:$P</xm:f>
          </x14:formula1>
          <xm:sqref>C34:E34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X53"/>
  <sheetViews>
    <sheetView zoomScale="90" zoomScaleNormal="90" workbookViewId="0">
      <selection activeCell="A13" sqref="A13:XFD13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60" t="s">
        <v>216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60"/>
      <c r="E6" t="s">
        <v>2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ht="16.5" hidden="1" thickBot="1" x14ac:dyDescent="0.3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">
        <v>160</v>
      </c>
      <c r="C13" s="330"/>
      <c r="D13" s="330"/>
      <c r="E13" s="388" t="s">
        <v>322</v>
      </c>
      <c r="F13" s="389"/>
      <c r="G13" s="330" t="s">
        <v>31</v>
      </c>
      <c r="H13" s="330"/>
      <c r="I13" s="330"/>
      <c r="J13" s="330" t="s">
        <v>37</v>
      </c>
      <c r="K13" s="330"/>
      <c r="L13" s="330"/>
      <c r="M13" s="330"/>
      <c r="N13" s="330" t="s">
        <v>722</v>
      </c>
      <c r="O13" s="330"/>
      <c r="P13" s="330"/>
      <c r="Q13" s="330"/>
      <c r="R13" s="330" t="s">
        <v>373</v>
      </c>
      <c r="S13" s="330"/>
      <c r="T13" s="331"/>
    </row>
    <row r="14" spans="2:23" s="34" customFormat="1" ht="20.100000000000001" customHeight="1" thickBot="1" x14ac:dyDescent="0.3">
      <c r="B14" s="361" t="s">
        <v>172</v>
      </c>
      <c r="C14" s="329"/>
      <c r="D14" s="329"/>
      <c r="E14" s="386" t="s">
        <v>174</v>
      </c>
      <c r="F14" s="387"/>
      <c r="G14" s="329" t="s">
        <v>325</v>
      </c>
      <c r="H14" s="329"/>
      <c r="I14" s="329"/>
      <c r="J14" s="329" t="s">
        <v>154</v>
      </c>
      <c r="K14" s="329"/>
      <c r="L14" s="329"/>
      <c r="M14" s="329"/>
      <c r="N14" s="329" t="s">
        <v>81</v>
      </c>
      <c r="O14" s="329"/>
      <c r="P14" s="329"/>
      <c r="Q14" s="329"/>
      <c r="R14" s="329" t="s">
        <v>783</v>
      </c>
      <c r="S14" s="329"/>
      <c r="T14" s="332"/>
    </row>
    <row r="15" spans="2:23" ht="4.9000000000000004" hidden="1" customHeight="1" thickBot="1" x14ac:dyDescent="0.3">
      <c r="B15" s="8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6"/>
    </row>
    <row r="16" spans="2:23" ht="18" customHeight="1" thickBot="1" x14ac:dyDescent="0.3">
      <c r="B16" s="380" t="s">
        <v>397</v>
      </c>
      <c r="C16" s="381"/>
      <c r="D16" s="381"/>
      <c r="E16" s="382"/>
      <c r="F16" s="1"/>
      <c r="G16" s="338" t="s">
        <v>132</v>
      </c>
      <c r="H16" s="339"/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39"/>
      <c r="T16" s="340"/>
    </row>
    <row r="17" spans="2:24" ht="21.6" customHeight="1" thickBot="1" x14ac:dyDescent="0.3">
      <c r="B17" s="383"/>
      <c r="C17" s="384"/>
      <c r="D17" s="384"/>
      <c r="E17" s="385"/>
      <c r="F17" s="1"/>
      <c r="G17" s="71" t="s">
        <v>162</v>
      </c>
      <c r="H17" s="358" t="s">
        <v>50</v>
      </c>
      <c r="I17" s="359"/>
      <c r="J17" s="72" t="s">
        <v>163</v>
      </c>
      <c r="K17" s="65"/>
      <c r="L17" s="71" t="s">
        <v>164</v>
      </c>
      <c r="M17" s="358" t="s">
        <v>49</v>
      </c>
      <c r="N17" s="359"/>
      <c r="O17" s="72" t="s">
        <v>166</v>
      </c>
      <c r="P17" s="65"/>
      <c r="Q17" s="72" t="s">
        <v>165</v>
      </c>
      <c r="R17" s="358" t="s">
        <v>51</v>
      </c>
      <c r="S17" s="359"/>
      <c r="T17" s="72" t="s">
        <v>167</v>
      </c>
      <c r="W17" s="36"/>
      <c r="X17" s="1"/>
    </row>
    <row r="18" spans="2:24" ht="18" customHeight="1" thickBot="1" x14ac:dyDescent="0.3">
      <c r="B18" s="338" t="s">
        <v>18</v>
      </c>
      <c r="C18" s="339"/>
      <c r="D18" s="339"/>
      <c r="E18" s="340"/>
      <c r="F18" s="73"/>
      <c r="G18" s="15" t="s">
        <v>19</v>
      </c>
      <c r="H18" s="16" t="s">
        <v>20</v>
      </c>
      <c r="I18" s="16" t="s">
        <v>21</v>
      </c>
      <c r="J18" s="17" t="s">
        <v>22</v>
      </c>
      <c r="K18" s="1"/>
      <c r="L18" s="15" t="s">
        <v>19</v>
      </c>
      <c r="M18" s="16" t="s">
        <v>20</v>
      </c>
      <c r="N18" s="16" t="s">
        <v>21</v>
      </c>
      <c r="O18" s="17" t="s">
        <v>22</v>
      </c>
      <c r="P18" s="1"/>
      <c r="Q18" s="41" t="s">
        <v>19</v>
      </c>
      <c r="R18" s="42" t="s">
        <v>20</v>
      </c>
      <c r="S18" s="42" t="s">
        <v>21</v>
      </c>
      <c r="T18" s="43" t="s">
        <v>22</v>
      </c>
      <c r="W18" s="37"/>
      <c r="X18" s="1"/>
    </row>
    <row r="19" spans="2:24" s="1" customFormat="1" ht="19.899999999999999" customHeight="1" x14ac:dyDescent="0.25">
      <c r="B19" s="9">
        <v>1</v>
      </c>
      <c r="C19" s="336" t="s">
        <v>113</v>
      </c>
      <c r="D19" s="336"/>
      <c r="E19" s="337"/>
      <c r="G19" s="18" t="s">
        <v>23</v>
      </c>
      <c r="H19" s="19"/>
      <c r="I19" s="19" t="s">
        <v>25</v>
      </c>
      <c r="J19" s="20" t="s">
        <v>27</v>
      </c>
      <c r="L19" s="18" t="s">
        <v>23</v>
      </c>
      <c r="M19" s="19"/>
      <c r="N19" s="19" t="s">
        <v>25</v>
      </c>
      <c r="O19" s="20" t="s">
        <v>27</v>
      </c>
      <c r="Q19" s="44" t="s">
        <v>23</v>
      </c>
      <c r="R19" s="45"/>
      <c r="S19" s="45" t="s">
        <v>25</v>
      </c>
      <c r="T19" s="46" t="s">
        <v>27</v>
      </c>
      <c r="W19" s="36"/>
    </row>
    <row r="20" spans="2:24" s="1" customFormat="1" ht="19.899999999999999" customHeight="1" x14ac:dyDescent="0.25">
      <c r="B20" s="3">
        <v>2</v>
      </c>
      <c r="C20" s="343" t="s">
        <v>122</v>
      </c>
      <c r="D20" s="343"/>
      <c r="E20" s="344"/>
      <c r="G20" s="68" t="s">
        <v>23</v>
      </c>
      <c r="H20" s="69"/>
      <c r="I20" s="69" t="s">
        <v>25</v>
      </c>
      <c r="J20" s="70" t="s">
        <v>759</v>
      </c>
      <c r="L20" s="68" t="s">
        <v>23</v>
      </c>
      <c r="M20" s="69"/>
      <c r="N20" s="69" t="s">
        <v>25</v>
      </c>
      <c r="O20" s="70" t="str">
        <f>J20</f>
        <v>2kg</v>
      </c>
      <c r="Q20" s="68" t="s">
        <v>23</v>
      </c>
      <c r="R20" s="69"/>
      <c r="S20" s="69" t="s">
        <v>25</v>
      </c>
      <c r="T20" s="70" t="str">
        <f>J20</f>
        <v>2kg</v>
      </c>
      <c r="W20" s="36"/>
    </row>
    <row r="21" spans="2:24" s="1" customFormat="1" ht="19.899999999999999" customHeight="1" thickBot="1" x14ac:dyDescent="0.3">
      <c r="B21" s="4">
        <v>3</v>
      </c>
      <c r="C21" s="341" t="s">
        <v>123</v>
      </c>
      <c r="D21" s="341"/>
      <c r="E21" s="342"/>
      <c r="G21" s="24" t="s">
        <v>23</v>
      </c>
      <c r="H21" s="25"/>
      <c r="I21" s="25" t="s">
        <v>25</v>
      </c>
      <c r="J21" s="26" t="s">
        <v>759</v>
      </c>
      <c r="L21" s="24" t="s">
        <v>23</v>
      </c>
      <c r="M21" s="25"/>
      <c r="N21" s="25" t="s">
        <v>25</v>
      </c>
      <c r="O21" s="26" t="str">
        <f>J21</f>
        <v>2kg</v>
      </c>
      <c r="Q21" s="47" t="s">
        <v>23</v>
      </c>
      <c r="R21" s="48"/>
      <c r="S21" s="48" t="s">
        <v>25</v>
      </c>
      <c r="T21" s="49" t="str">
        <f>J21</f>
        <v>2kg</v>
      </c>
    </row>
    <row r="22" spans="2:24" s="2" customFormat="1" ht="4.9000000000000004" customHeight="1" thickBot="1" x14ac:dyDescent="0.3">
      <c r="B22" s="74"/>
      <c r="Q22" s="50"/>
      <c r="R22" s="50"/>
      <c r="S22" s="50"/>
      <c r="T22" s="75"/>
      <c r="X22" s="1"/>
    </row>
    <row r="23" spans="2:24" s="1" customFormat="1" ht="18" customHeight="1" thickBot="1" x14ac:dyDescent="0.3">
      <c r="B23" s="338" t="s">
        <v>379</v>
      </c>
      <c r="C23" s="339"/>
      <c r="D23" s="339"/>
      <c r="E23" s="340"/>
      <c r="G23" s="129" t="s">
        <v>22</v>
      </c>
      <c r="H23" s="130" t="s">
        <v>20</v>
      </c>
      <c r="I23" s="130" t="s">
        <v>21</v>
      </c>
      <c r="J23" s="131" t="s">
        <v>22</v>
      </c>
      <c r="L23" s="129" t="str">
        <f>G23</f>
        <v>WEIGHT</v>
      </c>
      <c r="M23" s="130" t="s">
        <v>20</v>
      </c>
      <c r="N23" s="130" t="s">
        <v>21</v>
      </c>
      <c r="O23" s="131" t="s">
        <v>22</v>
      </c>
      <c r="Q23" s="132" t="str">
        <f>L23</f>
        <v>WEIGHT</v>
      </c>
      <c r="R23" s="133" t="s">
        <v>20</v>
      </c>
      <c r="S23" s="133" t="s">
        <v>21</v>
      </c>
      <c r="T23" s="134" t="s">
        <v>22</v>
      </c>
    </row>
    <row r="24" spans="2:24" s="1" customFormat="1" ht="19.899999999999999" customHeight="1" x14ac:dyDescent="0.25">
      <c r="B24" s="9">
        <v>1</v>
      </c>
      <c r="C24" s="336" t="s">
        <v>396</v>
      </c>
      <c r="D24" s="336"/>
      <c r="E24" s="337"/>
      <c r="G24" s="21"/>
      <c r="H24" s="30" t="s">
        <v>24</v>
      </c>
      <c r="I24" s="22" t="s">
        <v>17</v>
      </c>
      <c r="J24" s="23"/>
      <c r="L24" s="21"/>
      <c r="M24" s="30" t="s">
        <v>24</v>
      </c>
      <c r="N24" s="22" t="str">
        <f>I24</f>
        <v>1x20</v>
      </c>
      <c r="O24" s="23"/>
      <c r="Q24" s="51"/>
      <c r="R24" s="52" t="s">
        <v>24</v>
      </c>
      <c r="S24" s="22" t="str">
        <f>N24</f>
        <v>1x20</v>
      </c>
      <c r="T24" s="54"/>
    </row>
    <row r="25" spans="2:24" s="1" customFormat="1" ht="19.899999999999999" customHeight="1" x14ac:dyDescent="0.25">
      <c r="B25" s="3">
        <v>2</v>
      </c>
      <c r="C25" s="343" t="s">
        <v>289</v>
      </c>
      <c r="D25" s="343"/>
      <c r="E25" s="344"/>
      <c r="G25" s="27"/>
      <c r="H25" s="31" t="s">
        <v>24</v>
      </c>
      <c r="I25" s="28" t="s">
        <v>17</v>
      </c>
      <c r="J25" s="29"/>
      <c r="L25" s="27"/>
      <c r="M25" s="31" t="s">
        <v>24</v>
      </c>
      <c r="N25" s="28" t="str">
        <f>I25</f>
        <v>1x20</v>
      </c>
      <c r="O25" s="29"/>
      <c r="Q25" s="55"/>
      <c r="R25" s="56" t="s">
        <v>24</v>
      </c>
      <c r="S25" s="28" t="str">
        <f>N25</f>
        <v>1x20</v>
      </c>
      <c r="T25" s="58"/>
    </row>
    <row r="26" spans="2:24" s="1" customFormat="1" ht="19.899999999999999" customHeight="1" thickBot="1" x14ac:dyDescent="0.3">
      <c r="B26" s="4">
        <v>3</v>
      </c>
      <c r="C26" s="341" t="s">
        <v>63</v>
      </c>
      <c r="D26" s="341"/>
      <c r="E26" s="342"/>
      <c r="G26" s="24"/>
      <c r="H26" s="32" t="s">
        <v>24</v>
      </c>
      <c r="I26" s="25" t="s">
        <v>17</v>
      </c>
      <c r="J26" s="26"/>
      <c r="L26" s="24"/>
      <c r="M26" s="32" t="s">
        <v>24</v>
      </c>
      <c r="N26" s="25" t="str">
        <f>I26</f>
        <v>1x20</v>
      </c>
      <c r="O26" s="26"/>
      <c r="Q26" s="47"/>
      <c r="R26" s="59" t="s">
        <v>24</v>
      </c>
      <c r="S26" s="25" t="str">
        <f>N26</f>
        <v>1x20</v>
      </c>
      <c r="T26" s="49"/>
    </row>
    <row r="27" spans="2:24" s="2" customFormat="1" ht="4.9000000000000004" customHeight="1" thickBot="1" x14ac:dyDescent="0.3">
      <c r="B27" s="74"/>
      <c r="Q27" s="50"/>
      <c r="R27" s="50"/>
      <c r="S27" s="50"/>
      <c r="T27" s="75"/>
    </row>
    <row r="28" spans="2:24" s="1" customFormat="1" ht="19.899999999999999" customHeight="1" x14ac:dyDescent="0.25">
      <c r="B28" s="9">
        <v>4</v>
      </c>
      <c r="C28" s="336" t="s">
        <v>418</v>
      </c>
      <c r="D28" s="336"/>
      <c r="E28" s="337"/>
      <c r="G28" s="21"/>
      <c r="H28" s="30" t="s">
        <v>24</v>
      </c>
      <c r="I28" s="22" t="s">
        <v>17</v>
      </c>
      <c r="J28" s="23"/>
      <c r="L28" s="21"/>
      <c r="M28" s="30" t="s">
        <v>24</v>
      </c>
      <c r="N28" s="22" t="str">
        <f>I28</f>
        <v>1x20</v>
      </c>
      <c r="O28" s="23"/>
      <c r="Q28" s="51"/>
      <c r="R28" s="52" t="s">
        <v>24</v>
      </c>
      <c r="S28" s="22" t="str">
        <f>N28</f>
        <v>1x20</v>
      </c>
      <c r="T28" s="54"/>
    </row>
    <row r="29" spans="2:24" s="1" customFormat="1" ht="19.899999999999999" customHeight="1" x14ac:dyDescent="0.25">
      <c r="B29" s="3">
        <v>5</v>
      </c>
      <c r="C29" s="343" t="s">
        <v>425</v>
      </c>
      <c r="D29" s="343"/>
      <c r="E29" s="344"/>
      <c r="G29" s="27"/>
      <c r="H29" s="31" t="s">
        <v>24</v>
      </c>
      <c r="I29" s="28" t="s">
        <v>17</v>
      </c>
      <c r="J29" s="29"/>
      <c r="L29" s="27"/>
      <c r="M29" s="31" t="s">
        <v>24</v>
      </c>
      <c r="N29" s="28" t="str">
        <f>I29</f>
        <v>1x20</v>
      </c>
      <c r="O29" s="29"/>
      <c r="Q29" s="55"/>
      <c r="R29" s="56" t="s">
        <v>24</v>
      </c>
      <c r="S29" s="28" t="str">
        <f>N29</f>
        <v>1x20</v>
      </c>
      <c r="T29" s="58"/>
    </row>
    <row r="30" spans="2:24" s="1" customFormat="1" ht="19.899999999999999" customHeight="1" thickBot="1" x14ac:dyDescent="0.3">
      <c r="B30" s="4">
        <v>6</v>
      </c>
      <c r="C30" s="341" t="s">
        <v>433</v>
      </c>
      <c r="D30" s="341"/>
      <c r="E30" s="342"/>
      <c r="G30" s="24"/>
      <c r="H30" s="32" t="s">
        <v>24</v>
      </c>
      <c r="I30" s="25" t="s">
        <v>749</v>
      </c>
      <c r="J30" s="26"/>
      <c r="L30" s="24"/>
      <c r="M30" s="32" t="s">
        <v>24</v>
      </c>
      <c r="N30" s="25" t="str">
        <f>I30</f>
        <v>3x10s ea</v>
      </c>
      <c r="O30" s="26"/>
      <c r="Q30" s="47"/>
      <c r="R30" s="59" t="s">
        <v>24</v>
      </c>
      <c r="S30" s="25" t="str">
        <f>N30</f>
        <v>3x10s ea</v>
      </c>
      <c r="T30" s="49"/>
    </row>
    <row r="31" spans="2:24" s="1" customFormat="1" ht="5.0999999999999996" customHeight="1" thickBot="1" x14ac:dyDescent="0.3">
      <c r="B31" s="4"/>
      <c r="C31" s="67"/>
      <c r="D31" s="67"/>
      <c r="E31" s="118"/>
      <c r="G31" s="4"/>
      <c r="H31" s="122"/>
      <c r="I31" s="67"/>
      <c r="J31" s="67"/>
      <c r="L31" s="67"/>
      <c r="M31" s="122"/>
      <c r="N31" s="67"/>
      <c r="O31" s="67"/>
      <c r="Q31" s="120"/>
      <c r="R31" s="123"/>
      <c r="S31" s="67"/>
      <c r="T31" s="121"/>
    </row>
    <row r="32" spans="2:24" s="2" customFormat="1" ht="18" customHeight="1" thickBot="1" x14ac:dyDescent="0.3">
      <c r="B32" s="338" t="s">
        <v>741</v>
      </c>
      <c r="C32" s="339"/>
      <c r="D32" s="339"/>
      <c r="E32" s="340"/>
      <c r="F32" s="119"/>
      <c r="G32" s="124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6"/>
    </row>
    <row r="33" spans="2:22" s="1" customFormat="1" ht="19.899999999999999" customHeight="1" x14ac:dyDescent="0.25">
      <c r="B33" s="9">
        <v>7</v>
      </c>
      <c r="C33" s="336" t="s">
        <v>502</v>
      </c>
      <c r="D33" s="336"/>
      <c r="E33" s="337"/>
      <c r="G33" s="21"/>
      <c r="H33" s="30" t="s">
        <v>24</v>
      </c>
      <c r="I33" s="22" t="s">
        <v>17</v>
      </c>
      <c r="J33" s="23"/>
      <c r="L33" s="21"/>
      <c r="M33" s="30" t="s">
        <v>24</v>
      </c>
      <c r="N33" s="22" t="str">
        <f>I33</f>
        <v>1x20</v>
      </c>
      <c r="O33" s="23"/>
      <c r="Q33" s="51"/>
      <c r="R33" s="52" t="s">
        <v>24</v>
      </c>
      <c r="S33" s="22" t="str">
        <f>I33</f>
        <v>1x20</v>
      </c>
      <c r="T33" s="54"/>
    </row>
    <row r="34" spans="2:22" s="1" customFormat="1" ht="19.899999999999999" customHeight="1" x14ac:dyDescent="0.25">
      <c r="B34" s="3">
        <v>8</v>
      </c>
      <c r="C34" s="343" t="s">
        <v>43</v>
      </c>
      <c r="D34" s="343"/>
      <c r="E34" s="344"/>
      <c r="G34" s="27"/>
      <c r="H34" s="31" t="s">
        <v>24</v>
      </c>
      <c r="I34" s="28" t="s">
        <v>749</v>
      </c>
      <c r="J34" s="29"/>
      <c r="L34" s="27"/>
      <c r="M34" s="31" t="s">
        <v>24</v>
      </c>
      <c r="N34" s="28" t="str">
        <f>I34</f>
        <v>3x10s ea</v>
      </c>
      <c r="O34" s="29"/>
      <c r="Q34" s="55"/>
      <c r="R34" s="56" t="s">
        <v>24</v>
      </c>
      <c r="S34" s="28" t="str">
        <f>N34</f>
        <v>3x10s ea</v>
      </c>
      <c r="T34" s="58"/>
    </row>
    <row r="35" spans="2:22" s="1" customFormat="1" ht="19.899999999999999" customHeight="1" thickBot="1" x14ac:dyDescent="0.3">
      <c r="B35" s="4">
        <v>9</v>
      </c>
      <c r="C35" s="341" t="s">
        <v>198</v>
      </c>
      <c r="D35" s="341"/>
      <c r="E35" s="342"/>
      <c r="G35" s="24"/>
      <c r="H35" s="32" t="s">
        <v>24</v>
      </c>
      <c r="I35" s="25" t="s">
        <v>17</v>
      </c>
      <c r="J35" s="26"/>
      <c r="L35" s="24"/>
      <c r="M35" s="32" t="s">
        <v>24</v>
      </c>
      <c r="N35" s="25" t="str">
        <f>I35</f>
        <v>1x20</v>
      </c>
      <c r="O35" s="26"/>
      <c r="Q35" s="47"/>
      <c r="R35" s="59" t="s">
        <v>24</v>
      </c>
      <c r="S35" s="25" t="str">
        <f>N35</f>
        <v>1x20</v>
      </c>
      <c r="T35" s="49"/>
    </row>
    <row r="36" spans="2:22" s="2" customFormat="1" ht="4.9000000000000004" customHeight="1" thickBot="1" x14ac:dyDescent="0.3">
      <c r="B36" s="74"/>
      <c r="Q36" s="50"/>
      <c r="R36" s="50"/>
      <c r="S36" s="50"/>
      <c r="T36" s="75"/>
    </row>
    <row r="37" spans="2:22" s="1" customFormat="1" ht="19.899999999999999" customHeight="1" x14ac:dyDescent="0.25">
      <c r="B37" s="9">
        <v>10</v>
      </c>
      <c r="C37" s="336" t="s">
        <v>445</v>
      </c>
      <c r="D37" s="336"/>
      <c r="E37" s="337"/>
      <c r="G37" s="21"/>
      <c r="H37" s="30" t="s">
        <v>24</v>
      </c>
      <c r="I37" s="22" t="s">
        <v>17</v>
      </c>
      <c r="J37" s="23"/>
      <c r="L37" s="21"/>
      <c r="M37" s="30" t="s">
        <v>24</v>
      </c>
      <c r="N37" s="22" t="str">
        <f>I37</f>
        <v>1x20</v>
      </c>
      <c r="O37" s="23"/>
      <c r="Q37" s="51"/>
      <c r="R37" s="52" t="s">
        <v>24</v>
      </c>
      <c r="S37" s="22" t="str">
        <f>N37</f>
        <v>1x20</v>
      </c>
      <c r="T37" s="54"/>
    </row>
    <row r="38" spans="2:22" s="1" customFormat="1" ht="19.899999999999999" customHeight="1" x14ac:dyDescent="0.25">
      <c r="B38" s="3">
        <v>11</v>
      </c>
      <c r="C38" s="343" t="s">
        <v>806</v>
      </c>
      <c r="D38" s="343"/>
      <c r="E38" s="344"/>
      <c r="G38" s="27"/>
      <c r="H38" s="31" t="s">
        <v>24</v>
      </c>
      <c r="I38" s="28" t="s">
        <v>749</v>
      </c>
      <c r="J38" s="29"/>
      <c r="L38" s="27"/>
      <c r="M38" s="31" t="s">
        <v>24</v>
      </c>
      <c r="N38" s="28" t="str">
        <f>I38</f>
        <v>3x10s ea</v>
      </c>
      <c r="O38" s="29"/>
      <c r="Q38" s="55"/>
      <c r="R38" s="56" t="s">
        <v>24</v>
      </c>
      <c r="S38" s="28" t="str">
        <f>N38</f>
        <v>3x10s ea</v>
      </c>
      <c r="T38" s="58"/>
    </row>
    <row r="39" spans="2:22" s="1" customFormat="1" ht="19.899999999999999" customHeight="1" thickBot="1" x14ac:dyDescent="0.3">
      <c r="B39" s="4">
        <v>12</v>
      </c>
      <c r="C39" s="341" t="s">
        <v>663</v>
      </c>
      <c r="D39" s="341"/>
      <c r="E39" s="342"/>
      <c r="G39" s="24"/>
      <c r="H39" s="32" t="s">
        <v>24</v>
      </c>
      <c r="I39" s="25" t="s">
        <v>17</v>
      </c>
      <c r="J39" s="26"/>
      <c r="L39" s="24"/>
      <c r="M39" s="32" t="s">
        <v>24</v>
      </c>
      <c r="N39" s="25" t="str">
        <f>I39</f>
        <v>1x20</v>
      </c>
      <c r="O39" s="26"/>
      <c r="Q39" s="47"/>
      <c r="R39" s="59" t="s">
        <v>24</v>
      </c>
      <c r="S39" s="25" t="str">
        <f>N39</f>
        <v>1x20</v>
      </c>
      <c r="T39" s="49"/>
    </row>
    <row r="40" spans="2:22" s="1" customFormat="1" ht="5.0999999999999996" customHeight="1" thickBot="1" x14ac:dyDescent="0.3">
      <c r="B40" s="4"/>
      <c r="C40" s="67"/>
      <c r="D40" s="67"/>
      <c r="E40" s="118"/>
      <c r="G40" s="4"/>
      <c r="H40" s="122"/>
      <c r="I40" s="67"/>
      <c r="J40" s="67"/>
      <c r="L40" s="67"/>
      <c r="M40" s="122"/>
      <c r="N40" s="67"/>
      <c r="O40" s="67"/>
      <c r="Q40" s="120"/>
      <c r="R40" s="123"/>
      <c r="S40" s="67"/>
      <c r="T40" s="121"/>
    </row>
    <row r="41" spans="2:22" s="2" customFormat="1" ht="18" customHeight="1" thickBot="1" x14ac:dyDescent="0.3">
      <c r="B41" s="338" t="s">
        <v>383</v>
      </c>
      <c r="C41" s="339"/>
      <c r="D41" s="339"/>
      <c r="E41" s="340"/>
      <c r="G41" s="333"/>
      <c r="H41" s="334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5"/>
    </row>
    <row r="42" spans="2:22" s="1" customFormat="1" ht="19.899999999999999" customHeight="1" x14ac:dyDescent="0.25">
      <c r="B42" s="9">
        <v>13</v>
      </c>
      <c r="C42" s="336" t="s">
        <v>205</v>
      </c>
      <c r="D42" s="336"/>
      <c r="E42" s="337"/>
      <c r="G42" s="21"/>
      <c r="H42" s="30" t="s">
        <v>24</v>
      </c>
      <c r="I42" s="22" t="s">
        <v>26</v>
      </c>
      <c r="J42" s="23"/>
      <c r="L42" s="21"/>
      <c r="M42" s="30" t="s">
        <v>24</v>
      </c>
      <c r="N42" s="22" t="str">
        <f>I42</f>
        <v>1x30s</v>
      </c>
      <c r="O42" s="23"/>
      <c r="Q42" s="51"/>
      <c r="R42" s="52" t="s">
        <v>24</v>
      </c>
      <c r="S42" s="53" t="str">
        <f>N42</f>
        <v>1x30s</v>
      </c>
      <c r="T42" s="54"/>
    </row>
    <row r="43" spans="2:22" s="1" customFormat="1" ht="19.899999999999999" customHeight="1" x14ac:dyDescent="0.25">
      <c r="B43" s="3">
        <v>14</v>
      </c>
      <c r="C43" s="345" t="s">
        <v>47</v>
      </c>
      <c r="D43" s="345"/>
      <c r="E43" s="346"/>
      <c r="G43" s="27"/>
      <c r="H43" s="31" t="s">
        <v>24</v>
      </c>
      <c r="I43" s="28" t="s">
        <v>26</v>
      </c>
      <c r="J43" s="29"/>
      <c r="L43" s="27"/>
      <c r="M43" s="31" t="s">
        <v>24</v>
      </c>
      <c r="N43" s="28" t="str">
        <f>I43</f>
        <v>1x30s</v>
      </c>
      <c r="O43" s="29"/>
      <c r="Q43" s="55"/>
      <c r="R43" s="56" t="s">
        <v>24</v>
      </c>
      <c r="S43" s="57" t="str">
        <f>N43</f>
        <v>1x30s</v>
      </c>
      <c r="T43" s="58"/>
    </row>
    <row r="44" spans="2:22" s="1" customFormat="1" ht="19.899999999999999" customHeight="1" thickBot="1" x14ac:dyDescent="0.3">
      <c r="B44" s="4">
        <v>15</v>
      </c>
      <c r="C44" s="347" t="s">
        <v>365</v>
      </c>
      <c r="D44" s="347"/>
      <c r="E44" s="348"/>
      <c r="F44" s="67"/>
      <c r="G44" s="24"/>
      <c r="H44" s="32" t="s">
        <v>24</v>
      </c>
      <c r="I44" s="25" t="s">
        <v>26</v>
      </c>
      <c r="J44" s="26"/>
      <c r="K44" s="67"/>
      <c r="L44" s="24"/>
      <c r="M44" s="32" t="s">
        <v>24</v>
      </c>
      <c r="N44" s="25" t="str">
        <f>I44</f>
        <v>1x30s</v>
      </c>
      <c r="O44" s="26"/>
      <c r="P44" s="67"/>
      <c r="Q44" s="47"/>
      <c r="R44" s="59" t="s">
        <v>24</v>
      </c>
      <c r="S44" s="48" t="str">
        <f>N44</f>
        <v>1x30s</v>
      </c>
      <c r="T44" s="49"/>
    </row>
    <row r="45" spans="2:22" s="2" customFormat="1" ht="4.9000000000000004" customHeight="1" x14ac:dyDescent="0.25">
      <c r="Q45" s="50"/>
      <c r="R45" s="50"/>
      <c r="S45" s="50"/>
      <c r="T45" s="50"/>
    </row>
    <row r="46" spans="2:22" x14ac:dyDescent="0.25">
      <c r="V46" s="1"/>
    </row>
    <row r="47" spans="2:22" x14ac:dyDescent="0.25">
      <c r="V47" s="1"/>
    </row>
    <row r="48" spans="2:22" x14ac:dyDescent="0.25">
      <c r="V48" s="1"/>
    </row>
    <row r="49" spans="22:22" x14ac:dyDescent="0.25">
      <c r="V49" s="1"/>
    </row>
    <row r="50" spans="22:22" x14ac:dyDescent="0.25">
      <c r="V50" s="1"/>
    </row>
    <row r="51" spans="22:22" x14ac:dyDescent="0.25">
      <c r="V51" s="1"/>
    </row>
    <row r="52" spans="22:22" x14ac:dyDescent="0.25">
      <c r="V52" s="1"/>
    </row>
    <row r="53" spans="22:22" x14ac:dyDescent="0.25">
      <c r="V53" s="1"/>
    </row>
  </sheetData>
  <mergeCells count="44">
    <mergeCell ref="O2:T7"/>
    <mergeCell ref="E10:G10"/>
    <mergeCell ref="I10:L10"/>
    <mergeCell ref="B12:T12"/>
    <mergeCell ref="B13:D13"/>
    <mergeCell ref="G13:I13"/>
    <mergeCell ref="J13:M13"/>
    <mergeCell ref="N13:Q13"/>
    <mergeCell ref="R13:T13"/>
    <mergeCell ref="E13:F13"/>
    <mergeCell ref="R14:T14"/>
    <mergeCell ref="B16:E17"/>
    <mergeCell ref="G16:T16"/>
    <mergeCell ref="H17:I17"/>
    <mergeCell ref="M17:N17"/>
    <mergeCell ref="R17:S17"/>
    <mergeCell ref="E14:F14"/>
    <mergeCell ref="C24:E24"/>
    <mergeCell ref="B14:D14"/>
    <mergeCell ref="G14:I14"/>
    <mergeCell ref="J14:M14"/>
    <mergeCell ref="N14:Q14"/>
    <mergeCell ref="B18:E18"/>
    <mergeCell ref="C19:E19"/>
    <mergeCell ref="C20:E20"/>
    <mergeCell ref="C21:E21"/>
    <mergeCell ref="B23:E23"/>
    <mergeCell ref="C39:E39"/>
    <mergeCell ref="C25:E25"/>
    <mergeCell ref="C26:E26"/>
    <mergeCell ref="C28:E28"/>
    <mergeCell ref="C29:E29"/>
    <mergeCell ref="C30:E30"/>
    <mergeCell ref="B32:E32"/>
    <mergeCell ref="C33:E33"/>
    <mergeCell ref="C34:E34"/>
    <mergeCell ref="C35:E35"/>
    <mergeCell ref="C37:E37"/>
    <mergeCell ref="C38:E38"/>
    <mergeCell ref="B41:E41"/>
    <mergeCell ref="G41:T41"/>
    <mergeCell ref="C42:E42"/>
    <mergeCell ref="C43:E43"/>
    <mergeCell ref="C44:E44"/>
  </mergeCell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1" showErrorMessage="1" xr:uid="{00000000-0002-0000-0C00-000000000000}">
          <x14:formula1>
            <xm:f>'Warm Up'!$L:$L</xm:f>
          </x14:formula1>
          <xm:sqref>N14</xm:sqref>
        </x14:dataValidation>
        <x14:dataValidation type="list" allowBlank="1" showInputMessage="1" showErrorMessage="1" xr:uid="{00000000-0002-0000-0C00-000001000000}">
          <x14:formula1>
            <xm:f>'Warm Up'!$F:$F</xm:f>
          </x14:formula1>
          <xm:sqref>N13</xm:sqref>
        </x14:dataValidation>
        <x14:dataValidation type="list" allowBlank="1" showInputMessage="1" showErrorMessage="1" xr:uid="{00000000-0002-0000-0C00-000002000000}">
          <x14:formula1>
            <xm:f>'Warm Up'!$K:$K</xm:f>
          </x14:formula1>
          <xm:sqref>J14</xm:sqref>
        </x14:dataValidation>
        <x14:dataValidation type="list" allowBlank="1" showInputMessage="1" showErrorMessage="1" xr:uid="{00000000-0002-0000-0C00-000003000000}">
          <x14:formula1>
            <xm:f>'Warm Up'!$E:$E</xm:f>
          </x14:formula1>
          <xm:sqref>J13</xm:sqref>
        </x14:dataValidation>
        <x14:dataValidation type="list" allowBlank="1" showInputMessage="1" showErrorMessage="1" xr:uid="{00000000-0002-0000-0C00-000004000000}">
          <x14:formula1>
            <xm:f>'Warm Up'!$J:$J</xm:f>
          </x14:formula1>
          <xm:sqref>G14</xm:sqref>
        </x14:dataValidation>
        <x14:dataValidation type="list" allowBlank="1" showInputMessage="1" showErrorMessage="1" xr:uid="{00000000-0002-0000-0C00-000005000000}">
          <x14:formula1>
            <xm:f>'Warm Up'!$D:$D</xm:f>
          </x14:formula1>
          <xm:sqref>G13</xm:sqref>
        </x14:dataValidation>
        <x14:dataValidation type="list" allowBlank="1" showInputMessage="1" showErrorMessage="1" xr:uid="{00000000-0002-0000-0C00-000006000000}">
          <x14:formula1>
            <xm:f>'Warm Up'!$M:$M</xm:f>
          </x14:formula1>
          <xm:sqref>R14:T14</xm:sqref>
        </x14:dataValidation>
        <x14:dataValidation type="list" allowBlank="1" showInputMessage="1" showErrorMessage="1" xr:uid="{00000000-0002-0000-0C00-000007000000}">
          <x14:formula1>
            <xm:f>'Warm Up'!$I:$I</xm:f>
          </x14:formula1>
          <xm:sqref>E14</xm:sqref>
        </x14:dataValidation>
        <x14:dataValidation type="list" allowBlank="1" showInputMessage="1" showErrorMessage="1" xr:uid="{00000000-0002-0000-0C00-000008000000}">
          <x14:formula1>
            <xm:f>'Warm Up'!$H:$H</xm:f>
          </x14:formula1>
          <xm:sqref>B14:D14</xm:sqref>
        </x14:dataValidation>
        <x14:dataValidation type="list" allowBlank="1" showInputMessage="1" showErrorMessage="1" xr:uid="{00000000-0002-0000-0C00-000009000000}">
          <x14:formula1>
            <xm:f>'Warm Up'!$G:$G</xm:f>
          </x14:formula1>
          <xm:sqref>R13:T13</xm:sqref>
        </x14:dataValidation>
        <x14:dataValidation type="list" allowBlank="1" showInputMessage="1" showErrorMessage="1" xr:uid="{00000000-0002-0000-0C00-00000A000000}">
          <x14:formula1>
            <xm:f>'Warm Up'!$C:$C</xm:f>
          </x14:formula1>
          <xm:sqref>E13</xm:sqref>
        </x14:dataValidation>
        <x14:dataValidation type="list" allowBlank="1" showInputMessage="1" showErrorMessage="1" xr:uid="{00000000-0002-0000-0C00-00000B000000}">
          <x14:formula1>
            <xm:f>'Warm Up'!$B:$B</xm:f>
          </x14:formula1>
          <xm:sqref>B13:D13</xm:sqref>
        </x14:dataValidation>
        <x14:dataValidation type="list" allowBlank="1" showInputMessage="1" showErrorMessage="1" xr:uid="{00000000-0002-0000-0C00-00000C000000}">
          <x14:formula1>
            <xm:f>'Warm Up'!$A:$A</xm:f>
          </x14:formula1>
          <xm:sqref>B16:E17</xm:sqref>
        </x14:dataValidation>
        <x14:dataValidation type="list" allowBlank="1" showInputMessage="1" showErrorMessage="1" xr:uid="{00000000-0002-0000-0C00-00000D000000}">
          <x14:formula1>
            <xm:f>' Unterkörper Progressionen '!$W:$W</xm:f>
          </x14:formula1>
          <xm:sqref>C44:E44</xm:sqref>
        </x14:dataValidation>
        <x14:dataValidation type="list" allowBlank="1" showInputMessage="1" showErrorMessage="1" xr:uid="{00000000-0002-0000-0C00-00000E000000}">
          <x14:formula1>
            <xm:f>' Unterkörper Progressionen '!$V:$V</xm:f>
          </x14:formula1>
          <xm:sqref>C43:E43</xm:sqref>
        </x14:dataValidation>
        <x14:dataValidation type="list" allowBlank="1" showInputMessage="1" showErrorMessage="1" xr:uid="{00000000-0002-0000-0C00-00000F000000}">
          <x14:formula1>
            <xm:f>' Unterkörper Progressionen '!$U:$U</xm:f>
          </x14:formula1>
          <xm:sqref>C42:E42</xm:sqref>
        </x14:dataValidation>
        <x14:dataValidation type="list" allowBlank="1" showInputMessage="1" showErrorMessage="1" xr:uid="{00000000-0002-0000-0C00-000010000000}">
          <x14:formula1>
            <xm:f>' Unterkörper Progressionen '!$S:$S</xm:f>
          </x14:formula1>
          <xm:sqref>C39:E39</xm:sqref>
        </x14:dataValidation>
        <x14:dataValidation type="list" allowBlank="1" showInputMessage="1" showErrorMessage="1" xr:uid="{00000000-0002-0000-0C00-000011000000}">
          <x14:formula1>
            <xm:f>' Unterkörper Progressionen '!$R:$R</xm:f>
          </x14:formula1>
          <xm:sqref>C38:E38</xm:sqref>
        </x14:dataValidation>
        <x14:dataValidation type="list" allowBlank="1" showInputMessage="1" showErrorMessage="1" xr:uid="{00000000-0002-0000-0C00-000012000000}">
          <x14:formula1>
            <xm:f>' Unterkörper Progressionen '!$Q:$Q</xm:f>
          </x14:formula1>
          <xm:sqref>C37:E37</xm:sqref>
        </x14:dataValidation>
        <x14:dataValidation type="list" allowBlank="1" showInputMessage="1" showErrorMessage="1" xr:uid="{00000000-0002-0000-0C00-000013000000}">
          <x14:formula1>
            <xm:f>' Unterkörper Progressionen '!$P:$P</xm:f>
          </x14:formula1>
          <xm:sqref>C35:E35</xm:sqref>
        </x14:dataValidation>
        <x14:dataValidation type="list" allowBlank="1" showInputMessage="1" showErrorMessage="1" xr:uid="{00000000-0002-0000-0C00-000014000000}">
          <x14:formula1>
            <xm:f>' Unterkörper Progressionen '!$M:$M</xm:f>
          </x14:formula1>
          <xm:sqref>C34:E34</xm:sqref>
        </x14:dataValidation>
        <x14:dataValidation type="list" allowBlank="1" showInputMessage="1" showErrorMessage="1" xr:uid="{00000000-0002-0000-0C00-000015000000}">
          <x14:formula1>
            <xm:f>' Unterkörper Progressionen '!$L:$L</xm:f>
          </x14:formula1>
          <xm:sqref>C33:E33</xm:sqref>
        </x14:dataValidation>
        <x14:dataValidation type="list" allowBlank="1" showInputMessage="1" showErrorMessage="1" xr:uid="{00000000-0002-0000-0C00-000016000000}">
          <x14:formula1>
            <xm:f>' Unterkörper Progressionen '!$J:$J</xm:f>
          </x14:formula1>
          <xm:sqref>C30:E30</xm:sqref>
        </x14:dataValidation>
        <x14:dataValidation type="list" allowBlank="1" showInputMessage="1" showErrorMessage="1" xr:uid="{00000000-0002-0000-0C00-000017000000}">
          <x14:formula1>
            <xm:f>' Unterkörper Progressionen '!$I:$I</xm:f>
          </x14:formula1>
          <xm:sqref>C29:E29</xm:sqref>
        </x14:dataValidation>
        <x14:dataValidation type="list" allowBlank="1" showInputMessage="1" showErrorMessage="1" xr:uid="{00000000-0002-0000-0C00-000018000000}">
          <x14:formula1>
            <xm:f>' Unterkörper Progressionen '!$H:$H</xm:f>
          </x14:formula1>
          <xm:sqref>C28:E28</xm:sqref>
        </x14:dataValidation>
        <x14:dataValidation type="list" allowBlank="1" showInputMessage="1" showErrorMessage="1" xr:uid="{00000000-0002-0000-0C00-000019000000}">
          <x14:formula1>
            <xm:f>' Unterkörper Progressionen '!$G:$G</xm:f>
          </x14:formula1>
          <xm:sqref>C26:E26</xm:sqref>
        </x14:dataValidation>
        <x14:dataValidation type="list" allowBlank="1" showInputMessage="1" showErrorMessage="1" xr:uid="{00000000-0002-0000-0C00-00001A000000}">
          <x14:formula1>
            <xm:f>' Unterkörper Progressionen '!$F:$F</xm:f>
          </x14:formula1>
          <xm:sqref>C25:E25</xm:sqref>
        </x14:dataValidation>
        <x14:dataValidation type="list" allowBlank="1" showInputMessage="1" showErrorMessage="1" xr:uid="{00000000-0002-0000-0C00-00001B000000}">
          <x14:formula1>
            <xm:f>' Unterkörper Progressionen '!$E:$E</xm:f>
          </x14:formula1>
          <xm:sqref>C24:E24</xm:sqref>
        </x14:dataValidation>
        <x14:dataValidation type="list" allowBlank="1" showInputMessage="1" showErrorMessage="1" xr:uid="{00000000-0002-0000-0C00-00001C000000}">
          <x14:formula1>
            <xm:f>' Unterkörper Progressionen '!$D:$D</xm:f>
          </x14:formula1>
          <xm:sqref>C21:E21</xm:sqref>
        </x14:dataValidation>
        <x14:dataValidation type="list" allowBlank="1" showInputMessage="1" showErrorMessage="1" xr:uid="{00000000-0002-0000-0C00-00001D000000}">
          <x14:formula1>
            <xm:f>' Unterkörper Progressionen '!$C:$C</xm:f>
          </x14:formula1>
          <xm:sqref>C20:E20</xm:sqref>
        </x14:dataValidation>
        <x14:dataValidation type="list" allowBlank="1" showInputMessage="1" showErrorMessage="1" xr:uid="{00000000-0002-0000-0C00-00001E000000}">
          <x14:formula1>
            <xm:f>' Unterkörper Progressionen '!$B:$B</xm:f>
          </x14:formula1>
          <xm:sqref>C19:E19</xm:sqref>
        </x14:dataValidation>
        <x14:dataValidation type="list" allowBlank="1" showInputMessage="1" showErrorMessage="1" xr:uid="{00000000-0002-0000-0C00-00001F000000}">
          <x14:formula1>
            <xm:f>' Unterkörper Progressionen '!$AA:$AA</xm:f>
          </x14:formula1>
          <xm:sqref>J20</xm:sqref>
        </x14:dataValidation>
        <x14:dataValidation type="list" allowBlank="1" showInputMessage="1" showErrorMessage="1" xr:uid="{00000000-0002-0000-0C00-000020000000}">
          <x14:formula1>
            <xm:f>' Unterkörper Progressionen '!$Z:$Z</xm:f>
          </x14:formula1>
          <xm:sqref>I24:I26 I42:I44 I33:I35 I37:I40 I28:I31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W43"/>
  <sheetViews>
    <sheetView topLeftCell="A8" zoomScale="94" zoomScaleNormal="100" workbookViewId="0">
      <selection activeCell="C18" sqref="C18:E18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W4" s="2"/>
    </row>
    <row r="5" spans="2:23" x14ac:dyDescent="0.25">
      <c r="B5" s="7"/>
      <c r="C5" s="76" t="str">
        <f>[1]Unterkörperplan!C5</f>
        <v>NAME</v>
      </c>
      <c r="I5" s="12"/>
      <c r="O5" s="343"/>
      <c r="P5" s="343"/>
      <c r="Q5" s="343"/>
      <c r="R5" s="343"/>
      <c r="S5" s="343"/>
      <c r="T5" s="344"/>
      <c r="U5" s="2"/>
      <c r="W5" s="2"/>
    </row>
    <row r="6" spans="2:23" x14ac:dyDescent="0.25">
      <c r="B6" s="7"/>
      <c r="C6" s="76"/>
      <c r="E6" t="s">
        <v>2</v>
      </c>
      <c r="O6" s="343"/>
      <c r="P6" s="343"/>
      <c r="Q6" s="343"/>
      <c r="R6" s="343"/>
      <c r="S6" s="343"/>
      <c r="T6" s="344"/>
      <c r="U6" s="2"/>
      <c r="W6" s="2"/>
    </row>
    <row r="7" spans="2:23" x14ac:dyDescent="0.25">
      <c r="B7" s="7"/>
      <c r="C7" s="76"/>
      <c r="O7" s="343"/>
      <c r="P7" s="343"/>
      <c r="Q7" s="343"/>
      <c r="R7" s="343"/>
      <c r="S7" s="343"/>
      <c r="T7" s="344"/>
      <c r="U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W9" s="2"/>
    </row>
    <row r="10" spans="2:23" ht="16.5" hidden="1" thickBot="1" x14ac:dyDescent="0.3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1" customFormat="1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tr">
        <f>Unterkörper1!B13</f>
        <v>TGU - BEND TO 1/2-KN.</v>
      </c>
      <c r="C13" s="330"/>
      <c r="D13" s="330"/>
      <c r="E13" s="388" t="str">
        <f>Unterkörper1!E13</f>
        <v>LOADED FOOT HAND CRAWL</v>
      </c>
      <c r="F13" s="389"/>
      <c r="G13" s="330" t="str">
        <f>Unterkörper1!G13</f>
        <v>1KB SUITCASE CARRY</v>
      </c>
      <c r="H13" s="330"/>
      <c r="I13" s="330"/>
      <c r="J13" s="330" t="str">
        <f>Unterkörper1!J13</f>
        <v>KB/BW GOBLET SQUAT</v>
      </c>
      <c r="K13" s="330"/>
      <c r="L13" s="330"/>
      <c r="M13" s="330"/>
      <c r="N13" s="330" t="str">
        <f>Unterkörper1!N13</f>
        <v>1-ARM 1KB SUMO DEADLIFT</v>
      </c>
      <c r="O13" s="330"/>
      <c r="P13" s="330"/>
      <c r="Q13" s="330"/>
      <c r="R13" s="330" t="str">
        <f>Unterkörper1!R13</f>
        <v>LANDMINE 1-LEG DEADLIFT TO BOX</v>
      </c>
      <c r="S13" s="330"/>
      <c r="T13" s="331"/>
    </row>
    <row r="14" spans="2:23" s="34" customFormat="1" ht="20.100000000000001" customHeight="1" thickBot="1" x14ac:dyDescent="0.3">
      <c r="B14" s="361" t="str">
        <f>Unterkörper1!B14</f>
        <v>ANKLE ROCKER 1-LEG SQUAT</v>
      </c>
      <c r="C14" s="329"/>
      <c r="D14" s="329"/>
      <c r="E14" s="386" t="str">
        <f>Unterkörper1!E14</f>
        <v>ANKLE POS. 1 15 SEC</v>
      </c>
      <c r="F14" s="387"/>
      <c r="G14" s="329" t="str">
        <f>Unterkörper1!G14</f>
        <v>LOADED ANKLE MARCH</v>
      </c>
      <c r="H14" s="329"/>
      <c r="I14" s="329"/>
      <c r="J14" s="329" t="str">
        <f>Unterkörper1!J14</f>
        <v>LATERAL SKIP</v>
      </c>
      <c r="K14" s="329"/>
      <c r="L14" s="329"/>
      <c r="M14" s="329"/>
      <c r="N14" s="329" t="str">
        <f>Unterkörper1!N14</f>
        <v xml:space="preserve">1-LEG MEDIAL HOP - TO BOX (NCM) </v>
      </c>
      <c r="O14" s="329"/>
      <c r="P14" s="329"/>
      <c r="Q14" s="329"/>
      <c r="R14" s="329" t="str">
        <f>Unterkörper1!R14</f>
        <v>LOADED SQUAT JUMP TO BOX</v>
      </c>
      <c r="S14" s="329"/>
      <c r="T14" s="332"/>
    </row>
    <row r="15" spans="2:23" ht="16.5" thickBot="1" x14ac:dyDescent="0.3">
      <c r="B15" s="380" t="str">
        <f>Unterkörper1!B16</f>
        <v>LEVEL 1</v>
      </c>
      <c r="C15" s="381"/>
      <c r="D15" s="381"/>
      <c r="E15" s="382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83"/>
      <c r="C16" s="384"/>
      <c r="D16" s="384"/>
      <c r="E16" s="385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8" customHeight="1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249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217</v>
      </c>
      <c r="D19" s="343"/>
      <c r="E19" s="344"/>
      <c r="G19" s="68" t="s">
        <v>23</v>
      </c>
      <c r="H19" s="69"/>
      <c r="I19" s="69" t="s">
        <v>25</v>
      </c>
      <c r="J19" s="70" t="s">
        <v>744</v>
      </c>
      <c r="L19" s="68" t="s">
        <v>23</v>
      </c>
      <c r="M19" s="69"/>
      <c r="N19" s="69" t="s">
        <v>25</v>
      </c>
      <c r="O19" s="70" t="str">
        <f>J19</f>
        <v>1kg</v>
      </c>
      <c r="Q19" s="77" t="s">
        <v>23</v>
      </c>
      <c r="R19" s="78"/>
      <c r="S19" s="78" t="s">
        <v>25</v>
      </c>
      <c r="T19" s="79" t="str">
        <f>J19</f>
        <v>1kg</v>
      </c>
    </row>
    <row r="20" spans="2:23" s="1" customFormat="1" ht="19.899999999999999" customHeight="1" thickBot="1" x14ac:dyDescent="0.3">
      <c r="B20" s="4">
        <v>3</v>
      </c>
      <c r="C20" s="341" t="s">
        <v>218</v>
      </c>
      <c r="D20" s="341"/>
      <c r="E20" s="342"/>
      <c r="G20" s="24" t="s">
        <v>23</v>
      </c>
      <c r="H20" s="25"/>
      <c r="I20" s="25" t="s">
        <v>25</v>
      </c>
      <c r="J20" s="26" t="s">
        <v>744</v>
      </c>
      <c r="L20" s="24" t="s">
        <v>23</v>
      </c>
      <c r="M20" s="25"/>
      <c r="N20" s="25" t="s">
        <v>25</v>
      </c>
      <c r="O20" s="26" t="str">
        <f>J20</f>
        <v>1kg</v>
      </c>
      <c r="Q20" s="47" t="s">
        <v>23</v>
      </c>
      <c r="R20" s="48"/>
      <c r="S20" s="48" t="s">
        <v>25</v>
      </c>
      <c r="T20" s="49" t="str">
        <f>J20</f>
        <v>1kg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8" customHeight="1" thickBot="1" x14ac:dyDescent="0.3">
      <c r="B22" s="338" t="s">
        <v>381</v>
      </c>
      <c r="C22" s="339"/>
      <c r="D22" s="339"/>
      <c r="E22" s="340"/>
      <c r="G22" s="129" t="s">
        <v>22</v>
      </c>
      <c r="H22" s="130" t="s">
        <v>20</v>
      </c>
      <c r="I22" s="130" t="s">
        <v>21</v>
      </c>
      <c r="J22" s="131" t="s">
        <v>22</v>
      </c>
      <c r="L22" s="129" t="str">
        <f>G22</f>
        <v>WEIGHT</v>
      </c>
      <c r="M22" s="130" t="s">
        <v>20</v>
      </c>
      <c r="N22" s="130" t="s">
        <v>21</v>
      </c>
      <c r="O22" s="131" t="s">
        <v>22</v>
      </c>
      <c r="Q22" s="132" t="str">
        <f>L22</f>
        <v>WEIGHT</v>
      </c>
      <c r="R22" s="133" t="s">
        <v>20</v>
      </c>
      <c r="S22" s="133" t="s">
        <v>21</v>
      </c>
      <c r="T22" s="134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219</v>
      </c>
      <c r="D23" s="336"/>
      <c r="E23" s="337"/>
      <c r="G23" s="21"/>
      <c r="H23" s="22" t="s">
        <v>24</v>
      </c>
      <c r="I23" s="28" t="s">
        <v>743</v>
      </c>
      <c r="J23" s="23"/>
      <c r="L23" s="21"/>
      <c r="M23" s="22" t="s">
        <v>24</v>
      </c>
      <c r="N23" s="22" t="str">
        <f>I23</f>
        <v>2x12</v>
      </c>
      <c r="O23" s="23"/>
      <c r="Q23" s="51"/>
      <c r="R23" s="53" t="s">
        <v>24</v>
      </c>
      <c r="S23" s="53" t="str">
        <f>I23</f>
        <v>2x12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519</v>
      </c>
      <c r="D24" s="343"/>
      <c r="E24" s="344"/>
      <c r="G24" s="27"/>
      <c r="H24" s="28" t="s">
        <v>24</v>
      </c>
      <c r="I24" s="28" t="s">
        <v>743</v>
      </c>
      <c r="J24" s="29"/>
      <c r="L24" s="27"/>
      <c r="M24" s="28" t="s">
        <v>24</v>
      </c>
      <c r="N24" s="28" t="str">
        <f>I24</f>
        <v>2x12</v>
      </c>
      <c r="O24" s="29"/>
      <c r="Q24" s="55"/>
      <c r="R24" s="57" t="s">
        <v>24</v>
      </c>
      <c r="S24" s="57" t="str">
        <f>I24</f>
        <v>2x12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322</v>
      </c>
      <c r="D25" s="341"/>
      <c r="E25" s="342"/>
      <c r="G25" s="24"/>
      <c r="H25" s="25" t="s">
        <v>24</v>
      </c>
      <c r="I25" s="25" t="s">
        <v>745</v>
      </c>
      <c r="J25" s="26"/>
      <c r="L25" s="24"/>
      <c r="M25" s="25" t="s">
        <v>24</v>
      </c>
      <c r="N25" s="25" t="str">
        <f>I25</f>
        <v>2x15m</v>
      </c>
      <c r="O25" s="26"/>
      <c r="Q25" s="47"/>
      <c r="R25" s="48" t="s">
        <v>24</v>
      </c>
      <c r="S25" s="48" t="str">
        <f>I25</f>
        <v>2x15m</v>
      </c>
      <c r="T25" s="49"/>
    </row>
    <row r="26" spans="2:23" s="2" customFormat="1" ht="4.9000000000000004" customHeight="1" thickBot="1" x14ac:dyDescent="0.3">
      <c r="B26" s="74"/>
      <c r="Q26" s="50"/>
      <c r="R26" s="50"/>
      <c r="S26" s="50"/>
      <c r="T26" s="75"/>
    </row>
    <row r="27" spans="2:23" s="1" customFormat="1" ht="19.899999999999999" customHeight="1" x14ac:dyDescent="0.25">
      <c r="B27" s="9">
        <v>4</v>
      </c>
      <c r="C27" s="336" t="s">
        <v>222</v>
      </c>
      <c r="D27" s="336"/>
      <c r="E27" s="337"/>
      <c r="G27" s="21"/>
      <c r="H27" s="22" t="s">
        <v>24</v>
      </c>
      <c r="I27" s="22" t="s">
        <v>743</v>
      </c>
      <c r="J27" s="23"/>
      <c r="L27" s="21"/>
      <c r="M27" s="22" t="s">
        <v>24</v>
      </c>
      <c r="N27" s="22" t="str">
        <f>I27</f>
        <v>2x12</v>
      </c>
      <c r="O27" s="23"/>
      <c r="Q27" s="51"/>
      <c r="R27" s="53" t="s">
        <v>24</v>
      </c>
      <c r="S27" s="53" t="str">
        <f>I27</f>
        <v>2x12</v>
      </c>
      <c r="T27" s="54"/>
    </row>
    <row r="28" spans="2:23" s="1" customFormat="1" ht="19.899999999999999" customHeight="1" x14ac:dyDescent="0.25">
      <c r="B28" s="3">
        <v>5</v>
      </c>
      <c r="C28" s="343" t="s">
        <v>527</v>
      </c>
      <c r="D28" s="343"/>
      <c r="E28" s="344"/>
      <c r="G28" s="27"/>
      <c r="H28" s="28" t="s">
        <v>24</v>
      </c>
      <c r="I28" s="28" t="s">
        <v>743</v>
      </c>
      <c r="J28" s="29"/>
      <c r="L28" s="27"/>
      <c r="M28" s="28" t="s">
        <v>24</v>
      </c>
      <c r="N28" s="28" t="str">
        <f>I28</f>
        <v>2x12</v>
      </c>
      <c r="O28" s="29"/>
      <c r="Q28" s="55"/>
      <c r="R28" s="57" t="s">
        <v>24</v>
      </c>
      <c r="S28" s="28" t="str">
        <f>I28</f>
        <v>2x12</v>
      </c>
      <c r="T28" s="58"/>
    </row>
    <row r="29" spans="2:23" s="1" customFormat="1" ht="19.899999999999999" customHeight="1" thickBot="1" x14ac:dyDescent="0.3">
      <c r="B29" s="4">
        <v>6</v>
      </c>
      <c r="C29" s="341" t="s">
        <v>64</v>
      </c>
      <c r="D29" s="341"/>
      <c r="E29" s="342"/>
      <c r="G29" s="24"/>
      <c r="H29" s="25" t="s">
        <v>24</v>
      </c>
      <c r="I29" s="25" t="s">
        <v>743</v>
      </c>
      <c r="J29" s="26"/>
      <c r="L29" s="24"/>
      <c r="M29" s="25" t="s">
        <v>24</v>
      </c>
      <c r="N29" s="25" t="str">
        <f>I29</f>
        <v>2x12</v>
      </c>
      <c r="O29" s="26"/>
      <c r="Q29" s="47"/>
      <c r="R29" s="48" t="s">
        <v>24</v>
      </c>
      <c r="S29" s="48" t="str">
        <f>I29</f>
        <v>2x12</v>
      </c>
      <c r="T29" s="49"/>
    </row>
    <row r="30" spans="2:23" s="1" customFormat="1" ht="5.0999999999999996" customHeight="1" thickBot="1" x14ac:dyDescent="0.3">
      <c r="B30" s="4"/>
      <c r="C30" s="67"/>
      <c r="D30" s="67"/>
      <c r="E30" s="118"/>
      <c r="G30" s="4"/>
      <c r="H30" s="67"/>
      <c r="I30" s="67"/>
      <c r="J30" s="67"/>
      <c r="L30" s="67"/>
      <c r="M30" s="67"/>
      <c r="N30" s="67"/>
      <c r="O30" s="67"/>
      <c r="Q30" s="120"/>
      <c r="R30" s="120"/>
      <c r="S30" s="120"/>
      <c r="T30" s="121"/>
    </row>
    <row r="31" spans="2:23" s="2" customFormat="1" ht="18" customHeight="1" thickBot="1" x14ac:dyDescent="0.3">
      <c r="B31" s="338" t="s">
        <v>746</v>
      </c>
      <c r="C31" s="339"/>
      <c r="D31" s="339"/>
      <c r="E31" s="340"/>
      <c r="F31" s="119"/>
      <c r="G31" s="333"/>
      <c r="H31" s="334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5"/>
    </row>
    <row r="32" spans="2:23" s="1" customFormat="1" ht="19.899999999999999" customHeight="1" x14ac:dyDescent="0.25">
      <c r="B32" s="9">
        <v>7</v>
      </c>
      <c r="C32" s="336" t="s">
        <v>285</v>
      </c>
      <c r="D32" s="336"/>
      <c r="E32" s="337"/>
      <c r="G32" s="21"/>
      <c r="H32" s="22" t="s">
        <v>24</v>
      </c>
      <c r="I32" s="22" t="s">
        <v>743</v>
      </c>
      <c r="J32" s="23"/>
      <c r="L32" s="21"/>
      <c r="M32" s="22" t="s">
        <v>24</v>
      </c>
      <c r="N32" s="22" t="str">
        <f>I32</f>
        <v>2x12</v>
      </c>
      <c r="O32" s="23"/>
      <c r="Q32" s="51"/>
      <c r="R32" s="53" t="s">
        <v>24</v>
      </c>
      <c r="S32" s="53" t="str">
        <f>I32</f>
        <v>2x12</v>
      </c>
      <c r="T32" s="54"/>
    </row>
    <row r="33" spans="2:20" s="1" customFormat="1" ht="19.899999999999999" customHeight="1" x14ac:dyDescent="0.25">
      <c r="B33" s="3">
        <v>8</v>
      </c>
      <c r="C33" s="343" t="s">
        <v>226</v>
      </c>
      <c r="D33" s="343"/>
      <c r="E33" s="344"/>
      <c r="G33" s="27"/>
      <c r="H33" s="28" t="s">
        <v>24</v>
      </c>
      <c r="I33" s="28" t="s">
        <v>743</v>
      </c>
      <c r="J33" s="29"/>
      <c r="L33" s="27"/>
      <c r="M33" s="28" t="s">
        <v>24</v>
      </c>
      <c r="N33" s="28" t="str">
        <f>I33</f>
        <v>2x12</v>
      </c>
      <c r="O33" s="29"/>
      <c r="Q33" s="55"/>
      <c r="R33" s="57" t="s">
        <v>24</v>
      </c>
      <c r="S33" s="28" t="str">
        <f>I33</f>
        <v>2x12</v>
      </c>
      <c r="T33" s="58"/>
    </row>
    <row r="34" spans="2:20" s="1" customFormat="1" ht="19.899999999999999" customHeight="1" thickBot="1" x14ac:dyDescent="0.3">
      <c r="B34" s="4">
        <v>9</v>
      </c>
      <c r="C34" s="341" t="s">
        <v>433</v>
      </c>
      <c r="D34" s="341"/>
      <c r="E34" s="342"/>
      <c r="G34" s="24"/>
      <c r="H34" s="25" t="s">
        <v>24</v>
      </c>
      <c r="I34" s="25" t="s">
        <v>743</v>
      </c>
      <c r="J34" s="26"/>
      <c r="L34" s="24"/>
      <c r="M34" s="25" t="s">
        <v>24</v>
      </c>
      <c r="N34" s="25" t="str">
        <f>I34</f>
        <v>2x12</v>
      </c>
      <c r="O34" s="26"/>
      <c r="Q34" s="47"/>
      <c r="R34" s="48" t="s">
        <v>24</v>
      </c>
      <c r="S34" s="48" t="str">
        <f>I34</f>
        <v>2x12</v>
      </c>
      <c r="T34" s="49"/>
    </row>
    <row r="35" spans="2:20" s="2" customFormat="1" ht="4.9000000000000004" customHeight="1" thickBot="1" x14ac:dyDescent="0.3">
      <c r="B35" s="74"/>
      <c r="Q35" s="50"/>
      <c r="R35" s="50"/>
      <c r="S35" s="50"/>
      <c r="T35" s="75"/>
    </row>
    <row r="36" spans="2:20" s="1" customFormat="1" ht="19.899999999999999" customHeight="1" x14ac:dyDescent="0.25">
      <c r="B36" s="9">
        <v>10</v>
      </c>
      <c r="C36" s="336" t="s">
        <v>286</v>
      </c>
      <c r="D36" s="336"/>
      <c r="E36" s="337"/>
      <c r="G36" s="21"/>
      <c r="H36" s="22" t="s">
        <v>24</v>
      </c>
      <c r="I36" s="22" t="s">
        <v>743</v>
      </c>
      <c r="J36" s="23"/>
      <c r="L36" s="21"/>
      <c r="M36" s="22" t="s">
        <v>24</v>
      </c>
      <c r="N36" s="22" t="str">
        <f>I36</f>
        <v>2x12</v>
      </c>
      <c r="O36" s="23"/>
      <c r="Q36" s="21"/>
      <c r="R36" s="22" t="s">
        <v>24</v>
      </c>
      <c r="S36" s="53" t="str">
        <f>I36</f>
        <v>2x12</v>
      </c>
      <c r="T36" s="23"/>
    </row>
    <row r="37" spans="2:20" s="1" customFormat="1" ht="19.899999999999999" customHeight="1" x14ac:dyDescent="0.25">
      <c r="B37" s="3">
        <v>11</v>
      </c>
      <c r="C37" s="343" t="s">
        <v>542</v>
      </c>
      <c r="D37" s="343"/>
      <c r="E37" s="344"/>
      <c r="G37" s="27"/>
      <c r="H37" s="28" t="s">
        <v>24</v>
      </c>
      <c r="I37" s="28" t="s">
        <v>743</v>
      </c>
      <c r="J37" s="29"/>
      <c r="L37" s="27"/>
      <c r="M37" s="28" t="s">
        <v>24</v>
      </c>
      <c r="N37" s="28" t="str">
        <f>I37</f>
        <v>2x12</v>
      </c>
      <c r="O37" s="29"/>
      <c r="Q37" s="27"/>
      <c r="R37" s="28" t="s">
        <v>24</v>
      </c>
      <c r="S37" s="28" t="str">
        <f>I37</f>
        <v>2x12</v>
      </c>
      <c r="T37" s="29"/>
    </row>
    <row r="38" spans="2:20" s="1" customFormat="1" ht="19.899999999999999" customHeight="1" thickBot="1" x14ac:dyDescent="0.3">
      <c r="B38" s="4">
        <v>12</v>
      </c>
      <c r="C38" s="341" t="s">
        <v>224</v>
      </c>
      <c r="D38" s="341"/>
      <c r="E38" s="342"/>
      <c r="G38" s="24"/>
      <c r="H38" s="25" t="s">
        <v>24</v>
      </c>
      <c r="I38" s="25" t="s">
        <v>743</v>
      </c>
      <c r="J38" s="26"/>
      <c r="L38" s="24"/>
      <c r="M38" s="25" t="s">
        <v>24</v>
      </c>
      <c r="N38" s="25" t="str">
        <f>I38</f>
        <v>2x12</v>
      </c>
      <c r="O38" s="26"/>
      <c r="Q38" s="47"/>
      <c r="R38" s="48" t="s">
        <v>24</v>
      </c>
      <c r="S38" s="48" t="str">
        <f>I38</f>
        <v>2x12</v>
      </c>
      <c r="T38" s="49"/>
    </row>
    <row r="39" spans="2:20" s="1" customFormat="1" ht="5.0999999999999996" customHeight="1" thickBot="1" x14ac:dyDescent="0.3">
      <c r="B39" s="4"/>
      <c r="C39" s="67"/>
      <c r="D39" s="67"/>
      <c r="E39" s="118"/>
      <c r="G39" s="4"/>
      <c r="H39" s="67"/>
      <c r="I39" s="67"/>
      <c r="J39" s="67"/>
      <c r="L39" s="67"/>
      <c r="M39" s="67"/>
      <c r="N39" s="67"/>
      <c r="O39" s="67"/>
      <c r="Q39" s="120"/>
      <c r="R39" s="120"/>
      <c r="S39" s="120"/>
      <c r="T39" s="121"/>
    </row>
    <row r="40" spans="2:20" s="2" customFormat="1" ht="18" customHeight="1" thickBot="1" x14ac:dyDescent="0.3">
      <c r="B40" s="338" t="s">
        <v>382</v>
      </c>
      <c r="C40" s="339"/>
      <c r="D40" s="339"/>
      <c r="E40" s="340"/>
      <c r="G40" s="333"/>
      <c r="H40" s="334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5"/>
    </row>
    <row r="41" spans="2:20" s="1" customFormat="1" ht="19.899999999999999" customHeight="1" x14ac:dyDescent="0.25">
      <c r="B41" s="9">
        <v>13</v>
      </c>
      <c r="C41" s="336" t="s">
        <v>231</v>
      </c>
      <c r="D41" s="336"/>
      <c r="E41" s="337"/>
      <c r="G41" s="21"/>
      <c r="H41" s="22" t="s">
        <v>24</v>
      </c>
      <c r="I41" s="22" t="s">
        <v>26</v>
      </c>
      <c r="J41" s="23"/>
      <c r="L41" s="21"/>
      <c r="M41" s="22" t="s">
        <v>24</v>
      </c>
      <c r="N41" s="22" t="str">
        <f>I41</f>
        <v>1x30s</v>
      </c>
      <c r="O41" s="23"/>
      <c r="Q41" s="21"/>
      <c r="R41" s="22" t="s">
        <v>24</v>
      </c>
      <c r="S41" s="22" t="str">
        <f>N41</f>
        <v>1x30s</v>
      </c>
      <c r="T41" s="23"/>
    </row>
    <row r="42" spans="2:20" s="1" customFormat="1" ht="19.899999999999999" customHeight="1" x14ac:dyDescent="0.25">
      <c r="B42" s="3">
        <v>14</v>
      </c>
      <c r="C42" s="343" t="s">
        <v>547</v>
      </c>
      <c r="D42" s="343"/>
      <c r="E42" s="344"/>
      <c r="G42" s="27"/>
      <c r="H42" s="28" t="s">
        <v>24</v>
      </c>
      <c r="I42" s="28" t="s">
        <v>26</v>
      </c>
      <c r="J42" s="29"/>
      <c r="L42" s="27"/>
      <c r="M42" s="28" t="s">
        <v>24</v>
      </c>
      <c r="N42" s="28" t="str">
        <f>I42</f>
        <v>1x30s</v>
      </c>
      <c r="O42" s="29"/>
      <c r="Q42" s="27"/>
      <c r="R42" s="28" t="s">
        <v>24</v>
      </c>
      <c r="S42" s="28" t="str">
        <f>N42</f>
        <v>1x30s</v>
      </c>
      <c r="T42" s="29"/>
    </row>
    <row r="43" spans="2:20" s="1" customFormat="1" ht="19.899999999999999" customHeight="1" thickBot="1" x14ac:dyDescent="0.3">
      <c r="B43" s="4">
        <v>15</v>
      </c>
      <c r="C43" s="347" t="s">
        <v>384</v>
      </c>
      <c r="D43" s="347"/>
      <c r="E43" s="348"/>
      <c r="F43" s="67"/>
      <c r="G43" s="24"/>
      <c r="H43" s="25" t="s">
        <v>24</v>
      </c>
      <c r="I43" s="25" t="s">
        <v>26</v>
      </c>
      <c r="J43" s="26"/>
      <c r="K43" s="67"/>
      <c r="L43" s="24"/>
      <c r="M43" s="25" t="s">
        <v>24</v>
      </c>
      <c r="N43" s="25" t="str">
        <f>I43</f>
        <v>1x30s</v>
      </c>
      <c r="O43" s="26"/>
      <c r="P43" s="67"/>
      <c r="Q43" s="24"/>
      <c r="R43" s="25" t="s">
        <v>24</v>
      </c>
      <c r="S43" s="25" t="str">
        <f>N43</f>
        <v>1x30s</v>
      </c>
      <c r="T43" s="26"/>
    </row>
  </sheetData>
  <mergeCells count="44">
    <mergeCell ref="O2:T7"/>
    <mergeCell ref="M10:N10"/>
    <mergeCell ref="B12:T12"/>
    <mergeCell ref="B13:D13"/>
    <mergeCell ref="G13:I13"/>
    <mergeCell ref="J13:M13"/>
    <mergeCell ref="N13:Q13"/>
    <mergeCell ref="R13:T13"/>
    <mergeCell ref="E13:F13"/>
    <mergeCell ref="R14:T14"/>
    <mergeCell ref="B15:E16"/>
    <mergeCell ref="G15:T15"/>
    <mergeCell ref="H16:I16"/>
    <mergeCell ref="M16:N16"/>
    <mergeCell ref="R16:S16"/>
    <mergeCell ref="E14:F14"/>
    <mergeCell ref="C23:E23"/>
    <mergeCell ref="B14:D14"/>
    <mergeCell ref="G14:I14"/>
    <mergeCell ref="J14:M14"/>
    <mergeCell ref="N14:Q14"/>
    <mergeCell ref="B17:E17"/>
    <mergeCell ref="C18:E18"/>
    <mergeCell ref="C19:E19"/>
    <mergeCell ref="C20:E20"/>
    <mergeCell ref="B22:E22"/>
    <mergeCell ref="C24:E24"/>
    <mergeCell ref="C25:E25"/>
    <mergeCell ref="C27:E27"/>
    <mergeCell ref="C28:E28"/>
    <mergeCell ref="C29:E29"/>
    <mergeCell ref="C43:E43"/>
    <mergeCell ref="G31:T31"/>
    <mergeCell ref="C32:E32"/>
    <mergeCell ref="C33:E33"/>
    <mergeCell ref="C34:E34"/>
    <mergeCell ref="C36:E36"/>
    <mergeCell ref="C37:E37"/>
    <mergeCell ref="B31:E31"/>
    <mergeCell ref="C38:E38"/>
    <mergeCell ref="B40:E40"/>
    <mergeCell ref="G40:T40"/>
    <mergeCell ref="C41:E41"/>
    <mergeCell ref="C42:E42"/>
  </mergeCells>
  <dataValidations count="1">
    <dataValidation type="list" allowBlank="1" showInputMessage="1" showErrorMessage="1" sqref="H23:H25 M36:M39 R32:R34 R27:R30 R23:R25 H36:H39 M32:M34 M27:M30 M23:M25 H32:H34 H27:H30 H41:H43 M41:M43 R36:R39" xr:uid="{00000000-0002-0000-0D00-000000000000}">
      <formula1>$W$22:$W$24</formula1>
    </dataValidation>
  </dataValidation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00000000-0002-0000-0D00-000001000000}">
          <x14:formula1>
            <xm:f>' Unterkörper Progressionen '!$Z$2:$Z$17</xm:f>
          </x14:formula1>
          <xm:sqref>N28 S37 S33 N33 N37 S28</xm:sqref>
        </x14:dataValidation>
        <x14:dataValidation type="list" allowBlank="1" showInputMessage="1" showErrorMessage="1" xr:uid="{00000000-0002-0000-0D00-000014000000}">
          <x14:formula1>
            <xm:f>' Unterkörper Progressionen '!$AA:$AA</xm:f>
          </x14:formula1>
          <xm:sqref>J19:J20</xm:sqref>
        </x14:dataValidation>
        <x14:dataValidation type="list" allowBlank="1" showInputMessage="1" showErrorMessage="1" xr:uid="{00000000-0002-0000-0D00-000015000000}">
          <x14:formula1>
            <xm:f>' Unterkörper Progressionen '!$Z:$Z</xm:f>
          </x14:formula1>
          <xm:sqref>I23:I24 I41:I43 I36:I39 I32:I34 I27:I30</xm:sqref>
        </x14:dataValidation>
        <x14:dataValidation type="list" allowBlank="1" showInputMessage="1" showErrorMessage="1" xr:uid="{00000000-0002-0000-0D00-000002000000}">
          <x14:formula1>
            <xm:f>'Oberkörper Progressionen '!$S:$S</xm:f>
          </x14:formula1>
          <xm:sqref>C43:E43</xm:sqref>
        </x14:dataValidation>
        <x14:dataValidation type="list" allowBlank="1" showInputMessage="1" showErrorMessage="1" xr:uid="{00000000-0002-0000-0D00-000003000000}">
          <x14:formula1>
            <xm:f>'Oberkörper Progressionen '!$R:$R</xm:f>
          </x14:formula1>
          <xm:sqref>C41:E41</xm:sqref>
        </x14:dataValidation>
        <x14:dataValidation type="list" allowBlank="1" showInputMessage="1" showErrorMessage="1" xr:uid="{00000000-0002-0000-0D00-000004000000}">
          <x14:formula1>
            <xm:f>'Oberkörper Progressionen '!$K:$K</xm:f>
          </x14:formula1>
          <xm:sqref>C38:E39</xm:sqref>
        </x14:dataValidation>
        <x14:dataValidation type="list" allowBlank="1" showInputMessage="1" showErrorMessage="1" xr:uid="{00000000-0002-0000-0D00-000005000000}">
          <x14:formula1>
            <xm:f>'Oberkörper Progressionen '!$P:$P</xm:f>
          </x14:formula1>
          <xm:sqref>C37:E37</xm:sqref>
        </x14:dataValidation>
        <x14:dataValidation type="list" allowBlank="1" showInputMessage="1" showErrorMessage="1" xr:uid="{00000000-0002-0000-0D00-000006000000}">
          <x14:formula1>
            <xm:f>'Oberkörper Progressionen '!$O:$O</xm:f>
          </x14:formula1>
          <xm:sqref>C36:E36</xm:sqref>
        </x14:dataValidation>
        <x14:dataValidation type="list" allowBlank="1" showInputMessage="1" showErrorMessage="1" xr:uid="{00000000-0002-0000-0D00-000007000000}">
          <x14:formula1>
            <xm:f>'Oberkörper Progressionen '!$J:$J</xm:f>
          </x14:formula1>
          <xm:sqref>C34:E34</xm:sqref>
        </x14:dataValidation>
        <x14:dataValidation type="list" allowBlank="1" showInputMessage="1" showErrorMessage="1" xr:uid="{00000000-0002-0000-0D00-000008000000}">
          <x14:formula1>
            <xm:f>'Oberkörper Progressionen '!$M:$M</xm:f>
          </x14:formula1>
          <xm:sqref>C33:E33</xm:sqref>
        </x14:dataValidation>
        <x14:dataValidation type="list" allowBlank="1" showInputMessage="1" showErrorMessage="1" xr:uid="{00000000-0002-0000-0D00-000009000000}">
          <x14:formula1>
            <xm:f>'Oberkörper Progressionen '!$L:$L</xm:f>
          </x14:formula1>
          <xm:sqref>C32:E32</xm:sqref>
        </x14:dataValidation>
        <x14:dataValidation type="list" allowBlank="1" showInputMessage="1" showErrorMessage="1" xr:uid="{00000000-0002-0000-0D00-00000A000000}">
          <x14:formula1>
            <xm:f>'Oberkörper Progressionen '!$G:$G</xm:f>
          </x14:formula1>
          <xm:sqref>C29:E30</xm:sqref>
        </x14:dataValidation>
        <x14:dataValidation type="list" allowBlank="1" showInputMessage="1" showErrorMessage="1" xr:uid="{00000000-0002-0000-0D00-00000B000000}">
          <x14:formula1>
            <xm:f>'Oberkörper Progressionen '!$I:$I</xm:f>
          </x14:formula1>
          <xm:sqref>C28:E28</xm:sqref>
        </x14:dataValidation>
        <x14:dataValidation type="list" allowBlank="1" showInputMessage="1" showErrorMessage="1" xr:uid="{00000000-0002-0000-0D00-00000C000000}">
          <x14:formula1>
            <xm:f>'Oberkörper Progressionen '!$H:$H</xm:f>
          </x14:formula1>
          <xm:sqref>C27:E27</xm:sqref>
        </x14:dataValidation>
        <x14:dataValidation type="list" allowBlank="1" showInputMessage="1" showErrorMessage="1" xr:uid="{00000000-0002-0000-0D00-00000D000000}">
          <x14:formula1>
            <xm:f>'Oberkörper Progressionen '!$N:$N</xm:f>
          </x14:formula1>
          <xm:sqref>C25:E25</xm:sqref>
        </x14:dataValidation>
        <x14:dataValidation type="list" allowBlank="1" showInputMessage="1" showErrorMessage="1" xr:uid="{00000000-0002-0000-0D00-00000E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0D00-00000F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0D00-000010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0D00-000011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0D00-000012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0D00-000013000000}">
          <x14:formula1>
            <xm:f>'Oberkörper Progressionen '!$Q:$Q</xm:f>
          </x14:formula1>
          <xm:sqref>C42:E42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1:X53"/>
  <sheetViews>
    <sheetView topLeftCell="A21" zoomScale="90" zoomScaleNormal="90" workbookViewId="0">
      <selection activeCell="C39" sqref="C39:E39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60" t="s">
        <v>216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60"/>
      <c r="E6" t="s">
        <v>2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ht="16.5" hidden="1" thickBot="1" x14ac:dyDescent="0.3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">
        <v>161</v>
      </c>
      <c r="C13" s="330"/>
      <c r="D13" s="330"/>
      <c r="E13" s="388" t="s">
        <v>771</v>
      </c>
      <c r="F13" s="389"/>
      <c r="G13" s="330" t="s">
        <v>52</v>
      </c>
      <c r="H13" s="330"/>
      <c r="I13" s="330"/>
      <c r="J13" s="330" t="s">
        <v>37</v>
      </c>
      <c r="K13" s="330"/>
      <c r="L13" s="330"/>
      <c r="M13" s="330"/>
      <c r="N13" s="330" t="s">
        <v>723</v>
      </c>
      <c r="O13" s="330"/>
      <c r="P13" s="330"/>
      <c r="Q13" s="330"/>
      <c r="R13" s="330" t="s">
        <v>374</v>
      </c>
      <c r="S13" s="330"/>
      <c r="T13" s="331"/>
    </row>
    <row r="14" spans="2:23" s="34" customFormat="1" ht="20.100000000000001" customHeight="1" thickBot="1" x14ac:dyDescent="0.3">
      <c r="B14" s="361" t="s">
        <v>714</v>
      </c>
      <c r="C14" s="329"/>
      <c r="D14" s="329"/>
      <c r="E14" s="386" t="s">
        <v>175</v>
      </c>
      <c r="F14" s="387"/>
      <c r="G14" s="329" t="s">
        <v>326</v>
      </c>
      <c r="H14" s="329"/>
      <c r="I14" s="329"/>
      <c r="J14" s="329" t="s">
        <v>156</v>
      </c>
      <c r="K14" s="329"/>
      <c r="L14" s="329"/>
      <c r="M14" s="329"/>
      <c r="N14" s="329" t="s">
        <v>82</v>
      </c>
      <c r="O14" s="329"/>
      <c r="P14" s="329"/>
      <c r="Q14" s="329"/>
      <c r="R14" s="329" t="s">
        <v>784</v>
      </c>
      <c r="S14" s="329"/>
      <c r="T14" s="332"/>
    </row>
    <row r="15" spans="2:23" ht="4.9000000000000004" hidden="1" customHeight="1" thickBot="1" x14ac:dyDescent="0.3">
      <c r="B15" s="8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6"/>
    </row>
    <row r="16" spans="2:23" ht="18" customHeight="1" thickBot="1" x14ac:dyDescent="0.3">
      <c r="B16" s="380" t="s">
        <v>398</v>
      </c>
      <c r="C16" s="381"/>
      <c r="D16" s="381"/>
      <c r="E16" s="382"/>
      <c r="F16" s="1"/>
      <c r="G16" s="338" t="s">
        <v>132</v>
      </c>
      <c r="H16" s="339"/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39"/>
      <c r="T16" s="340"/>
    </row>
    <row r="17" spans="2:24" ht="21.6" customHeight="1" thickBot="1" x14ac:dyDescent="0.3">
      <c r="B17" s="383"/>
      <c r="C17" s="384"/>
      <c r="D17" s="384"/>
      <c r="E17" s="385"/>
      <c r="F17" s="1"/>
      <c r="G17" s="71" t="s">
        <v>162</v>
      </c>
      <c r="H17" s="358" t="s">
        <v>50</v>
      </c>
      <c r="I17" s="359"/>
      <c r="J17" s="72" t="s">
        <v>163</v>
      </c>
      <c r="K17" s="65"/>
      <c r="L17" s="71" t="s">
        <v>164</v>
      </c>
      <c r="M17" s="358" t="s">
        <v>49</v>
      </c>
      <c r="N17" s="359"/>
      <c r="O17" s="72" t="s">
        <v>166</v>
      </c>
      <c r="P17" s="65"/>
      <c r="Q17" s="72" t="s">
        <v>165</v>
      </c>
      <c r="R17" s="358" t="s">
        <v>51</v>
      </c>
      <c r="S17" s="359"/>
      <c r="T17" s="72" t="s">
        <v>167</v>
      </c>
      <c r="W17" s="36"/>
      <c r="X17" s="1"/>
    </row>
    <row r="18" spans="2:24" ht="18" customHeight="1" thickBot="1" x14ac:dyDescent="0.3">
      <c r="B18" s="338" t="s">
        <v>18</v>
      </c>
      <c r="C18" s="339"/>
      <c r="D18" s="339"/>
      <c r="E18" s="340"/>
      <c r="F18" s="73"/>
      <c r="G18" s="15" t="s">
        <v>19</v>
      </c>
      <c r="H18" s="16" t="s">
        <v>20</v>
      </c>
      <c r="I18" s="16" t="s">
        <v>21</v>
      </c>
      <c r="J18" s="17" t="s">
        <v>22</v>
      </c>
      <c r="K18" s="1"/>
      <c r="L18" s="15" t="s">
        <v>19</v>
      </c>
      <c r="M18" s="16" t="s">
        <v>20</v>
      </c>
      <c r="N18" s="16" t="s">
        <v>21</v>
      </c>
      <c r="O18" s="17" t="s">
        <v>22</v>
      </c>
      <c r="P18" s="1"/>
      <c r="Q18" s="41" t="s">
        <v>19</v>
      </c>
      <c r="R18" s="42" t="s">
        <v>20</v>
      </c>
      <c r="S18" s="42" t="s">
        <v>21</v>
      </c>
      <c r="T18" s="43" t="s">
        <v>22</v>
      </c>
      <c r="W18" s="37"/>
      <c r="X18" s="1"/>
    </row>
    <row r="19" spans="2:24" s="1" customFormat="1" ht="19.899999999999999" customHeight="1" x14ac:dyDescent="0.25">
      <c r="B19" s="9">
        <v>1</v>
      </c>
      <c r="C19" s="336" t="s">
        <v>114</v>
      </c>
      <c r="D19" s="336"/>
      <c r="E19" s="337"/>
      <c r="G19" s="18" t="s">
        <v>23</v>
      </c>
      <c r="H19" s="19"/>
      <c r="I19" s="19" t="s">
        <v>25</v>
      </c>
      <c r="J19" s="20" t="s">
        <v>27</v>
      </c>
      <c r="L19" s="18" t="s">
        <v>23</v>
      </c>
      <c r="M19" s="19"/>
      <c r="N19" s="19" t="s">
        <v>25</v>
      </c>
      <c r="O19" s="20" t="s">
        <v>27</v>
      </c>
      <c r="Q19" s="44" t="s">
        <v>23</v>
      </c>
      <c r="R19" s="45"/>
      <c r="S19" s="45" t="s">
        <v>25</v>
      </c>
      <c r="T19" s="46" t="s">
        <v>27</v>
      </c>
      <c r="W19" s="36"/>
    </row>
    <row r="20" spans="2:24" s="1" customFormat="1" ht="19.899999999999999" customHeight="1" x14ac:dyDescent="0.25">
      <c r="B20" s="3">
        <v>2</v>
      </c>
      <c r="C20" s="343" t="s">
        <v>128</v>
      </c>
      <c r="D20" s="343"/>
      <c r="E20" s="344"/>
      <c r="G20" s="68" t="s">
        <v>23</v>
      </c>
      <c r="H20" s="69"/>
      <c r="I20" s="69" t="s">
        <v>25</v>
      </c>
      <c r="J20" s="70" t="s">
        <v>759</v>
      </c>
      <c r="L20" s="68" t="s">
        <v>23</v>
      </c>
      <c r="M20" s="69"/>
      <c r="N20" s="69" t="s">
        <v>25</v>
      </c>
      <c r="O20" s="70" t="str">
        <f>J20</f>
        <v>2kg</v>
      </c>
      <c r="Q20" s="68" t="s">
        <v>23</v>
      </c>
      <c r="R20" s="69"/>
      <c r="S20" s="69" t="s">
        <v>25</v>
      </c>
      <c r="T20" s="70" t="str">
        <f>J20</f>
        <v>2kg</v>
      </c>
      <c r="W20" s="36"/>
    </row>
    <row r="21" spans="2:24" s="1" customFormat="1" ht="19.899999999999999" customHeight="1" thickBot="1" x14ac:dyDescent="0.3">
      <c r="B21" s="4">
        <v>3</v>
      </c>
      <c r="C21" s="341" t="s">
        <v>129</v>
      </c>
      <c r="D21" s="341"/>
      <c r="E21" s="342"/>
      <c r="G21" s="24" t="s">
        <v>23</v>
      </c>
      <c r="H21" s="25"/>
      <c r="I21" s="25" t="s">
        <v>25</v>
      </c>
      <c r="J21" s="26" t="s">
        <v>759</v>
      </c>
      <c r="L21" s="24" t="s">
        <v>23</v>
      </c>
      <c r="M21" s="25"/>
      <c r="N21" s="25" t="s">
        <v>25</v>
      </c>
      <c r="O21" s="26" t="str">
        <f>J21</f>
        <v>2kg</v>
      </c>
      <c r="Q21" s="47" t="s">
        <v>23</v>
      </c>
      <c r="R21" s="48"/>
      <c r="S21" s="48" t="s">
        <v>25</v>
      </c>
      <c r="T21" s="49" t="str">
        <f>J21</f>
        <v>2kg</v>
      </c>
    </row>
    <row r="22" spans="2:24" s="2" customFormat="1" ht="4.9000000000000004" customHeight="1" thickBot="1" x14ac:dyDescent="0.3">
      <c r="B22" s="74"/>
      <c r="Q22" s="50"/>
      <c r="R22" s="50"/>
      <c r="S22" s="50"/>
      <c r="T22" s="75"/>
      <c r="X22" s="1"/>
    </row>
    <row r="23" spans="2:24" s="1" customFormat="1" ht="18" customHeight="1" thickBot="1" x14ac:dyDescent="0.3">
      <c r="B23" s="338" t="s">
        <v>379</v>
      </c>
      <c r="C23" s="339"/>
      <c r="D23" s="339"/>
      <c r="E23" s="340"/>
      <c r="G23" s="129" t="s">
        <v>22</v>
      </c>
      <c r="H23" s="130" t="s">
        <v>20</v>
      </c>
      <c r="I23" s="130" t="s">
        <v>21</v>
      </c>
      <c r="J23" s="131" t="s">
        <v>22</v>
      </c>
      <c r="L23" s="129" t="str">
        <f>G23</f>
        <v>WEIGHT</v>
      </c>
      <c r="M23" s="130" t="s">
        <v>20</v>
      </c>
      <c r="N23" s="130" t="s">
        <v>21</v>
      </c>
      <c r="O23" s="131" t="s">
        <v>22</v>
      </c>
      <c r="Q23" s="132" t="str">
        <f>L23</f>
        <v>WEIGHT</v>
      </c>
      <c r="R23" s="133" t="s">
        <v>20</v>
      </c>
      <c r="S23" s="133" t="s">
        <v>21</v>
      </c>
      <c r="T23" s="134" t="s">
        <v>22</v>
      </c>
    </row>
    <row r="24" spans="2:24" s="1" customFormat="1" ht="19.899999999999999" customHeight="1" x14ac:dyDescent="0.25">
      <c r="B24" s="9">
        <v>1</v>
      </c>
      <c r="C24" s="336" t="s">
        <v>395</v>
      </c>
      <c r="D24" s="336"/>
      <c r="E24" s="337"/>
      <c r="G24" s="21"/>
      <c r="H24" s="30" t="s">
        <v>24</v>
      </c>
      <c r="I24" s="22" t="s">
        <v>753</v>
      </c>
      <c r="J24" s="23"/>
      <c r="L24" s="21"/>
      <c r="M24" s="30" t="s">
        <v>24</v>
      </c>
      <c r="N24" s="22" t="str">
        <f>I24</f>
        <v>1x15</v>
      </c>
      <c r="O24" s="23"/>
      <c r="Q24" s="51"/>
      <c r="R24" s="52" t="s">
        <v>24</v>
      </c>
      <c r="S24" s="22" t="str">
        <f>N24</f>
        <v>1x15</v>
      </c>
      <c r="T24" s="54"/>
    </row>
    <row r="25" spans="2:24" s="1" customFormat="1" ht="19.899999999999999" customHeight="1" x14ac:dyDescent="0.25">
      <c r="B25" s="3">
        <v>2</v>
      </c>
      <c r="C25" s="343" t="s">
        <v>290</v>
      </c>
      <c r="D25" s="343"/>
      <c r="E25" s="344"/>
      <c r="G25" s="27"/>
      <c r="H25" s="31" t="s">
        <v>24</v>
      </c>
      <c r="I25" s="28" t="s">
        <v>753</v>
      </c>
      <c r="J25" s="29"/>
      <c r="L25" s="27"/>
      <c r="M25" s="31" t="s">
        <v>24</v>
      </c>
      <c r="N25" s="28" t="str">
        <f>I25</f>
        <v>1x15</v>
      </c>
      <c r="O25" s="29"/>
      <c r="Q25" s="55"/>
      <c r="R25" s="56" t="s">
        <v>24</v>
      </c>
      <c r="S25" s="28" t="str">
        <f>N25</f>
        <v>1x15</v>
      </c>
      <c r="T25" s="58"/>
    </row>
    <row r="26" spans="2:24" s="1" customFormat="1" ht="19.899999999999999" customHeight="1" thickBot="1" x14ac:dyDescent="0.3">
      <c r="B26" s="4">
        <v>3</v>
      </c>
      <c r="C26" s="341" t="s">
        <v>686</v>
      </c>
      <c r="D26" s="341"/>
      <c r="E26" s="342"/>
      <c r="G26" s="24"/>
      <c r="H26" s="32" t="s">
        <v>24</v>
      </c>
      <c r="I26" s="25" t="s">
        <v>753</v>
      </c>
      <c r="J26" s="26"/>
      <c r="L26" s="24"/>
      <c r="M26" s="32" t="s">
        <v>24</v>
      </c>
      <c r="N26" s="25" t="str">
        <f>I26</f>
        <v>1x15</v>
      </c>
      <c r="O26" s="26"/>
      <c r="Q26" s="47"/>
      <c r="R26" s="59" t="s">
        <v>24</v>
      </c>
      <c r="S26" s="25" t="str">
        <f>N26</f>
        <v>1x15</v>
      </c>
      <c r="T26" s="49"/>
    </row>
    <row r="27" spans="2:24" s="2" customFormat="1" ht="4.9000000000000004" customHeight="1" thickBot="1" x14ac:dyDescent="0.3">
      <c r="B27" s="74"/>
      <c r="Q27" s="50"/>
      <c r="R27" s="50"/>
      <c r="S27" s="50"/>
      <c r="T27" s="75"/>
    </row>
    <row r="28" spans="2:24" s="1" customFormat="1" ht="19.899999999999999" customHeight="1" x14ac:dyDescent="0.25">
      <c r="B28" s="9">
        <v>4</v>
      </c>
      <c r="C28" s="336" t="s">
        <v>418</v>
      </c>
      <c r="D28" s="336"/>
      <c r="E28" s="337"/>
      <c r="G28" s="21"/>
      <c r="H28" s="30" t="s">
        <v>24</v>
      </c>
      <c r="I28" s="22" t="s">
        <v>753</v>
      </c>
      <c r="J28" s="23"/>
      <c r="L28" s="21"/>
      <c r="M28" s="30" t="s">
        <v>24</v>
      </c>
      <c r="N28" s="22" t="str">
        <f>I28</f>
        <v>1x15</v>
      </c>
      <c r="O28" s="23"/>
      <c r="Q28" s="51"/>
      <c r="R28" s="52" t="s">
        <v>24</v>
      </c>
      <c r="S28" s="22" t="str">
        <f>N28</f>
        <v>1x15</v>
      </c>
      <c r="T28" s="54"/>
    </row>
    <row r="29" spans="2:24" s="1" customFormat="1" ht="19.899999999999999" customHeight="1" x14ac:dyDescent="0.25">
      <c r="B29" s="3">
        <v>5</v>
      </c>
      <c r="C29" s="343" t="s">
        <v>195</v>
      </c>
      <c r="D29" s="343"/>
      <c r="E29" s="344"/>
      <c r="G29" s="27"/>
      <c r="H29" s="31" t="s">
        <v>24</v>
      </c>
      <c r="I29" s="28" t="s">
        <v>753</v>
      </c>
      <c r="J29" s="29"/>
      <c r="L29" s="27"/>
      <c r="M29" s="31" t="s">
        <v>24</v>
      </c>
      <c r="N29" s="28" t="str">
        <f>I29</f>
        <v>1x15</v>
      </c>
      <c r="O29" s="29"/>
      <c r="Q29" s="55"/>
      <c r="R29" s="56" t="s">
        <v>24</v>
      </c>
      <c r="S29" s="28" t="str">
        <f>N29</f>
        <v>1x15</v>
      </c>
      <c r="T29" s="58"/>
    </row>
    <row r="30" spans="2:24" s="1" customFormat="1" ht="19.899999999999999" customHeight="1" thickBot="1" x14ac:dyDescent="0.3">
      <c r="B30" s="4">
        <v>6</v>
      </c>
      <c r="C30" s="341" t="s">
        <v>93</v>
      </c>
      <c r="D30" s="341"/>
      <c r="E30" s="342"/>
      <c r="G30" s="24"/>
      <c r="H30" s="32" t="s">
        <v>24</v>
      </c>
      <c r="I30" s="25" t="s">
        <v>749</v>
      </c>
      <c r="J30" s="26"/>
      <c r="L30" s="24"/>
      <c r="M30" s="32" t="s">
        <v>24</v>
      </c>
      <c r="N30" s="25" t="str">
        <f>I30</f>
        <v>3x10s ea</v>
      </c>
      <c r="O30" s="26"/>
      <c r="Q30" s="47"/>
      <c r="R30" s="59" t="s">
        <v>24</v>
      </c>
      <c r="S30" s="25" t="str">
        <f>N30</f>
        <v>3x10s ea</v>
      </c>
      <c r="T30" s="49"/>
    </row>
    <row r="31" spans="2:24" s="1" customFormat="1" ht="5.0999999999999996" customHeight="1" thickBot="1" x14ac:dyDescent="0.3">
      <c r="B31" s="4"/>
      <c r="C31" s="67"/>
      <c r="D31" s="67"/>
      <c r="E31" s="118"/>
      <c r="G31" s="4"/>
      <c r="H31" s="122"/>
      <c r="I31" s="67"/>
      <c r="J31" s="67"/>
      <c r="L31" s="67"/>
      <c r="M31" s="122"/>
      <c r="N31" s="67"/>
      <c r="O31" s="67"/>
      <c r="Q31" s="120"/>
      <c r="R31" s="123"/>
      <c r="S31" s="67"/>
      <c r="T31" s="121"/>
    </row>
    <row r="32" spans="2:24" s="2" customFormat="1" ht="18" customHeight="1" thickBot="1" x14ac:dyDescent="0.3">
      <c r="B32" s="338" t="s">
        <v>741</v>
      </c>
      <c r="C32" s="339"/>
      <c r="D32" s="339"/>
      <c r="E32" s="340"/>
      <c r="F32" s="119"/>
      <c r="G32" s="124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6"/>
    </row>
    <row r="33" spans="2:22" s="1" customFormat="1" ht="19.899999999999999" customHeight="1" x14ac:dyDescent="0.25">
      <c r="B33" s="9">
        <v>7</v>
      </c>
      <c r="C33" s="336" t="s">
        <v>498</v>
      </c>
      <c r="D33" s="336"/>
      <c r="E33" s="337"/>
      <c r="G33" s="21"/>
      <c r="H33" s="30" t="s">
        <v>24</v>
      </c>
      <c r="I33" s="22" t="s">
        <v>753</v>
      </c>
      <c r="J33" s="23"/>
      <c r="L33" s="21"/>
      <c r="M33" s="30" t="s">
        <v>24</v>
      </c>
      <c r="N33" s="22" t="str">
        <f>I33</f>
        <v>1x15</v>
      </c>
      <c r="O33" s="23"/>
      <c r="Q33" s="51"/>
      <c r="R33" s="52" t="s">
        <v>24</v>
      </c>
      <c r="S33" s="22" t="str">
        <f>I33</f>
        <v>1x15</v>
      </c>
      <c r="T33" s="54"/>
    </row>
    <row r="34" spans="2:22" s="1" customFormat="1" ht="19.899999999999999" customHeight="1" x14ac:dyDescent="0.25">
      <c r="B34" s="3">
        <v>8</v>
      </c>
      <c r="C34" s="343" t="s">
        <v>105</v>
      </c>
      <c r="D34" s="343"/>
      <c r="E34" s="344"/>
      <c r="G34" s="27"/>
      <c r="H34" s="31" t="s">
        <v>24</v>
      </c>
      <c r="I34" s="28" t="s">
        <v>749</v>
      </c>
      <c r="J34" s="29"/>
      <c r="L34" s="27"/>
      <c r="M34" s="31" t="s">
        <v>24</v>
      </c>
      <c r="N34" s="28" t="str">
        <f>I34</f>
        <v>3x10s ea</v>
      </c>
      <c r="O34" s="29"/>
      <c r="Q34" s="55"/>
      <c r="R34" s="56" t="s">
        <v>24</v>
      </c>
      <c r="S34" s="28" t="str">
        <f>N34</f>
        <v>3x10s ea</v>
      </c>
      <c r="T34" s="58"/>
    </row>
    <row r="35" spans="2:22" s="1" customFormat="1" ht="19.899999999999999" customHeight="1" thickBot="1" x14ac:dyDescent="0.3">
      <c r="B35" s="4">
        <v>9</v>
      </c>
      <c r="C35" s="341" t="s">
        <v>662</v>
      </c>
      <c r="D35" s="341"/>
      <c r="E35" s="342"/>
      <c r="G35" s="24"/>
      <c r="H35" s="32" t="s">
        <v>24</v>
      </c>
      <c r="I35" s="25" t="s">
        <v>753</v>
      </c>
      <c r="J35" s="26"/>
      <c r="L35" s="24"/>
      <c r="M35" s="32" t="s">
        <v>24</v>
      </c>
      <c r="N35" s="25" t="str">
        <f>I35</f>
        <v>1x15</v>
      </c>
      <c r="O35" s="26"/>
      <c r="Q35" s="47"/>
      <c r="R35" s="59" t="s">
        <v>24</v>
      </c>
      <c r="S35" s="25" t="str">
        <f>N35</f>
        <v>1x15</v>
      </c>
      <c r="T35" s="49"/>
    </row>
    <row r="36" spans="2:22" s="2" customFormat="1" ht="4.9000000000000004" customHeight="1" thickBot="1" x14ac:dyDescent="0.3">
      <c r="B36" s="74"/>
      <c r="Q36" s="50"/>
      <c r="R36" s="50"/>
      <c r="S36" s="50"/>
      <c r="T36" s="75"/>
    </row>
    <row r="37" spans="2:22" s="1" customFormat="1" ht="19.899999999999999" customHeight="1" x14ac:dyDescent="0.25">
      <c r="B37" s="9">
        <v>10</v>
      </c>
      <c r="C37" s="336" t="s">
        <v>446</v>
      </c>
      <c r="D37" s="336"/>
      <c r="E37" s="337"/>
      <c r="G37" s="21"/>
      <c r="H37" s="30" t="s">
        <v>24</v>
      </c>
      <c r="I37" s="22" t="s">
        <v>753</v>
      </c>
      <c r="J37" s="23"/>
      <c r="L37" s="21"/>
      <c r="M37" s="30" t="s">
        <v>24</v>
      </c>
      <c r="N37" s="22" t="str">
        <f>I37</f>
        <v>1x15</v>
      </c>
      <c r="O37" s="23"/>
      <c r="Q37" s="51"/>
      <c r="R37" s="52" t="s">
        <v>24</v>
      </c>
      <c r="S37" s="22" t="str">
        <f>N37</f>
        <v>1x15</v>
      </c>
      <c r="T37" s="54"/>
    </row>
    <row r="38" spans="2:22" s="1" customFormat="1" ht="19.899999999999999" customHeight="1" x14ac:dyDescent="0.25">
      <c r="B38" s="3">
        <v>11</v>
      </c>
      <c r="C38" s="343" t="s">
        <v>807</v>
      </c>
      <c r="D38" s="343"/>
      <c r="E38" s="344"/>
      <c r="G38" s="27"/>
      <c r="H38" s="31" t="s">
        <v>24</v>
      </c>
      <c r="I38" s="28" t="s">
        <v>749</v>
      </c>
      <c r="J38" s="29"/>
      <c r="L38" s="27"/>
      <c r="M38" s="31" t="s">
        <v>24</v>
      </c>
      <c r="N38" s="28" t="str">
        <f>I38</f>
        <v>3x10s ea</v>
      </c>
      <c r="O38" s="29"/>
      <c r="Q38" s="55"/>
      <c r="R38" s="56" t="s">
        <v>24</v>
      </c>
      <c r="S38" s="28" t="str">
        <f>N38</f>
        <v>3x10s ea</v>
      </c>
      <c r="T38" s="58"/>
    </row>
    <row r="39" spans="2:22" s="1" customFormat="1" ht="19.899999999999999" customHeight="1" thickBot="1" x14ac:dyDescent="0.3">
      <c r="B39" s="4">
        <v>12</v>
      </c>
      <c r="C39" s="341" t="s">
        <v>471</v>
      </c>
      <c r="D39" s="341"/>
      <c r="E39" s="342"/>
      <c r="G39" s="24"/>
      <c r="H39" s="32" t="s">
        <v>24</v>
      </c>
      <c r="I39" s="25" t="s">
        <v>753</v>
      </c>
      <c r="J39" s="26"/>
      <c r="L39" s="24"/>
      <c r="M39" s="32" t="s">
        <v>24</v>
      </c>
      <c r="N39" s="25" t="str">
        <f>I39</f>
        <v>1x15</v>
      </c>
      <c r="O39" s="26"/>
      <c r="Q39" s="47"/>
      <c r="R39" s="59" t="s">
        <v>24</v>
      </c>
      <c r="S39" s="25" t="str">
        <f>N39</f>
        <v>1x15</v>
      </c>
      <c r="T39" s="49"/>
    </row>
    <row r="40" spans="2:22" s="1" customFormat="1" ht="5.0999999999999996" customHeight="1" thickBot="1" x14ac:dyDescent="0.3">
      <c r="B40" s="4"/>
      <c r="C40" s="67"/>
      <c r="D40" s="67"/>
      <c r="E40" s="118"/>
      <c r="G40" s="4"/>
      <c r="H40" s="122"/>
      <c r="I40" s="67"/>
      <c r="J40" s="67"/>
      <c r="L40" s="67"/>
      <c r="M40" s="122"/>
      <c r="N40" s="67"/>
      <c r="O40" s="67"/>
      <c r="Q40" s="120"/>
      <c r="R40" s="123"/>
      <c r="S40" s="67"/>
      <c r="T40" s="121"/>
    </row>
    <row r="41" spans="2:22" s="2" customFormat="1" ht="18" customHeight="1" thickBot="1" x14ac:dyDescent="0.3">
      <c r="B41" s="338" t="s">
        <v>383</v>
      </c>
      <c r="C41" s="339"/>
      <c r="D41" s="339"/>
      <c r="E41" s="340"/>
      <c r="G41" s="333"/>
      <c r="H41" s="334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5"/>
    </row>
    <row r="42" spans="2:22" s="1" customFormat="1" ht="19.899999999999999" customHeight="1" x14ac:dyDescent="0.25">
      <c r="B42" s="9">
        <v>13</v>
      </c>
      <c r="C42" s="336" t="s">
        <v>205</v>
      </c>
      <c r="D42" s="336"/>
      <c r="E42" s="337"/>
      <c r="G42" s="21"/>
      <c r="H42" s="30" t="s">
        <v>24</v>
      </c>
      <c r="I42" s="22" t="s">
        <v>232</v>
      </c>
      <c r="J42" s="23"/>
      <c r="L42" s="21"/>
      <c r="M42" s="30" t="s">
        <v>24</v>
      </c>
      <c r="N42" s="22" t="str">
        <f>I42</f>
        <v>1x45s</v>
      </c>
      <c r="O42" s="23"/>
      <c r="Q42" s="51"/>
      <c r="R42" s="52" t="s">
        <v>24</v>
      </c>
      <c r="S42" s="53" t="str">
        <f>N42</f>
        <v>1x45s</v>
      </c>
      <c r="T42" s="54"/>
    </row>
    <row r="43" spans="2:22" s="1" customFormat="1" ht="19.899999999999999" customHeight="1" x14ac:dyDescent="0.25">
      <c r="B43" s="3">
        <v>14</v>
      </c>
      <c r="C43" s="345" t="s">
        <v>47</v>
      </c>
      <c r="D43" s="345"/>
      <c r="E43" s="346"/>
      <c r="G43" s="27"/>
      <c r="H43" s="31" t="s">
        <v>24</v>
      </c>
      <c r="I43" s="28" t="s">
        <v>232</v>
      </c>
      <c r="J43" s="29"/>
      <c r="L43" s="27"/>
      <c r="M43" s="31" t="s">
        <v>24</v>
      </c>
      <c r="N43" s="28" t="str">
        <f>I43</f>
        <v>1x45s</v>
      </c>
      <c r="O43" s="29"/>
      <c r="Q43" s="55"/>
      <c r="R43" s="56" t="s">
        <v>24</v>
      </c>
      <c r="S43" s="57" t="str">
        <f>N43</f>
        <v>1x45s</v>
      </c>
      <c r="T43" s="58"/>
    </row>
    <row r="44" spans="2:22" s="1" customFormat="1" ht="19.899999999999999" customHeight="1" thickBot="1" x14ac:dyDescent="0.3">
      <c r="B44" s="4">
        <v>15</v>
      </c>
      <c r="C44" s="347" t="s">
        <v>365</v>
      </c>
      <c r="D44" s="347"/>
      <c r="E44" s="348"/>
      <c r="F44" s="67"/>
      <c r="G44" s="24"/>
      <c r="H44" s="32" t="s">
        <v>24</v>
      </c>
      <c r="I44" s="25" t="s">
        <v>232</v>
      </c>
      <c r="J44" s="26"/>
      <c r="K44" s="67"/>
      <c r="L44" s="24"/>
      <c r="M44" s="32" t="s">
        <v>24</v>
      </c>
      <c r="N44" s="25" t="str">
        <f>I44</f>
        <v>1x45s</v>
      </c>
      <c r="O44" s="26"/>
      <c r="P44" s="67"/>
      <c r="Q44" s="47"/>
      <c r="R44" s="59" t="s">
        <v>24</v>
      </c>
      <c r="S44" s="48" t="str">
        <f>N44</f>
        <v>1x45s</v>
      </c>
      <c r="T44" s="49"/>
    </row>
    <row r="45" spans="2:22" s="2" customFormat="1" ht="4.9000000000000004" customHeight="1" x14ac:dyDescent="0.25">
      <c r="Q45" s="50"/>
      <c r="R45" s="50"/>
      <c r="S45" s="50"/>
      <c r="T45" s="50"/>
    </row>
    <row r="46" spans="2:22" x14ac:dyDescent="0.25">
      <c r="V46" s="1"/>
    </row>
    <row r="47" spans="2:22" x14ac:dyDescent="0.25">
      <c r="V47" s="1"/>
    </row>
    <row r="48" spans="2:22" x14ac:dyDescent="0.25">
      <c r="V48" s="1"/>
    </row>
    <row r="49" spans="22:22" x14ac:dyDescent="0.25">
      <c r="V49" s="1"/>
    </row>
    <row r="50" spans="22:22" x14ac:dyDescent="0.25">
      <c r="V50" s="1"/>
    </row>
    <row r="51" spans="22:22" x14ac:dyDescent="0.25">
      <c r="V51" s="1"/>
    </row>
    <row r="52" spans="22:22" x14ac:dyDescent="0.25">
      <c r="V52" s="1"/>
    </row>
    <row r="53" spans="22:22" x14ac:dyDescent="0.25">
      <c r="V53" s="1"/>
    </row>
  </sheetData>
  <mergeCells count="44">
    <mergeCell ref="O2:T7"/>
    <mergeCell ref="E10:G10"/>
    <mergeCell ref="I10:L10"/>
    <mergeCell ref="B12:T12"/>
    <mergeCell ref="B13:D13"/>
    <mergeCell ref="E13:F13"/>
    <mergeCell ref="G13:I13"/>
    <mergeCell ref="J13:M13"/>
    <mergeCell ref="N13:Q13"/>
    <mergeCell ref="R13:T13"/>
    <mergeCell ref="B18:E18"/>
    <mergeCell ref="B14:D14"/>
    <mergeCell ref="E14:F14"/>
    <mergeCell ref="G14:I14"/>
    <mergeCell ref="J14:M14"/>
    <mergeCell ref="B16:E17"/>
    <mergeCell ref="G16:T16"/>
    <mergeCell ref="H17:I17"/>
    <mergeCell ref="M17:N17"/>
    <mergeCell ref="R17:S17"/>
    <mergeCell ref="N14:Q14"/>
    <mergeCell ref="R14:T14"/>
    <mergeCell ref="C33:E33"/>
    <mergeCell ref="C19:E19"/>
    <mergeCell ref="C20:E20"/>
    <mergeCell ref="C21:E21"/>
    <mergeCell ref="B23:E23"/>
    <mergeCell ref="C24:E24"/>
    <mergeCell ref="C25:E25"/>
    <mergeCell ref="C26:E26"/>
    <mergeCell ref="C28:E28"/>
    <mergeCell ref="C29:E29"/>
    <mergeCell ref="C30:E30"/>
    <mergeCell ref="B32:E32"/>
    <mergeCell ref="G41:T41"/>
    <mergeCell ref="C42:E42"/>
    <mergeCell ref="C43:E43"/>
    <mergeCell ref="C44:E44"/>
    <mergeCell ref="C34:E34"/>
    <mergeCell ref="C35:E35"/>
    <mergeCell ref="C37:E37"/>
    <mergeCell ref="C38:E38"/>
    <mergeCell ref="C39:E39"/>
    <mergeCell ref="B41:E41"/>
  </mergeCell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1" showErrorMessage="1" xr:uid="{00000000-0002-0000-0E00-000000000000}">
          <x14:formula1>
            <xm:f>'Warm Up'!$A:$A</xm:f>
          </x14:formula1>
          <xm:sqref>B16:E17</xm:sqref>
        </x14:dataValidation>
        <x14:dataValidation type="list" allowBlank="1" showInputMessage="1" showErrorMessage="1" xr:uid="{00000000-0002-0000-0E00-000001000000}">
          <x14:formula1>
            <xm:f>'Warm Up'!$B:$B</xm:f>
          </x14:formula1>
          <xm:sqref>B13:D13</xm:sqref>
        </x14:dataValidation>
        <x14:dataValidation type="list" allowBlank="1" showInputMessage="1" showErrorMessage="1" xr:uid="{00000000-0002-0000-0E00-000002000000}">
          <x14:formula1>
            <xm:f>'Warm Up'!$C:$C</xm:f>
          </x14:formula1>
          <xm:sqref>E13</xm:sqref>
        </x14:dataValidation>
        <x14:dataValidation type="list" allowBlank="1" showInputMessage="1" showErrorMessage="1" xr:uid="{00000000-0002-0000-0E00-000003000000}">
          <x14:formula1>
            <xm:f>'Warm Up'!$G:$G</xm:f>
          </x14:formula1>
          <xm:sqref>R13:T13</xm:sqref>
        </x14:dataValidation>
        <x14:dataValidation type="list" allowBlank="1" showInputMessage="1" showErrorMessage="1" xr:uid="{00000000-0002-0000-0E00-000004000000}">
          <x14:formula1>
            <xm:f>'Warm Up'!$H:$H</xm:f>
          </x14:formula1>
          <xm:sqref>B14:D14</xm:sqref>
        </x14:dataValidation>
        <x14:dataValidation type="list" allowBlank="1" showInputMessage="1" showErrorMessage="1" xr:uid="{00000000-0002-0000-0E00-000005000000}">
          <x14:formula1>
            <xm:f>'Warm Up'!$I:$I</xm:f>
          </x14:formula1>
          <xm:sqref>E14</xm:sqref>
        </x14:dataValidation>
        <x14:dataValidation type="list" allowBlank="1" showInputMessage="1" showErrorMessage="1" xr:uid="{00000000-0002-0000-0E00-000006000000}">
          <x14:formula1>
            <xm:f>'Warm Up'!$M:$M</xm:f>
          </x14:formula1>
          <xm:sqref>R14:T14</xm:sqref>
        </x14:dataValidation>
        <x14:dataValidation type="list" allowBlank="1" showInputMessage="1" showErrorMessage="1" xr:uid="{00000000-0002-0000-0E00-000007000000}">
          <x14:formula1>
            <xm:f>'Warm Up'!$D:$D</xm:f>
          </x14:formula1>
          <xm:sqref>G13</xm:sqref>
        </x14:dataValidation>
        <x14:dataValidation type="list" allowBlank="1" showInputMessage="1" showErrorMessage="1" xr:uid="{00000000-0002-0000-0E00-000008000000}">
          <x14:formula1>
            <xm:f>'Warm Up'!$J:$J</xm:f>
          </x14:formula1>
          <xm:sqref>G14</xm:sqref>
        </x14:dataValidation>
        <x14:dataValidation type="list" allowBlank="1" showInputMessage="1" showErrorMessage="1" xr:uid="{00000000-0002-0000-0E00-000009000000}">
          <x14:formula1>
            <xm:f>'Warm Up'!$E:$E</xm:f>
          </x14:formula1>
          <xm:sqref>J13</xm:sqref>
        </x14:dataValidation>
        <x14:dataValidation type="list" allowBlank="1" showInputMessage="1" showErrorMessage="1" xr:uid="{00000000-0002-0000-0E00-00000A000000}">
          <x14:formula1>
            <xm:f>'Warm Up'!$K:$K</xm:f>
          </x14:formula1>
          <xm:sqref>J14</xm:sqref>
        </x14:dataValidation>
        <x14:dataValidation type="list" allowBlank="1" showInputMessage="1" showErrorMessage="1" xr:uid="{00000000-0002-0000-0E00-00000B000000}">
          <x14:formula1>
            <xm:f>'Warm Up'!$F:$F</xm:f>
          </x14:formula1>
          <xm:sqref>N13</xm:sqref>
        </x14:dataValidation>
        <x14:dataValidation type="list" allowBlank="1" showInputMessage="1" showErrorMessage="1" xr:uid="{00000000-0002-0000-0E00-00000C000000}">
          <x14:formula1>
            <xm:f>'Warm Up'!$L:$L</xm:f>
          </x14:formula1>
          <xm:sqref>N14</xm:sqref>
        </x14:dataValidation>
        <x14:dataValidation type="list" allowBlank="1" showInputMessage="1" showErrorMessage="1" xr:uid="{00000000-0002-0000-0E00-00000D000000}">
          <x14:formula1>
            <xm:f>' Unterkörper Progressionen '!$Z:$Z</xm:f>
          </x14:formula1>
          <xm:sqref>I24:I26 I42:I44 I33:I35 I37:I40 I28:I31</xm:sqref>
        </x14:dataValidation>
        <x14:dataValidation type="list" allowBlank="1" showInputMessage="1" showErrorMessage="1" xr:uid="{00000000-0002-0000-0E00-000012000000}">
          <x14:formula1>
            <xm:f>' Unterkörper Progressionen '!$AA:$AA</xm:f>
          </x14:formula1>
          <xm:sqref>J20</xm:sqref>
        </x14:dataValidation>
        <x14:dataValidation type="list" allowBlank="1" showInputMessage="1" showErrorMessage="1" xr:uid="{00000000-0002-0000-0E00-000013000000}">
          <x14:formula1>
            <xm:f>' Unterkörper Progressionen '!$B:$B</xm:f>
          </x14:formula1>
          <xm:sqref>C19:E19</xm:sqref>
        </x14:dataValidation>
        <x14:dataValidation type="list" allowBlank="1" showInputMessage="1" showErrorMessage="1" xr:uid="{00000000-0002-0000-0E00-000014000000}">
          <x14:formula1>
            <xm:f>' Unterkörper Progressionen '!$C:$C</xm:f>
          </x14:formula1>
          <xm:sqref>C20:E20</xm:sqref>
        </x14:dataValidation>
        <x14:dataValidation type="list" allowBlank="1" showInputMessage="1" showErrorMessage="1" xr:uid="{00000000-0002-0000-0E00-000015000000}">
          <x14:formula1>
            <xm:f>' Unterkörper Progressionen '!$D:$D</xm:f>
          </x14:formula1>
          <xm:sqref>C21:E21</xm:sqref>
        </x14:dataValidation>
        <x14:dataValidation type="list" allowBlank="1" showInputMessage="1" showErrorMessage="1" xr:uid="{00000000-0002-0000-0E00-000016000000}">
          <x14:formula1>
            <xm:f>' Unterkörper Progressionen '!$E:$E</xm:f>
          </x14:formula1>
          <xm:sqref>C24:E24</xm:sqref>
        </x14:dataValidation>
        <x14:dataValidation type="list" allowBlank="1" showInputMessage="1" showErrorMessage="1" xr:uid="{00000000-0002-0000-0E00-000017000000}">
          <x14:formula1>
            <xm:f>' Unterkörper Progressionen '!$F:$F</xm:f>
          </x14:formula1>
          <xm:sqref>C25:E25</xm:sqref>
        </x14:dataValidation>
        <x14:dataValidation type="list" allowBlank="1" showInputMessage="1" showErrorMessage="1" xr:uid="{00000000-0002-0000-0E00-000018000000}">
          <x14:formula1>
            <xm:f>' Unterkörper Progressionen '!$G:$G</xm:f>
          </x14:formula1>
          <xm:sqref>C26:E26</xm:sqref>
        </x14:dataValidation>
        <x14:dataValidation type="list" allowBlank="1" showInputMessage="1" showErrorMessage="1" xr:uid="{00000000-0002-0000-0E00-000019000000}">
          <x14:formula1>
            <xm:f>' Unterkörper Progressionen '!$H:$H</xm:f>
          </x14:formula1>
          <xm:sqref>C28:E28</xm:sqref>
        </x14:dataValidation>
        <x14:dataValidation type="list" allowBlank="1" showInputMessage="1" showErrorMessage="1" xr:uid="{00000000-0002-0000-0E00-00001A000000}">
          <x14:formula1>
            <xm:f>' Unterkörper Progressionen '!$I:$I</xm:f>
          </x14:formula1>
          <xm:sqref>C29:E29</xm:sqref>
        </x14:dataValidation>
        <x14:dataValidation type="list" allowBlank="1" showInputMessage="1" showErrorMessage="1" xr:uid="{00000000-0002-0000-0E00-00001B000000}">
          <x14:formula1>
            <xm:f>' Unterkörper Progressionen '!$J:$J</xm:f>
          </x14:formula1>
          <xm:sqref>C30:E30</xm:sqref>
        </x14:dataValidation>
        <x14:dataValidation type="list" allowBlank="1" showInputMessage="1" showErrorMessage="1" xr:uid="{00000000-0002-0000-0E00-00001C000000}">
          <x14:formula1>
            <xm:f>' Unterkörper Progressionen '!$L:$L</xm:f>
          </x14:formula1>
          <xm:sqref>C33:E33</xm:sqref>
        </x14:dataValidation>
        <x14:dataValidation type="list" allowBlank="1" showInputMessage="1" showErrorMessage="1" xr:uid="{00000000-0002-0000-0E00-00001D000000}">
          <x14:formula1>
            <xm:f>' Unterkörper Progressionen '!$M:$M</xm:f>
          </x14:formula1>
          <xm:sqref>C34:E34</xm:sqref>
        </x14:dataValidation>
        <x14:dataValidation type="list" allowBlank="1" showInputMessage="1" showErrorMessage="1" xr:uid="{00000000-0002-0000-0E00-00001E000000}">
          <x14:formula1>
            <xm:f>' Unterkörper Progressionen '!$P:$P</xm:f>
          </x14:formula1>
          <xm:sqref>C35:E35</xm:sqref>
        </x14:dataValidation>
        <x14:dataValidation type="list" allowBlank="1" showInputMessage="1" showErrorMessage="1" xr:uid="{00000000-0002-0000-0E00-00001F000000}">
          <x14:formula1>
            <xm:f>' Unterkörper Progressionen '!$Q:$Q</xm:f>
          </x14:formula1>
          <xm:sqref>C37:E37</xm:sqref>
        </x14:dataValidation>
        <x14:dataValidation type="list" allowBlank="1" showInputMessage="1" showErrorMessage="1" xr:uid="{00000000-0002-0000-0E00-000020000000}">
          <x14:formula1>
            <xm:f>' Unterkörper Progressionen '!$R:$R</xm:f>
          </x14:formula1>
          <xm:sqref>C38:E38</xm:sqref>
        </x14:dataValidation>
        <x14:dataValidation type="list" allowBlank="1" showInputMessage="1" showErrorMessage="1" xr:uid="{00000000-0002-0000-0E00-000021000000}">
          <x14:formula1>
            <xm:f>' Unterkörper Progressionen '!$S:$S</xm:f>
          </x14:formula1>
          <xm:sqref>C39:E39</xm:sqref>
        </x14:dataValidation>
        <x14:dataValidation type="list" allowBlank="1" showInputMessage="1" showErrorMessage="1" xr:uid="{00000000-0002-0000-0E00-000022000000}">
          <x14:formula1>
            <xm:f>' Unterkörper Progressionen '!$U:$U</xm:f>
          </x14:formula1>
          <xm:sqref>C42:E42</xm:sqref>
        </x14:dataValidation>
        <x14:dataValidation type="list" allowBlank="1" showInputMessage="1" showErrorMessage="1" xr:uid="{00000000-0002-0000-0E00-000023000000}">
          <x14:formula1>
            <xm:f>' Unterkörper Progressionen '!$V:$V</xm:f>
          </x14:formula1>
          <xm:sqref>C43:E43</xm:sqref>
        </x14:dataValidation>
        <x14:dataValidation type="list" allowBlank="1" showInputMessage="1" showErrorMessage="1" xr:uid="{00000000-0002-0000-0E00-000024000000}">
          <x14:formula1>
            <xm:f>' Unterkörper Progressionen '!$W:$W</xm:f>
          </x14:formula1>
          <xm:sqref>C44:E44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W43"/>
  <sheetViews>
    <sheetView topLeftCell="A12" zoomScale="94" zoomScaleNormal="100" workbookViewId="0">
      <selection activeCell="C24" sqref="C24:E24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W4" s="2"/>
    </row>
    <row r="5" spans="2:23" x14ac:dyDescent="0.25">
      <c r="B5" s="7"/>
      <c r="C5" s="76" t="str">
        <f>[1]Unterkörperplan!C5</f>
        <v>NAME</v>
      </c>
      <c r="I5" s="12"/>
      <c r="O5" s="343"/>
      <c r="P5" s="343"/>
      <c r="Q5" s="343"/>
      <c r="R5" s="343"/>
      <c r="S5" s="343"/>
      <c r="T5" s="344"/>
      <c r="U5" s="2"/>
      <c r="W5" s="2"/>
    </row>
    <row r="6" spans="2:23" x14ac:dyDescent="0.25">
      <c r="B6" s="7"/>
      <c r="C6" s="76"/>
      <c r="E6" t="s">
        <v>2</v>
      </c>
      <c r="O6" s="343"/>
      <c r="P6" s="343"/>
      <c r="Q6" s="343"/>
      <c r="R6" s="343"/>
      <c r="S6" s="343"/>
      <c r="T6" s="344"/>
      <c r="U6" s="2"/>
      <c r="W6" s="2"/>
    </row>
    <row r="7" spans="2:23" x14ac:dyDescent="0.25">
      <c r="B7" s="7"/>
      <c r="C7" s="76"/>
      <c r="O7" s="343"/>
      <c r="P7" s="343"/>
      <c r="Q7" s="343"/>
      <c r="R7" s="343"/>
      <c r="S7" s="343"/>
      <c r="T7" s="344"/>
      <c r="U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W9" s="2"/>
    </row>
    <row r="10" spans="2:23" ht="16.5" hidden="1" thickBot="1" x14ac:dyDescent="0.3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1" customFormat="1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tr">
        <f>Unterkörper2!B13</f>
        <v>TGU - 1/2-KN. TO STAND</v>
      </c>
      <c r="C13" s="330"/>
      <c r="D13" s="330"/>
      <c r="E13" s="388" t="str">
        <f>Unterkörper2!E13</f>
        <v>LOADED BKWD CRAWL</v>
      </c>
      <c r="F13" s="389"/>
      <c r="G13" s="330" t="str">
        <f>Unterkörper2!G13</f>
        <v>1KB 1-ARM RACK CARRY</v>
      </c>
      <c r="H13" s="330"/>
      <c r="I13" s="330"/>
      <c r="J13" s="330" t="str">
        <f>Unterkörper2!J13</f>
        <v>KB/BW GOBLET SQUAT</v>
      </c>
      <c r="K13" s="330"/>
      <c r="L13" s="330"/>
      <c r="M13" s="330"/>
      <c r="N13" s="330" t="str">
        <f>Unterkörper2!N13</f>
        <v>2KB SUITCASE DEADLIFT</v>
      </c>
      <c r="O13" s="330"/>
      <c r="P13" s="330"/>
      <c r="Q13" s="330"/>
      <c r="R13" s="330" t="str">
        <f>Unterkörper2!R13</f>
        <v>1KB 1-LEG DEADLIFT TO BOX</v>
      </c>
      <c r="S13" s="330"/>
      <c r="T13" s="331"/>
    </row>
    <row r="14" spans="2:23" s="34" customFormat="1" ht="20.100000000000001" customHeight="1" thickBot="1" x14ac:dyDescent="0.3">
      <c r="B14" s="361" t="str">
        <f>Unterkörper2!B14</f>
        <v>LOADED ANKLE ROCKER PUSH PULL</v>
      </c>
      <c r="C14" s="329"/>
      <c r="D14" s="329"/>
      <c r="E14" s="386" t="str">
        <f>Unterkörper2!E14</f>
        <v>ANKLE POS. 1 30 SEC</v>
      </c>
      <c r="F14" s="387"/>
      <c r="G14" s="329" t="str">
        <f>Unterkörper2!G14</f>
        <v>LOADED ANKLE SKIPS</v>
      </c>
      <c r="H14" s="329"/>
      <c r="I14" s="329"/>
      <c r="J14" s="329" t="str">
        <f>Unterkörper2!J14</f>
        <v>KNEE RUN</v>
      </c>
      <c r="K14" s="329"/>
      <c r="L14" s="329"/>
      <c r="M14" s="329"/>
      <c r="N14" s="329" t="str">
        <f>Unterkörper2!N14</f>
        <v xml:space="preserve">1-LEG LINEAR HOP - TO BOX (NCM) </v>
      </c>
      <c r="O14" s="329"/>
      <c r="P14" s="329"/>
      <c r="Q14" s="329"/>
      <c r="R14" s="329" t="str">
        <f>Unterkörper2!R14</f>
        <v>LOADED CMJ TO BOX</v>
      </c>
      <c r="S14" s="329"/>
      <c r="T14" s="332"/>
    </row>
    <row r="15" spans="2:23" ht="16.5" thickBot="1" x14ac:dyDescent="0.3">
      <c r="B15" s="380" t="str">
        <f>Unterkörper2!B16</f>
        <v>LEVEL 2</v>
      </c>
      <c r="C15" s="381"/>
      <c r="D15" s="381"/>
      <c r="E15" s="382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83"/>
      <c r="C16" s="384"/>
      <c r="D16" s="384"/>
      <c r="E16" s="385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8" customHeight="1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246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236</v>
      </c>
      <c r="D19" s="343"/>
      <c r="E19" s="344"/>
      <c r="G19" s="68" t="s">
        <v>23</v>
      </c>
      <c r="H19" s="69"/>
      <c r="I19" s="69" t="s">
        <v>25</v>
      </c>
      <c r="J19" s="70" t="s">
        <v>759</v>
      </c>
      <c r="L19" s="68" t="s">
        <v>23</v>
      </c>
      <c r="M19" s="69"/>
      <c r="N19" s="69" t="s">
        <v>25</v>
      </c>
      <c r="O19" s="70" t="str">
        <f>J19</f>
        <v>2kg</v>
      </c>
      <c r="Q19" s="77" t="s">
        <v>23</v>
      </c>
      <c r="R19" s="78"/>
      <c r="S19" s="78" t="s">
        <v>25</v>
      </c>
      <c r="T19" s="79" t="str">
        <f>J19</f>
        <v>2kg</v>
      </c>
    </row>
    <row r="20" spans="2:23" s="1" customFormat="1" ht="19.899999999999999" customHeight="1" thickBot="1" x14ac:dyDescent="0.3">
      <c r="B20" s="4">
        <v>3</v>
      </c>
      <c r="C20" s="341" t="s">
        <v>237</v>
      </c>
      <c r="D20" s="341"/>
      <c r="E20" s="342"/>
      <c r="G20" s="24" t="s">
        <v>23</v>
      </c>
      <c r="H20" s="25"/>
      <c r="I20" s="25" t="s">
        <v>25</v>
      </c>
      <c r="J20" s="26" t="s">
        <v>759</v>
      </c>
      <c r="L20" s="24" t="s">
        <v>23</v>
      </c>
      <c r="M20" s="25"/>
      <c r="N20" s="25" t="s">
        <v>25</v>
      </c>
      <c r="O20" s="26" t="str">
        <f>J20</f>
        <v>2kg</v>
      </c>
      <c r="Q20" s="47" t="s">
        <v>23</v>
      </c>
      <c r="R20" s="48"/>
      <c r="S20" s="48" t="s">
        <v>25</v>
      </c>
      <c r="T20" s="49" t="str">
        <f>J20</f>
        <v>2kg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8" customHeight="1" thickBot="1" x14ac:dyDescent="0.3">
      <c r="B22" s="338" t="s">
        <v>381</v>
      </c>
      <c r="C22" s="339"/>
      <c r="D22" s="339"/>
      <c r="E22" s="340"/>
      <c r="G22" s="129" t="s">
        <v>22</v>
      </c>
      <c r="H22" s="130" t="s">
        <v>20</v>
      </c>
      <c r="I22" s="130" t="s">
        <v>21</v>
      </c>
      <c r="J22" s="131" t="s">
        <v>22</v>
      </c>
      <c r="L22" s="129" t="str">
        <f>G22</f>
        <v>WEIGHT</v>
      </c>
      <c r="M22" s="130" t="s">
        <v>20</v>
      </c>
      <c r="N22" s="130" t="s">
        <v>21</v>
      </c>
      <c r="O22" s="131" t="s">
        <v>22</v>
      </c>
      <c r="Q22" s="132" t="str">
        <f>L22</f>
        <v>WEIGHT</v>
      </c>
      <c r="R22" s="133" t="s">
        <v>20</v>
      </c>
      <c r="S22" s="133" t="s">
        <v>21</v>
      </c>
      <c r="T22" s="134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515</v>
      </c>
      <c r="D23" s="336"/>
      <c r="E23" s="337"/>
      <c r="G23" s="21"/>
      <c r="H23" s="22" t="s">
        <v>24</v>
      </c>
      <c r="I23" s="28" t="s">
        <v>753</v>
      </c>
      <c r="J23" s="23"/>
      <c r="L23" s="21"/>
      <c r="M23" s="22" t="s">
        <v>24</v>
      </c>
      <c r="N23" s="22" t="str">
        <f>I23</f>
        <v>1x15</v>
      </c>
      <c r="O23" s="23"/>
      <c r="Q23" s="51"/>
      <c r="R23" s="53" t="s">
        <v>24</v>
      </c>
      <c r="S23" s="53" t="str">
        <f>I23</f>
        <v>1x15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519</v>
      </c>
      <c r="D24" s="343"/>
      <c r="E24" s="344"/>
      <c r="G24" s="27"/>
      <c r="H24" s="28" t="s">
        <v>24</v>
      </c>
      <c r="I24" s="28" t="s">
        <v>753</v>
      </c>
      <c r="J24" s="29"/>
      <c r="L24" s="27"/>
      <c r="M24" s="28" t="s">
        <v>24</v>
      </c>
      <c r="N24" s="28" t="str">
        <f>I24</f>
        <v>1x15</v>
      </c>
      <c r="O24" s="29"/>
      <c r="Q24" s="55"/>
      <c r="R24" s="57" t="s">
        <v>24</v>
      </c>
      <c r="S24" s="57" t="str">
        <f>I24</f>
        <v>1x15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771</v>
      </c>
      <c r="D25" s="341"/>
      <c r="E25" s="342"/>
      <c r="G25" s="24"/>
      <c r="H25" s="25" t="s">
        <v>24</v>
      </c>
      <c r="I25" s="25" t="s">
        <v>745</v>
      </c>
      <c r="J25" s="26"/>
      <c r="L25" s="24"/>
      <c r="M25" s="25" t="s">
        <v>24</v>
      </c>
      <c r="N25" s="25" t="str">
        <f>I25</f>
        <v>2x15m</v>
      </c>
      <c r="O25" s="26"/>
      <c r="Q25" s="47"/>
      <c r="R25" s="48" t="s">
        <v>24</v>
      </c>
      <c r="S25" s="48" t="str">
        <f>I25</f>
        <v>2x15m</v>
      </c>
      <c r="T25" s="49"/>
    </row>
    <row r="26" spans="2:23" s="2" customFormat="1" ht="4.9000000000000004" customHeight="1" thickBot="1" x14ac:dyDescent="0.3">
      <c r="B26" s="74"/>
      <c r="Q26" s="50"/>
      <c r="R26" s="50"/>
      <c r="S26" s="50"/>
      <c r="T26" s="75"/>
    </row>
    <row r="27" spans="2:23" s="1" customFormat="1" ht="19.899999999999999" customHeight="1" x14ac:dyDescent="0.25">
      <c r="B27" s="9">
        <v>4</v>
      </c>
      <c r="C27" s="336" t="s">
        <v>222</v>
      </c>
      <c r="D27" s="336"/>
      <c r="E27" s="337"/>
      <c r="G27" s="21"/>
      <c r="H27" s="22" t="s">
        <v>24</v>
      </c>
      <c r="I27" s="22" t="s">
        <v>753</v>
      </c>
      <c r="J27" s="23"/>
      <c r="L27" s="21"/>
      <c r="M27" s="22" t="s">
        <v>24</v>
      </c>
      <c r="N27" s="22" t="str">
        <f>I27</f>
        <v>1x15</v>
      </c>
      <c r="O27" s="23"/>
      <c r="Q27" s="51"/>
      <c r="R27" s="53" t="s">
        <v>24</v>
      </c>
      <c r="S27" s="53" t="str">
        <f>I27</f>
        <v>1x15</v>
      </c>
      <c r="T27" s="54"/>
    </row>
    <row r="28" spans="2:23" s="1" customFormat="1" ht="19.899999999999999" customHeight="1" x14ac:dyDescent="0.25">
      <c r="B28" s="3">
        <v>5</v>
      </c>
      <c r="C28" s="343" t="s">
        <v>527</v>
      </c>
      <c r="D28" s="343"/>
      <c r="E28" s="344"/>
      <c r="G28" s="27"/>
      <c r="H28" s="28" t="s">
        <v>24</v>
      </c>
      <c r="I28" s="28" t="s">
        <v>753</v>
      </c>
      <c r="J28" s="29"/>
      <c r="L28" s="27"/>
      <c r="M28" s="28" t="s">
        <v>24</v>
      </c>
      <c r="N28" s="28" t="str">
        <f>I28</f>
        <v>1x15</v>
      </c>
      <c r="O28" s="29"/>
      <c r="Q28" s="55"/>
      <c r="R28" s="57" t="s">
        <v>24</v>
      </c>
      <c r="S28" s="28" t="str">
        <f>I28</f>
        <v>1x15</v>
      </c>
      <c r="T28" s="58"/>
    </row>
    <row r="29" spans="2:23" s="1" customFormat="1" ht="19.899999999999999" customHeight="1" thickBot="1" x14ac:dyDescent="0.3">
      <c r="B29" s="4">
        <v>6</v>
      </c>
      <c r="C29" s="341" t="s">
        <v>63</v>
      </c>
      <c r="D29" s="341"/>
      <c r="E29" s="342"/>
      <c r="G29" s="24"/>
      <c r="H29" s="25" t="s">
        <v>24</v>
      </c>
      <c r="I29" s="25" t="s">
        <v>753</v>
      </c>
      <c r="J29" s="26"/>
      <c r="L29" s="24"/>
      <c r="M29" s="25" t="s">
        <v>24</v>
      </c>
      <c r="N29" s="25" t="str">
        <f>I29</f>
        <v>1x15</v>
      </c>
      <c r="O29" s="26"/>
      <c r="Q29" s="47"/>
      <c r="R29" s="48" t="s">
        <v>24</v>
      </c>
      <c r="S29" s="48" t="str">
        <f>I29</f>
        <v>1x15</v>
      </c>
      <c r="T29" s="49"/>
    </row>
    <row r="30" spans="2:23" s="1" customFormat="1" ht="5.0999999999999996" customHeight="1" thickBot="1" x14ac:dyDescent="0.3">
      <c r="B30" s="4"/>
      <c r="C30" s="67"/>
      <c r="D30" s="67"/>
      <c r="E30" s="118"/>
      <c r="G30" s="4"/>
      <c r="H30" s="67"/>
      <c r="I30" s="67"/>
      <c r="J30" s="67"/>
      <c r="L30" s="67"/>
      <c r="M30" s="67"/>
      <c r="N30" s="67"/>
      <c r="O30" s="67"/>
      <c r="Q30" s="120"/>
      <c r="R30" s="120"/>
      <c r="S30" s="120"/>
      <c r="T30" s="121"/>
    </row>
    <row r="31" spans="2:23" s="2" customFormat="1" ht="18" customHeight="1" thickBot="1" x14ac:dyDescent="0.3">
      <c r="B31" s="338" t="s">
        <v>746</v>
      </c>
      <c r="C31" s="339"/>
      <c r="D31" s="339"/>
      <c r="E31" s="340"/>
      <c r="F31" s="119"/>
      <c r="G31" s="333"/>
      <c r="H31" s="334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5"/>
    </row>
    <row r="32" spans="2:23" s="1" customFormat="1" ht="19.899999999999999" customHeight="1" x14ac:dyDescent="0.25">
      <c r="B32" s="9">
        <v>7</v>
      </c>
      <c r="C32" s="336" t="s">
        <v>285</v>
      </c>
      <c r="D32" s="336"/>
      <c r="E32" s="337"/>
      <c r="G32" s="21"/>
      <c r="H32" s="22" t="s">
        <v>24</v>
      </c>
      <c r="I32" s="22" t="s">
        <v>753</v>
      </c>
      <c r="J32" s="23"/>
      <c r="L32" s="21"/>
      <c r="M32" s="22" t="s">
        <v>24</v>
      </c>
      <c r="N32" s="22" t="str">
        <f>I32</f>
        <v>1x15</v>
      </c>
      <c r="O32" s="23"/>
      <c r="Q32" s="51"/>
      <c r="R32" s="53" t="s">
        <v>24</v>
      </c>
      <c r="S32" s="53" t="str">
        <f>I32</f>
        <v>1x15</v>
      </c>
      <c r="T32" s="54"/>
    </row>
    <row r="33" spans="2:20" s="1" customFormat="1" ht="19.899999999999999" customHeight="1" x14ac:dyDescent="0.25">
      <c r="B33" s="3">
        <v>8</v>
      </c>
      <c r="C33" s="343" t="s">
        <v>226</v>
      </c>
      <c r="D33" s="343"/>
      <c r="E33" s="344"/>
      <c r="G33" s="27"/>
      <c r="H33" s="28" t="s">
        <v>24</v>
      </c>
      <c r="I33" s="28" t="s">
        <v>753</v>
      </c>
      <c r="J33" s="29"/>
      <c r="L33" s="27"/>
      <c r="M33" s="28" t="s">
        <v>24</v>
      </c>
      <c r="N33" s="28" t="str">
        <f>I33</f>
        <v>1x15</v>
      </c>
      <c r="O33" s="29"/>
      <c r="Q33" s="55"/>
      <c r="R33" s="57" t="s">
        <v>24</v>
      </c>
      <c r="S33" s="28" t="str">
        <f>I33</f>
        <v>1x15</v>
      </c>
      <c r="T33" s="58"/>
    </row>
    <row r="34" spans="2:20" s="1" customFormat="1" ht="19.899999999999999" customHeight="1" thickBot="1" x14ac:dyDescent="0.3">
      <c r="B34" s="4">
        <v>9</v>
      </c>
      <c r="C34" s="341" t="s">
        <v>440</v>
      </c>
      <c r="D34" s="341"/>
      <c r="E34" s="342"/>
      <c r="G34" s="24"/>
      <c r="H34" s="25" t="s">
        <v>24</v>
      </c>
      <c r="I34" s="25" t="s">
        <v>789</v>
      </c>
      <c r="J34" s="26"/>
      <c r="L34" s="24"/>
      <c r="M34" s="25" t="s">
        <v>24</v>
      </c>
      <c r="N34" s="25" t="str">
        <f>I34</f>
        <v>3x5 ea</v>
      </c>
      <c r="O34" s="26"/>
      <c r="Q34" s="47"/>
      <c r="R34" s="48" t="s">
        <v>24</v>
      </c>
      <c r="S34" s="48" t="str">
        <f>I34</f>
        <v>3x5 ea</v>
      </c>
      <c r="T34" s="49"/>
    </row>
    <row r="35" spans="2:20" s="2" customFormat="1" ht="4.9000000000000004" customHeight="1" thickBot="1" x14ac:dyDescent="0.3">
      <c r="B35" s="74"/>
      <c r="Q35" s="50"/>
      <c r="R35" s="50"/>
      <c r="S35" s="50"/>
      <c r="T35" s="75"/>
    </row>
    <row r="36" spans="2:20" s="1" customFormat="1" ht="19.899999999999999" customHeight="1" x14ac:dyDescent="0.25">
      <c r="B36" s="9">
        <v>10</v>
      </c>
      <c r="C36" s="336" t="s">
        <v>286</v>
      </c>
      <c r="D36" s="336"/>
      <c r="E36" s="337"/>
      <c r="G36" s="21"/>
      <c r="H36" s="22" t="s">
        <v>24</v>
      </c>
      <c r="I36" s="22" t="s">
        <v>753</v>
      </c>
      <c r="J36" s="23"/>
      <c r="L36" s="21"/>
      <c r="M36" s="22" t="s">
        <v>24</v>
      </c>
      <c r="N36" s="22" t="str">
        <f>I36</f>
        <v>1x15</v>
      </c>
      <c r="O36" s="23"/>
      <c r="Q36" s="21"/>
      <c r="R36" s="22" t="s">
        <v>24</v>
      </c>
      <c r="S36" s="53" t="str">
        <f>I36</f>
        <v>1x15</v>
      </c>
      <c r="T36" s="23"/>
    </row>
    <row r="37" spans="2:20" s="1" customFormat="1" ht="19.899999999999999" customHeight="1" x14ac:dyDescent="0.25">
      <c r="B37" s="3">
        <v>11</v>
      </c>
      <c r="C37" s="343" t="s">
        <v>541</v>
      </c>
      <c r="D37" s="343"/>
      <c r="E37" s="344"/>
      <c r="G37" s="27"/>
      <c r="H37" s="28" t="s">
        <v>24</v>
      </c>
      <c r="I37" s="28" t="s">
        <v>753</v>
      </c>
      <c r="J37" s="29"/>
      <c r="L37" s="27"/>
      <c r="M37" s="28" t="s">
        <v>24</v>
      </c>
      <c r="N37" s="28" t="str">
        <f>I37</f>
        <v>1x15</v>
      </c>
      <c r="O37" s="29"/>
      <c r="Q37" s="27"/>
      <c r="R37" s="28" t="s">
        <v>24</v>
      </c>
      <c r="S37" s="28" t="str">
        <f>I37</f>
        <v>1x15</v>
      </c>
      <c r="T37" s="29"/>
    </row>
    <row r="38" spans="2:20" s="1" customFormat="1" ht="19.899999999999999" customHeight="1" thickBot="1" x14ac:dyDescent="0.3">
      <c r="B38" s="4">
        <v>12</v>
      </c>
      <c r="C38" s="341" t="s">
        <v>287</v>
      </c>
      <c r="D38" s="341"/>
      <c r="E38" s="342"/>
      <c r="G38" s="24"/>
      <c r="H38" s="25" t="s">
        <v>24</v>
      </c>
      <c r="I38" s="25" t="s">
        <v>753</v>
      </c>
      <c r="J38" s="26"/>
      <c r="L38" s="24"/>
      <c r="M38" s="25" t="s">
        <v>24</v>
      </c>
      <c r="N38" s="25" t="str">
        <f>I38</f>
        <v>1x15</v>
      </c>
      <c r="O38" s="26"/>
      <c r="Q38" s="47"/>
      <c r="R38" s="48" t="s">
        <v>24</v>
      </c>
      <c r="S38" s="48" t="str">
        <f>I38</f>
        <v>1x15</v>
      </c>
      <c r="T38" s="49"/>
    </row>
    <row r="39" spans="2:20" s="1" customFormat="1" ht="5.0999999999999996" customHeight="1" thickBot="1" x14ac:dyDescent="0.3">
      <c r="B39" s="4"/>
      <c r="C39" s="67"/>
      <c r="D39" s="67"/>
      <c r="E39" s="118"/>
      <c r="G39" s="4"/>
      <c r="H39" s="67"/>
      <c r="I39" s="67"/>
      <c r="J39" s="67"/>
      <c r="L39" s="67"/>
      <c r="M39" s="67"/>
      <c r="N39" s="67"/>
      <c r="O39" s="67"/>
      <c r="Q39" s="120"/>
      <c r="R39" s="120"/>
      <c r="S39" s="120"/>
      <c r="T39" s="121"/>
    </row>
    <row r="40" spans="2:20" s="2" customFormat="1" ht="18" customHeight="1" thickBot="1" x14ac:dyDescent="0.3">
      <c r="B40" s="338" t="s">
        <v>382</v>
      </c>
      <c r="C40" s="339"/>
      <c r="D40" s="339"/>
      <c r="E40" s="340"/>
      <c r="G40" s="333"/>
      <c r="H40" s="334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5"/>
    </row>
    <row r="41" spans="2:20" s="1" customFormat="1" ht="19.899999999999999" customHeight="1" x14ac:dyDescent="0.25">
      <c r="B41" s="9">
        <v>13</v>
      </c>
      <c r="C41" s="336" t="s">
        <v>231</v>
      </c>
      <c r="D41" s="336"/>
      <c r="E41" s="337"/>
      <c r="G41" s="21"/>
      <c r="H41" s="22" t="s">
        <v>24</v>
      </c>
      <c r="I41" s="22" t="s">
        <v>232</v>
      </c>
      <c r="J41" s="23"/>
      <c r="L41" s="21"/>
      <c r="M41" s="22" t="s">
        <v>24</v>
      </c>
      <c r="N41" s="22" t="str">
        <f>I41</f>
        <v>1x45s</v>
      </c>
      <c r="O41" s="23"/>
      <c r="Q41" s="21"/>
      <c r="R41" s="22" t="s">
        <v>24</v>
      </c>
      <c r="S41" s="22" t="str">
        <f>N41</f>
        <v>1x45s</v>
      </c>
      <c r="T41" s="23"/>
    </row>
    <row r="42" spans="2:20" s="1" customFormat="1" ht="19.899999999999999" customHeight="1" x14ac:dyDescent="0.25">
      <c r="B42" s="3">
        <v>14</v>
      </c>
      <c r="C42" s="343" t="s">
        <v>547</v>
      </c>
      <c r="D42" s="343"/>
      <c r="E42" s="344"/>
      <c r="G42" s="27"/>
      <c r="H42" s="28" t="s">
        <v>24</v>
      </c>
      <c r="I42" s="28" t="s">
        <v>232</v>
      </c>
      <c r="J42" s="29"/>
      <c r="L42" s="27"/>
      <c r="M42" s="28" t="s">
        <v>24</v>
      </c>
      <c r="N42" s="28" t="str">
        <f>I42</f>
        <v>1x45s</v>
      </c>
      <c r="O42" s="29"/>
      <c r="Q42" s="27"/>
      <c r="R42" s="28" t="s">
        <v>24</v>
      </c>
      <c r="S42" s="28" t="str">
        <f>N42</f>
        <v>1x45s</v>
      </c>
      <c r="T42" s="29"/>
    </row>
    <row r="43" spans="2:20" s="1" customFormat="1" ht="19.899999999999999" customHeight="1" thickBot="1" x14ac:dyDescent="0.3">
      <c r="B43" s="4">
        <v>15</v>
      </c>
      <c r="C43" s="347" t="s">
        <v>384</v>
      </c>
      <c r="D43" s="347"/>
      <c r="E43" s="348"/>
      <c r="F43" s="67"/>
      <c r="G43" s="24"/>
      <c r="H43" s="25" t="s">
        <v>24</v>
      </c>
      <c r="I43" s="25" t="s">
        <v>232</v>
      </c>
      <c r="J43" s="26"/>
      <c r="K43" s="67"/>
      <c r="L43" s="24"/>
      <c r="M43" s="25" t="s">
        <v>24</v>
      </c>
      <c r="N43" s="25" t="str">
        <f>I43</f>
        <v>1x45s</v>
      </c>
      <c r="O43" s="26"/>
      <c r="P43" s="67"/>
      <c r="Q43" s="24"/>
      <c r="R43" s="25" t="s">
        <v>24</v>
      </c>
      <c r="S43" s="25" t="str">
        <f>N43</f>
        <v>1x45s</v>
      </c>
      <c r="T43" s="26"/>
    </row>
  </sheetData>
  <mergeCells count="44">
    <mergeCell ref="O2:T7"/>
    <mergeCell ref="M10:N10"/>
    <mergeCell ref="B12:T12"/>
    <mergeCell ref="B13:D13"/>
    <mergeCell ref="E13:F13"/>
    <mergeCell ref="G13:I13"/>
    <mergeCell ref="J13:M13"/>
    <mergeCell ref="N13:Q13"/>
    <mergeCell ref="R13:T13"/>
    <mergeCell ref="B17:E17"/>
    <mergeCell ref="B14:D14"/>
    <mergeCell ref="E14:F14"/>
    <mergeCell ref="G14:I14"/>
    <mergeCell ref="J14:M14"/>
    <mergeCell ref="B15:E16"/>
    <mergeCell ref="G15:T15"/>
    <mergeCell ref="H16:I16"/>
    <mergeCell ref="M16:N16"/>
    <mergeCell ref="R16:S16"/>
    <mergeCell ref="N14:Q14"/>
    <mergeCell ref="R14:T14"/>
    <mergeCell ref="G31:T31"/>
    <mergeCell ref="C18:E18"/>
    <mergeCell ref="C19:E19"/>
    <mergeCell ref="C20:E20"/>
    <mergeCell ref="B22:E22"/>
    <mergeCell ref="C23:E23"/>
    <mergeCell ref="C24:E24"/>
    <mergeCell ref="C38:E38"/>
    <mergeCell ref="C25:E25"/>
    <mergeCell ref="C27:E27"/>
    <mergeCell ref="C28:E28"/>
    <mergeCell ref="C29:E29"/>
    <mergeCell ref="B31:E31"/>
    <mergeCell ref="C32:E32"/>
    <mergeCell ref="C33:E33"/>
    <mergeCell ref="C34:E34"/>
    <mergeCell ref="C36:E36"/>
    <mergeCell ref="C37:E37"/>
    <mergeCell ref="B40:E40"/>
    <mergeCell ref="G40:T40"/>
    <mergeCell ref="C41:E41"/>
    <mergeCell ref="C42:E42"/>
    <mergeCell ref="C43:E43"/>
  </mergeCells>
  <dataValidations count="1">
    <dataValidation type="list" allowBlank="1" showInputMessage="1" showErrorMessage="1" sqref="H23:H25 M36:M39 R32:R34 R27:R30 R23:R25 H36:H39 M32:M34 M27:M30 M23:M25 H32:H34 H27:H30 H41:H43 M41:M43 R36:R39" xr:uid="{00000000-0002-0000-0F00-000000000000}">
      <formula1>$W$22:$W$24</formula1>
    </dataValidation>
  </dataValidation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00000000-0002-0000-0F00-000013000000}">
          <x14:formula1>
            <xm:f>' Unterkörper Progressionen '!$Z$2:$Z$17</xm:f>
          </x14:formula1>
          <xm:sqref>N28 S37 S33 N33 N37 S28</xm:sqref>
        </x14:dataValidation>
        <x14:dataValidation type="list" allowBlank="1" showInputMessage="1" showErrorMessage="1" xr:uid="{00000000-0002-0000-0F00-000014000000}">
          <x14:formula1>
            <xm:f>' Unterkörper Progressionen '!$Z:$Z</xm:f>
          </x14:formula1>
          <xm:sqref>I23:I24 I41:I43 I36:I39 I32:I34 I27:I30</xm:sqref>
        </x14:dataValidation>
        <x14:dataValidation type="list" allowBlank="1" showInputMessage="1" showErrorMessage="1" xr:uid="{00000000-0002-0000-0F00-000019000000}">
          <x14:formula1>
            <xm:f>' Unterkörper Progressionen '!$AA:$AA</xm:f>
          </x14:formula1>
          <xm:sqref>J19:J20</xm:sqref>
        </x14:dataValidation>
        <x14:dataValidation type="list" allowBlank="1" showInputMessage="1" showErrorMessage="1" xr:uid="{00000000-0002-0000-0F00-000001000000}">
          <x14:formula1>
            <xm:f>'Oberkörper Progressionen '!$Q:$Q</xm:f>
          </x14:formula1>
          <xm:sqref>C42:E42</xm:sqref>
        </x14:dataValidation>
        <x14:dataValidation type="list" allowBlank="1" showInputMessage="1" showErrorMessage="1" xr:uid="{00000000-0002-0000-0F00-000002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0F00-000003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0F00-000004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0F00-000005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0F00-000006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0F00-000007000000}">
          <x14:formula1>
            <xm:f>'Oberkörper Progressionen '!$N:$N</xm:f>
          </x14:formula1>
          <xm:sqref>C25:E25</xm:sqref>
        </x14:dataValidation>
        <x14:dataValidation type="list" allowBlank="1" showInputMessage="1" showErrorMessage="1" xr:uid="{00000000-0002-0000-0F00-000008000000}">
          <x14:formula1>
            <xm:f>'Oberkörper Progressionen '!$H:$H</xm:f>
          </x14:formula1>
          <xm:sqref>C27:E27</xm:sqref>
        </x14:dataValidation>
        <x14:dataValidation type="list" allowBlank="1" showInputMessage="1" showErrorMessage="1" xr:uid="{00000000-0002-0000-0F00-000009000000}">
          <x14:formula1>
            <xm:f>'Oberkörper Progressionen '!$I:$I</xm:f>
          </x14:formula1>
          <xm:sqref>C28:E28</xm:sqref>
        </x14:dataValidation>
        <x14:dataValidation type="list" allowBlank="1" showInputMessage="1" showErrorMessage="1" xr:uid="{00000000-0002-0000-0F00-00000A000000}">
          <x14:formula1>
            <xm:f>'Oberkörper Progressionen '!$G:$G</xm:f>
          </x14:formula1>
          <xm:sqref>C29:E30</xm:sqref>
        </x14:dataValidation>
        <x14:dataValidation type="list" allowBlank="1" showInputMessage="1" showErrorMessage="1" xr:uid="{00000000-0002-0000-0F00-00000B000000}">
          <x14:formula1>
            <xm:f>'Oberkörper Progressionen '!$L:$L</xm:f>
          </x14:formula1>
          <xm:sqref>C32:E32</xm:sqref>
        </x14:dataValidation>
        <x14:dataValidation type="list" allowBlank="1" showInputMessage="1" showErrorMessage="1" xr:uid="{00000000-0002-0000-0F00-00000C000000}">
          <x14:formula1>
            <xm:f>'Oberkörper Progressionen '!$M:$M</xm:f>
          </x14:formula1>
          <xm:sqref>C33:E33</xm:sqref>
        </x14:dataValidation>
        <x14:dataValidation type="list" allowBlank="1" showInputMessage="1" showErrorMessage="1" xr:uid="{00000000-0002-0000-0F00-00000D000000}">
          <x14:formula1>
            <xm:f>'Oberkörper Progressionen '!$J:$J</xm:f>
          </x14:formula1>
          <xm:sqref>C34:E34</xm:sqref>
        </x14:dataValidation>
        <x14:dataValidation type="list" allowBlank="1" showInputMessage="1" showErrorMessage="1" xr:uid="{00000000-0002-0000-0F00-00000E000000}">
          <x14:formula1>
            <xm:f>'Oberkörper Progressionen '!$O:$O</xm:f>
          </x14:formula1>
          <xm:sqref>C36:E36</xm:sqref>
        </x14:dataValidation>
        <x14:dataValidation type="list" allowBlank="1" showInputMessage="1" showErrorMessage="1" xr:uid="{00000000-0002-0000-0F00-00000F000000}">
          <x14:formula1>
            <xm:f>'Oberkörper Progressionen '!$P:$P</xm:f>
          </x14:formula1>
          <xm:sqref>C37:E37</xm:sqref>
        </x14:dataValidation>
        <x14:dataValidation type="list" allowBlank="1" showInputMessage="1" showErrorMessage="1" xr:uid="{00000000-0002-0000-0F00-000010000000}">
          <x14:formula1>
            <xm:f>'Oberkörper Progressionen '!$K:$K</xm:f>
          </x14:formula1>
          <xm:sqref>C38:E39</xm:sqref>
        </x14:dataValidation>
        <x14:dataValidation type="list" allowBlank="1" showInputMessage="1" showErrorMessage="1" xr:uid="{00000000-0002-0000-0F00-000011000000}">
          <x14:formula1>
            <xm:f>'Oberkörper Progressionen '!$R:$R</xm:f>
          </x14:formula1>
          <xm:sqref>C41:E41</xm:sqref>
        </x14:dataValidation>
        <x14:dataValidation type="list" allowBlank="1" showInputMessage="1" showErrorMessage="1" xr:uid="{00000000-0002-0000-0F00-000012000000}">
          <x14:formula1>
            <xm:f>'Oberkörper Progressionen '!$S:$S</xm:f>
          </x14:formula1>
          <xm:sqref>C43:E43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1:X53"/>
  <sheetViews>
    <sheetView topLeftCell="A17" zoomScale="90" zoomScaleNormal="90" workbookViewId="0">
      <selection activeCell="I50" sqref="I50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60" t="s">
        <v>216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60"/>
      <c r="E6" t="s">
        <v>2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ht="16.5" hidden="1" thickBot="1" x14ac:dyDescent="0.3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">
        <v>211</v>
      </c>
      <c r="C13" s="330"/>
      <c r="D13" s="330"/>
      <c r="E13" s="388" t="s">
        <v>772</v>
      </c>
      <c r="F13" s="389"/>
      <c r="G13" s="330" t="s">
        <v>53</v>
      </c>
      <c r="H13" s="330"/>
      <c r="I13" s="330"/>
      <c r="J13" s="330" t="s">
        <v>396</v>
      </c>
      <c r="K13" s="330"/>
      <c r="L13" s="330"/>
      <c r="M13" s="330"/>
      <c r="N13" s="330" t="s">
        <v>724</v>
      </c>
      <c r="O13" s="330"/>
      <c r="P13" s="330"/>
      <c r="Q13" s="330"/>
      <c r="R13" s="330" t="s">
        <v>375</v>
      </c>
      <c r="S13" s="330"/>
      <c r="T13" s="331"/>
    </row>
    <row r="14" spans="2:23" s="34" customFormat="1" ht="20.100000000000001" customHeight="1" thickBot="1" x14ac:dyDescent="0.3">
      <c r="B14" s="361" t="s">
        <v>715</v>
      </c>
      <c r="C14" s="329"/>
      <c r="D14" s="329"/>
      <c r="E14" s="386" t="s">
        <v>350</v>
      </c>
      <c r="F14" s="387"/>
      <c r="G14" s="329" t="s">
        <v>327</v>
      </c>
      <c r="H14" s="329"/>
      <c r="I14" s="329"/>
      <c r="J14" s="329" t="s">
        <v>367</v>
      </c>
      <c r="K14" s="329"/>
      <c r="L14" s="329"/>
      <c r="M14" s="329"/>
      <c r="N14" s="329" t="s">
        <v>83</v>
      </c>
      <c r="O14" s="329"/>
      <c r="P14" s="329"/>
      <c r="Q14" s="329"/>
      <c r="R14" s="329" t="s">
        <v>781</v>
      </c>
      <c r="S14" s="329"/>
      <c r="T14" s="332"/>
    </row>
    <row r="15" spans="2:23" ht="4.9000000000000004" hidden="1" customHeight="1" thickBot="1" x14ac:dyDescent="0.3">
      <c r="B15" s="8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6"/>
    </row>
    <row r="16" spans="2:23" ht="18" customHeight="1" thickBot="1" x14ac:dyDescent="0.3">
      <c r="B16" s="380" t="s">
        <v>399</v>
      </c>
      <c r="C16" s="381"/>
      <c r="D16" s="381"/>
      <c r="E16" s="382"/>
      <c r="F16" s="1"/>
      <c r="G16" s="338" t="s">
        <v>132</v>
      </c>
      <c r="H16" s="339"/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39"/>
      <c r="T16" s="340"/>
    </row>
    <row r="17" spans="2:24" ht="21.6" customHeight="1" thickBot="1" x14ac:dyDescent="0.3">
      <c r="B17" s="383"/>
      <c r="C17" s="384"/>
      <c r="D17" s="384"/>
      <c r="E17" s="385"/>
      <c r="F17" s="1"/>
      <c r="G17" s="71" t="s">
        <v>162</v>
      </c>
      <c r="H17" s="358" t="s">
        <v>50</v>
      </c>
      <c r="I17" s="359"/>
      <c r="J17" s="72" t="s">
        <v>163</v>
      </c>
      <c r="K17" s="65"/>
      <c r="L17" s="71" t="s">
        <v>164</v>
      </c>
      <c r="M17" s="358" t="s">
        <v>49</v>
      </c>
      <c r="N17" s="359"/>
      <c r="O17" s="72" t="s">
        <v>166</v>
      </c>
      <c r="P17" s="65"/>
      <c r="Q17" s="72" t="s">
        <v>165</v>
      </c>
      <c r="R17" s="358" t="s">
        <v>51</v>
      </c>
      <c r="S17" s="359"/>
      <c r="T17" s="72" t="s">
        <v>167</v>
      </c>
      <c r="W17" s="36"/>
      <c r="X17" s="1"/>
    </row>
    <row r="18" spans="2:24" ht="18" customHeight="1" thickBot="1" x14ac:dyDescent="0.3">
      <c r="B18" s="338" t="s">
        <v>18</v>
      </c>
      <c r="C18" s="339"/>
      <c r="D18" s="339"/>
      <c r="E18" s="340"/>
      <c r="F18" s="73"/>
      <c r="G18" s="15" t="s">
        <v>19</v>
      </c>
      <c r="H18" s="16" t="s">
        <v>20</v>
      </c>
      <c r="I18" s="16" t="s">
        <v>21</v>
      </c>
      <c r="J18" s="17" t="s">
        <v>22</v>
      </c>
      <c r="K18" s="1"/>
      <c r="L18" s="15" t="s">
        <v>19</v>
      </c>
      <c r="M18" s="16" t="s">
        <v>20</v>
      </c>
      <c r="N18" s="16" t="s">
        <v>21</v>
      </c>
      <c r="O18" s="17" t="s">
        <v>22</v>
      </c>
      <c r="P18" s="1"/>
      <c r="Q18" s="41" t="s">
        <v>19</v>
      </c>
      <c r="R18" s="42" t="s">
        <v>20</v>
      </c>
      <c r="S18" s="42" t="s">
        <v>21</v>
      </c>
      <c r="T18" s="43" t="s">
        <v>22</v>
      </c>
      <c r="W18" s="37"/>
      <c r="X18" s="1"/>
    </row>
    <row r="19" spans="2:24" s="1" customFormat="1" ht="19.899999999999999" customHeight="1" x14ac:dyDescent="0.25">
      <c r="B19" s="9">
        <v>1</v>
      </c>
      <c r="C19" s="336" t="s">
        <v>114</v>
      </c>
      <c r="D19" s="336"/>
      <c r="E19" s="337"/>
      <c r="G19" s="18" t="s">
        <v>23</v>
      </c>
      <c r="H19" s="19"/>
      <c r="I19" s="19" t="s">
        <v>25</v>
      </c>
      <c r="J19" s="20" t="s">
        <v>27</v>
      </c>
      <c r="L19" s="18" t="s">
        <v>23</v>
      </c>
      <c r="M19" s="19"/>
      <c r="N19" s="19" t="s">
        <v>25</v>
      </c>
      <c r="O19" s="20" t="s">
        <v>27</v>
      </c>
      <c r="Q19" s="44" t="s">
        <v>23</v>
      </c>
      <c r="R19" s="45"/>
      <c r="S19" s="45" t="s">
        <v>25</v>
      </c>
      <c r="T19" s="46" t="s">
        <v>27</v>
      </c>
      <c r="W19" s="36"/>
    </row>
    <row r="20" spans="2:24" s="1" customFormat="1" ht="19.899999999999999" customHeight="1" x14ac:dyDescent="0.25">
      <c r="B20" s="3">
        <v>2</v>
      </c>
      <c r="C20" s="343" t="s">
        <v>121</v>
      </c>
      <c r="D20" s="343"/>
      <c r="E20" s="344"/>
      <c r="G20" s="68" t="s">
        <v>23</v>
      </c>
      <c r="H20" s="69"/>
      <c r="I20" s="69" t="s">
        <v>25</v>
      </c>
      <c r="J20" s="70" t="s">
        <v>759</v>
      </c>
      <c r="L20" s="68" t="s">
        <v>23</v>
      </c>
      <c r="M20" s="69"/>
      <c r="N20" s="69" t="s">
        <v>25</v>
      </c>
      <c r="O20" s="70" t="str">
        <f>J20</f>
        <v>2kg</v>
      </c>
      <c r="Q20" s="68" t="s">
        <v>23</v>
      </c>
      <c r="R20" s="69"/>
      <c r="S20" s="69" t="s">
        <v>25</v>
      </c>
      <c r="T20" s="70" t="str">
        <f>J20</f>
        <v>2kg</v>
      </c>
      <c r="W20" s="36"/>
    </row>
    <row r="21" spans="2:24" s="1" customFormat="1" ht="19.899999999999999" customHeight="1" thickBot="1" x14ac:dyDescent="0.3">
      <c r="B21" s="4">
        <v>3</v>
      </c>
      <c r="C21" s="341" t="s">
        <v>120</v>
      </c>
      <c r="D21" s="341"/>
      <c r="E21" s="342"/>
      <c r="G21" s="24" t="s">
        <v>23</v>
      </c>
      <c r="H21" s="25"/>
      <c r="I21" s="25" t="s">
        <v>25</v>
      </c>
      <c r="J21" s="26" t="s">
        <v>759</v>
      </c>
      <c r="L21" s="24" t="s">
        <v>23</v>
      </c>
      <c r="M21" s="25"/>
      <c r="N21" s="25" t="s">
        <v>25</v>
      </c>
      <c r="O21" s="26" t="str">
        <f>J21</f>
        <v>2kg</v>
      </c>
      <c r="Q21" s="47" t="s">
        <v>23</v>
      </c>
      <c r="R21" s="48"/>
      <c r="S21" s="48" t="s">
        <v>25</v>
      </c>
      <c r="T21" s="49" t="str">
        <f>J21</f>
        <v>2kg</v>
      </c>
    </row>
    <row r="22" spans="2:24" s="2" customFormat="1" ht="4.9000000000000004" customHeight="1" thickBot="1" x14ac:dyDescent="0.3">
      <c r="B22" s="74"/>
      <c r="Q22" s="50"/>
      <c r="R22" s="50"/>
      <c r="S22" s="50"/>
      <c r="T22" s="75"/>
      <c r="X22" s="1"/>
    </row>
    <row r="23" spans="2:24" s="1" customFormat="1" ht="18" customHeight="1" thickBot="1" x14ac:dyDescent="0.3">
      <c r="B23" s="338" t="s">
        <v>379</v>
      </c>
      <c r="C23" s="339"/>
      <c r="D23" s="339"/>
      <c r="E23" s="340"/>
      <c r="G23" s="129" t="s">
        <v>22</v>
      </c>
      <c r="H23" s="130" t="s">
        <v>20</v>
      </c>
      <c r="I23" s="130" t="s">
        <v>21</v>
      </c>
      <c r="J23" s="131" t="s">
        <v>22</v>
      </c>
      <c r="L23" s="129" t="str">
        <f>G23</f>
        <v>WEIGHT</v>
      </c>
      <c r="M23" s="130" t="s">
        <v>20</v>
      </c>
      <c r="N23" s="130" t="s">
        <v>21</v>
      </c>
      <c r="O23" s="131" t="s">
        <v>22</v>
      </c>
      <c r="Q23" s="132" t="str">
        <f>L23</f>
        <v>WEIGHT</v>
      </c>
      <c r="R23" s="133" t="s">
        <v>20</v>
      </c>
      <c r="S23" s="133" t="s">
        <v>21</v>
      </c>
      <c r="T23" s="134" t="s">
        <v>22</v>
      </c>
    </row>
    <row r="24" spans="2:24" s="1" customFormat="1" ht="19.899999999999999" customHeight="1" x14ac:dyDescent="0.25">
      <c r="B24" s="9">
        <v>1</v>
      </c>
      <c r="C24" s="336" t="s">
        <v>419</v>
      </c>
      <c r="D24" s="336"/>
      <c r="E24" s="337"/>
      <c r="G24" s="21"/>
      <c r="H24" s="30" t="s">
        <v>24</v>
      </c>
      <c r="I24" s="22" t="s">
        <v>655</v>
      </c>
      <c r="J24" s="23"/>
      <c r="L24" s="21"/>
      <c r="M24" s="30" t="s">
        <v>24</v>
      </c>
      <c r="N24" s="22" t="str">
        <f>I24</f>
        <v>1x10</v>
      </c>
      <c r="O24" s="23"/>
      <c r="Q24" s="51"/>
      <c r="R24" s="52" t="s">
        <v>24</v>
      </c>
      <c r="S24" s="22" t="str">
        <f>N24</f>
        <v>1x10</v>
      </c>
      <c r="T24" s="54"/>
    </row>
    <row r="25" spans="2:24" s="1" customFormat="1" ht="19.899999999999999" customHeight="1" x14ac:dyDescent="0.25">
      <c r="B25" s="3">
        <v>2</v>
      </c>
      <c r="C25" s="343" t="s">
        <v>183</v>
      </c>
      <c r="D25" s="343"/>
      <c r="E25" s="344"/>
      <c r="G25" s="27"/>
      <c r="H25" s="31" t="s">
        <v>24</v>
      </c>
      <c r="I25" s="28" t="s">
        <v>655</v>
      </c>
      <c r="J25" s="29"/>
      <c r="L25" s="27"/>
      <c r="M25" s="31" t="s">
        <v>24</v>
      </c>
      <c r="N25" s="28" t="str">
        <f>I25</f>
        <v>1x10</v>
      </c>
      <c r="O25" s="29"/>
      <c r="Q25" s="55"/>
      <c r="R25" s="56" t="s">
        <v>24</v>
      </c>
      <c r="S25" s="28" t="str">
        <f>N25</f>
        <v>1x10</v>
      </c>
      <c r="T25" s="58"/>
    </row>
    <row r="26" spans="2:24" s="1" customFormat="1" ht="19.899999999999999" customHeight="1" thickBot="1" x14ac:dyDescent="0.3">
      <c r="B26" s="4">
        <v>3</v>
      </c>
      <c r="C26" s="341" t="s">
        <v>687</v>
      </c>
      <c r="D26" s="341"/>
      <c r="E26" s="342"/>
      <c r="G26" s="24"/>
      <c r="H26" s="32" t="s">
        <v>24</v>
      </c>
      <c r="I26" s="25" t="s">
        <v>655</v>
      </c>
      <c r="J26" s="26"/>
      <c r="L26" s="24"/>
      <c r="M26" s="32" t="s">
        <v>24</v>
      </c>
      <c r="N26" s="25" t="str">
        <f>I26</f>
        <v>1x10</v>
      </c>
      <c r="O26" s="26"/>
      <c r="Q26" s="47"/>
      <c r="R26" s="59" t="s">
        <v>24</v>
      </c>
      <c r="S26" s="25" t="str">
        <f>N26</f>
        <v>1x10</v>
      </c>
      <c r="T26" s="49"/>
    </row>
    <row r="27" spans="2:24" s="2" customFormat="1" ht="4.9000000000000004" customHeight="1" thickBot="1" x14ac:dyDescent="0.3">
      <c r="B27" s="74"/>
      <c r="Q27" s="50"/>
      <c r="R27" s="50"/>
      <c r="S27" s="50"/>
      <c r="T27" s="75"/>
    </row>
    <row r="28" spans="2:24" s="1" customFormat="1" ht="19.899999999999999" customHeight="1" x14ac:dyDescent="0.25">
      <c r="B28" s="9">
        <v>4</v>
      </c>
      <c r="C28" s="336" t="s">
        <v>88</v>
      </c>
      <c r="D28" s="336"/>
      <c r="E28" s="337"/>
      <c r="G28" s="21"/>
      <c r="H28" s="30" t="s">
        <v>24</v>
      </c>
      <c r="I28" s="22" t="s">
        <v>655</v>
      </c>
      <c r="J28" s="23"/>
      <c r="L28" s="21"/>
      <c r="M28" s="30" t="s">
        <v>24</v>
      </c>
      <c r="N28" s="22" t="str">
        <f>I28</f>
        <v>1x10</v>
      </c>
      <c r="O28" s="23"/>
      <c r="Q28" s="51"/>
      <c r="R28" s="52" t="s">
        <v>24</v>
      </c>
      <c r="S28" s="22" t="str">
        <f>N28</f>
        <v>1x10</v>
      </c>
      <c r="T28" s="54"/>
    </row>
    <row r="29" spans="2:24" s="1" customFormat="1" ht="19.899999999999999" customHeight="1" x14ac:dyDescent="0.25">
      <c r="B29" s="3">
        <v>5</v>
      </c>
      <c r="C29" s="343" t="s">
        <v>196</v>
      </c>
      <c r="D29" s="343"/>
      <c r="E29" s="344"/>
      <c r="G29" s="27"/>
      <c r="H29" s="31" t="s">
        <v>24</v>
      </c>
      <c r="I29" s="28" t="s">
        <v>655</v>
      </c>
      <c r="J29" s="29"/>
      <c r="L29" s="27"/>
      <c r="M29" s="31" t="s">
        <v>24</v>
      </c>
      <c r="N29" s="28" t="str">
        <f>I29</f>
        <v>1x10</v>
      </c>
      <c r="O29" s="29"/>
      <c r="Q29" s="55"/>
      <c r="R29" s="56" t="s">
        <v>24</v>
      </c>
      <c r="S29" s="28" t="str">
        <f>N29</f>
        <v>1x10</v>
      </c>
      <c r="T29" s="58"/>
    </row>
    <row r="30" spans="2:24" s="1" customFormat="1" ht="19.899999999999999" customHeight="1" thickBot="1" x14ac:dyDescent="0.3">
      <c r="B30" s="4">
        <v>6</v>
      </c>
      <c r="C30" s="341" t="s">
        <v>94</v>
      </c>
      <c r="D30" s="341"/>
      <c r="E30" s="342"/>
      <c r="G30" s="24"/>
      <c r="H30" s="32" t="s">
        <v>24</v>
      </c>
      <c r="I30" s="25" t="s">
        <v>749</v>
      </c>
      <c r="J30" s="26"/>
      <c r="L30" s="24"/>
      <c r="M30" s="32" t="s">
        <v>24</v>
      </c>
      <c r="N30" s="25" t="str">
        <f>I30</f>
        <v>3x10s ea</v>
      </c>
      <c r="O30" s="26"/>
      <c r="Q30" s="47"/>
      <c r="R30" s="59" t="s">
        <v>24</v>
      </c>
      <c r="S30" s="25" t="str">
        <f>N30</f>
        <v>3x10s ea</v>
      </c>
      <c r="T30" s="49"/>
    </row>
    <row r="31" spans="2:24" s="1" customFormat="1" ht="5.0999999999999996" customHeight="1" thickBot="1" x14ac:dyDescent="0.3">
      <c r="B31" s="4"/>
      <c r="C31" s="67"/>
      <c r="D31" s="67"/>
      <c r="E31" s="118"/>
      <c r="G31" s="4"/>
      <c r="H31" s="122"/>
      <c r="I31" s="67"/>
      <c r="J31" s="67"/>
      <c r="L31" s="67"/>
      <c r="M31" s="122"/>
      <c r="N31" s="67"/>
      <c r="O31" s="67"/>
      <c r="Q31" s="120"/>
      <c r="R31" s="123"/>
      <c r="S31" s="67"/>
      <c r="T31" s="121"/>
    </row>
    <row r="32" spans="2:24" s="2" customFormat="1" ht="18" customHeight="1" thickBot="1" x14ac:dyDescent="0.3">
      <c r="B32" s="338" t="s">
        <v>741</v>
      </c>
      <c r="C32" s="339"/>
      <c r="D32" s="339"/>
      <c r="E32" s="340"/>
      <c r="F32" s="119"/>
      <c r="G32" s="124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6"/>
    </row>
    <row r="33" spans="2:22" s="1" customFormat="1" ht="19.899999999999999" customHeight="1" x14ac:dyDescent="0.25">
      <c r="B33" s="9">
        <v>7</v>
      </c>
      <c r="C33" s="336" t="s">
        <v>788</v>
      </c>
      <c r="D33" s="336"/>
      <c r="E33" s="337"/>
      <c r="G33" s="21"/>
      <c r="H33" s="30" t="s">
        <v>24</v>
      </c>
      <c r="I33" s="22" t="s">
        <v>655</v>
      </c>
      <c r="J33" s="23"/>
      <c r="L33" s="21"/>
      <c r="M33" s="30" t="s">
        <v>24</v>
      </c>
      <c r="N33" s="22" t="str">
        <f>I33</f>
        <v>1x10</v>
      </c>
      <c r="O33" s="23"/>
      <c r="Q33" s="51"/>
      <c r="R33" s="52" t="s">
        <v>24</v>
      </c>
      <c r="S33" s="22" t="str">
        <f>I33</f>
        <v>1x10</v>
      </c>
      <c r="T33" s="54"/>
    </row>
    <row r="34" spans="2:22" s="1" customFormat="1" ht="19.899999999999999" customHeight="1" x14ac:dyDescent="0.25">
      <c r="B34" s="3">
        <v>8</v>
      </c>
      <c r="C34" s="343" t="s">
        <v>458</v>
      </c>
      <c r="D34" s="343"/>
      <c r="E34" s="344"/>
      <c r="G34" s="27"/>
      <c r="H34" s="31" t="s">
        <v>24</v>
      </c>
      <c r="I34" s="28" t="s">
        <v>789</v>
      </c>
      <c r="J34" s="29"/>
      <c r="L34" s="27"/>
      <c r="M34" s="31" t="s">
        <v>24</v>
      </c>
      <c r="N34" s="28" t="str">
        <f>I34</f>
        <v>3x5 ea</v>
      </c>
      <c r="O34" s="29"/>
      <c r="Q34" s="55"/>
      <c r="R34" s="56" t="s">
        <v>24</v>
      </c>
      <c r="S34" s="28" t="str">
        <f>N34</f>
        <v>3x5 ea</v>
      </c>
      <c r="T34" s="58"/>
    </row>
    <row r="35" spans="2:22" s="1" customFormat="1" ht="19.899999999999999" customHeight="1" thickBot="1" x14ac:dyDescent="0.3">
      <c r="B35" s="4">
        <v>9</v>
      </c>
      <c r="C35" s="341" t="s">
        <v>442</v>
      </c>
      <c r="D35" s="341"/>
      <c r="E35" s="342"/>
      <c r="G35" s="24"/>
      <c r="H35" s="32" t="s">
        <v>24</v>
      </c>
      <c r="I35" s="25" t="s">
        <v>655</v>
      </c>
      <c r="J35" s="26"/>
      <c r="L35" s="24"/>
      <c r="M35" s="32" t="s">
        <v>24</v>
      </c>
      <c r="N35" s="25" t="str">
        <f>I35</f>
        <v>1x10</v>
      </c>
      <c r="O35" s="26"/>
      <c r="Q35" s="47"/>
      <c r="R35" s="59" t="s">
        <v>24</v>
      </c>
      <c r="S35" s="25" t="str">
        <f>N35</f>
        <v>1x10</v>
      </c>
      <c r="T35" s="49"/>
    </row>
    <row r="36" spans="2:22" s="2" customFormat="1" ht="4.9000000000000004" customHeight="1" thickBot="1" x14ac:dyDescent="0.3">
      <c r="B36" s="74"/>
      <c r="Q36" s="50"/>
      <c r="R36" s="50"/>
      <c r="S36" s="50"/>
      <c r="T36" s="75"/>
    </row>
    <row r="37" spans="2:22" s="1" customFormat="1" ht="19.899999999999999" customHeight="1" x14ac:dyDescent="0.25">
      <c r="B37" s="9">
        <v>10</v>
      </c>
      <c r="C37" s="336" t="s">
        <v>447</v>
      </c>
      <c r="D37" s="336"/>
      <c r="E37" s="337"/>
      <c r="G37" s="21"/>
      <c r="H37" s="30" t="s">
        <v>24</v>
      </c>
      <c r="I37" s="22" t="s">
        <v>655</v>
      </c>
      <c r="J37" s="23"/>
      <c r="L37" s="21"/>
      <c r="M37" s="30" t="s">
        <v>24</v>
      </c>
      <c r="N37" s="22" t="str">
        <f>I37</f>
        <v>1x10</v>
      </c>
      <c r="O37" s="23"/>
      <c r="Q37" s="51"/>
      <c r="R37" s="52" t="s">
        <v>24</v>
      </c>
      <c r="S37" s="22" t="str">
        <f>N37</f>
        <v>1x10</v>
      </c>
      <c r="T37" s="54"/>
    </row>
    <row r="38" spans="2:22" s="1" customFormat="1" ht="19.899999999999999" customHeight="1" x14ac:dyDescent="0.25">
      <c r="B38" s="3">
        <v>11</v>
      </c>
      <c r="C38" s="343" t="s">
        <v>457</v>
      </c>
      <c r="D38" s="343"/>
      <c r="E38" s="344"/>
      <c r="G38" s="27"/>
      <c r="H38" s="31" t="s">
        <v>24</v>
      </c>
      <c r="I38" s="28" t="s">
        <v>749</v>
      </c>
      <c r="J38" s="29"/>
      <c r="L38" s="27"/>
      <c r="M38" s="31" t="s">
        <v>24</v>
      </c>
      <c r="N38" s="28" t="str">
        <f>I38</f>
        <v>3x10s ea</v>
      </c>
      <c r="O38" s="29"/>
      <c r="Q38" s="55"/>
      <c r="R38" s="56" t="s">
        <v>24</v>
      </c>
      <c r="S38" s="28" t="str">
        <f>N38</f>
        <v>3x10s ea</v>
      </c>
      <c r="T38" s="58"/>
    </row>
    <row r="39" spans="2:22" s="1" customFormat="1" ht="19.899999999999999" customHeight="1" thickBot="1" x14ac:dyDescent="0.3">
      <c r="B39" s="4">
        <v>12</v>
      </c>
      <c r="C39" s="341" t="s">
        <v>472</v>
      </c>
      <c r="D39" s="341"/>
      <c r="E39" s="342"/>
      <c r="G39" s="24"/>
      <c r="H39" s="32" t="s">
        <v>24</v>
      </c>
      <c r="I39" s="25" t="s">
        <v>655</v>
      </c>
      <c r="J39" s="26"/>
      <c r="L39" s="24"/>
      <c r="M39" s="32" t="s">
        <v>24</v>
      </c>
      <c r="N39" s="25" t="str">
        <f>I39</f>
        <v>1x10</v>
      </c>
      <c r="O39" s="26"/>
      <c r="Q39" s="47"/>
      <c r="R39" s="59" t="s">
        <v>24</v>
      </c>
      <c r="S39" s="25" t="str">
        <f>N39</f>
        <v>1x10</v>
      </c>
      <c r="T39" s="49"/>
    </row>
    <row r="40" spans="2:22" s="1" customFormat="1" ht="5.0999999999999996" customHeight="1" thickBot="1" x14ac:dyDescent="0.3">
      <c r="B40" s="4"/>
      <c r="C40" s="67"/>
      <c r="D40" s="67"/>
      <c r="E40" s="118"/>
      <c r="G40" s="4"/>
      <c r="H40" s="122"/>
      <c r="I40" s="67"/>
      <c r="J40" s="67"/>
      <c r="L40" s="67"/>
      <c r="M40" s="122"/>
      <c r="N40" s="67"/>
      <c r="O40" s="67"/>
      <c r="Q40" s="120"/>
      <c r="R40" s="123"/>
      <c r="S40" s="67"/>
      <c r="T40" s="121"/>
    </row>
    <row r="41" spans="2:22" s="2" customFormat="1" ht="18" customHeight="1" thickBot="1" x14ac:dyDescent="0.3">
      <c r="B41" s="338" t="s">
        <v>383</v>
      </c>
      <c r="C41" s="339"/>
      <c r="D41" s="339"/>
      <c r="E41" s="340"/>
      <c r="G41" s="333"/>
      <c r="H41" s="334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5"/>
    </row>
    <row r="42" spans="2:22" s="1" customFormat="1" ht="19.899999999999999" customHeight="1" x14ac:dyDescent="0.25">
      <c r="B42" s="9">
        <v>13</v>
      </c>
      <c r="C42" s="336" t="s">
        <v>205</v>
      </c>
      <c r="D42" s="336"/>
      <c r="E42" s="337"/>
      <c r="G42" s="21"/>
      <c r="H42" s="30" t="s">
        <v>24</v>
      </c>
      <c r="I42" s="22" t="s">
        <v>233</v>
      </c>
      <c r="J42" s="23"/>
      <c r="L42" s="21"/>
      <c r="M42" s="30" t="s">
        <v>24</v>
      </c>
      <c r="N42" s="22" t="str">
        <f>I42</f>
        <v>1x60s</v>
      </c>
      <c r="O42" s="23"/>
      <c r="Q42" s="51"/>
      <c r="R42" s="52" t="s">
        <v>24</v>
      </c>
      <c r="S42" s="53" t="str">
        <f>N42</f>
        <v>1x60s</v>
      </c>
      <c r="T42" s="54"/>
    </row>
    <row r="43" spans="2:22" s="1" customFormat="1" ht="19.899999999999999" customHeight="1" x14ac:dyDescent="0.25">
      <c r="B43" s="3">
        <v>14</v>
      </c>
      <c r="C43" s="345" t="s">
        <v>47</v>
      </c>
      <c r="D43" s="345"/>
      <c r="E43" s="346"/>
      <c r="G43" s="27"/>
      <c r="H43" s="31" t="s">
        <v>24</v>
      </c>
      <c r="I43" s="28" t="s">
        <v>233</v>
      </c>
      <c r="J43" s="29"/>
      <c r="L43" s="27"/>
      <c r="M43" s="31" t="s">
        <v>24</v>
      </c>
      <c r="N43" s="28" t="str">
        <f>I43</f>
        <v>1x60s</v>
      </c>
      <c r="O43" s="29"/>
      <c r="Q43" s="55"/>
      <c r="R43" s="56" t="s">
        <v>24</v>
      </c>
      <c r="S43" s="57" t="str">
        <f>N43</f>
        <v>1x60s</v>
      </c>
      <c r="T43" s="58"/>
    </row>
    <row r="44" spans="2:22" s="1" customFormat="1" ht="19.899999999999999" customHeight="1" thickBot="1" x14ac:dyDescent="0.3">
      <c r="B44" s="4">
        <v>15</v>
      </c>
      <c r="C44" s="347" t="s">
        <v>365</v>
      </c>
      <c r="D44" s="347"/>
      <c r="E44" s="348"/>
      <c r="F44" s="67"/>
      <c r="G44" s="24"/>
      <c r="H44" s="32" t="s">
        <v>24</v>
      </c>
      <c r="I44" s="25" t="s">
        <v>233</v>
      </c>
      <c r="J44" s="26"/>
      <c r="K44" s="67"/>
      <c r="L44" s="24"/>
      <c r="M44" s="32" t="s">
        <v>24</v>
      </c>
      <c r="N44" s="25" t="str">
        <f>I44</f>
        <v>1x60s</v>
      </c>
      <c r="O44" s="26"/>
      <c r="P44" s="67"/>
      <c r="Q44" s="47"/>
      <c r="R44" s="59" t="s">
        <v>24</v>
      </c>
      <c r="S44" s="48" t="str">
        <f>N44</f>
        <v>1x60s</v>
      </c>
      <c r="T44" s="49"/>
    </row>
    <row r="45" spans="2:22" s="2" customFormat="1" ht="4.9000000000000004" customHeight="1" x14ac:dyDescent="0.25">
      <c r="Q45" s="50"/>
      <c r="R45" s="50"/>
      <c r="S45" s="50"/>
      <c r="T45" s="50"/>
    </row>
    <row r="46" spans="2:22" x14ac:dyDescent="0.25">
      <c r="V46" s="1"/>
    </row>
    <row r="47" spans="2:22" x14ac:dyDescent="0.25">
      <c r="V47" s="1"/>
    </row>
    <row r="48" spans="2:22" x14ac:dyDescent="0.25">
      <c r="V48" s="1"/>
    </row>
    <row r="49" spans="22:22" x14ac:dyDescent="0.25">
      <c r="V49" s="1"/>
    </row>
    <row r="50" spans="22:22" x14ac:dyDescent="0.25">
      <c r="V50" s="1"/>
    </row>
    <row r="51" spans="22:22" x14ac:dyDescent="0.25">
      <c r="V51" s="1"/>
    </row>
    <row r="52" spans="22:22" x14ac:dyDescent="0.25">
      <c r="V52" s="1"/>
    </row>
    <row r="53" spans="22:22" x14ac:dyDescent="0.25">
      <c r="V53" s="1"/>
    </row>
  </sheetData>
  <mergeCells count="44">
    <mergeCell ref="O2:T7"/>
    <mergeCell ref="E10:G10"/>
    <mergeCell ref="I10:L10"/>
    <mergeCell ref="B12:T12"/>
    <mergeCell ref="B13:D13"/>
    <mergeCell ref="E13:F13"/>
    <mergeCell ref="G13:I13"/>
    <mergeCell ref="J13:M13"/>
    <mergeCell ref="N13:Q13"/>
    <mergeCell ref="R13:T13"/>
    <mergeCell ref="B18:E18"/>
    <mergeCell ref="B14:D14"/>
    <mergeCell ref="E14:F14"/>
    <mergeCell ref="G14:I14"/>
    <mergeCell ref="J14:M14"/>
    <mergeCell ref="B16:E17"/>
    <mergeCell ref="G16:T16"/>
    <mergeCell ref="H17:I17"/>
    <mergeCell ref="M17:N17"/>
    <mergeCell ref="R17:S17"/>
    <mergeCell ref="N14:Q14"/>
    <mergeCell ref="R14:T14"/>
    <mergeCell ref="C33:E33"/>
    <mergeCell ref="C19:E19"/>
    <mergeCell ref="C20:E20"/>
    <mergeCell ref="C21:E21"/>
    <mergeCell ref="B23:E23"/>
    <mergeCell ref="C24:E24"/>
    <mergeCell ref="C25:E25"/>
    <mergeCell ref="C26:E26"/>
    <mergeCell ref="C28:E28"/>
    <mergeCell ref="C29:E29"/>
    <mergeCell ref="C30:E30"/>
    <mergeCell ref="B32:E32"/>
    <mergeCell ref="G41:T41"/>
    <mergeCell ref="C42:E42"/>
    <mergeCell ref="C43:E43"/>
    <mergeCell ref="C44:E44"/>
    <mergeCell ref="C34:E34"/>
    <mergeCell ref="C35:E35"/>
    <mergeCell ref="C37:E37"/>
    <mergeCell ref="C38:E38"/>
    <mergeCell ref="C39:E39"/>
    <mergeCell ref="B41:E41"/>
  </mergeCell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1" showErrorMessage="1" xr:uid="{00000000-0002-0000-1000-000000000000}">
          <x14:formula1>
            <xm:f>'Warm Up'!$L:$L</xm:f>
          </x14:formula1>
          <xm:sqref>N14</xm:sqref>
        </x14:dataValidation>
        <x14:dataValidation type="list" allowBlank="1" showInputMessage="1" showErrorMessage="1" xr:uid="{00000000-0002-0000-1000-000001000000}">
          <x14:formula1>
            <xm:f>'Warm Up'!$F:$F</xm:f>
          </x14:formula1>
          <xm:sqref>N13</xm:sqref>
        </x14:dataValidation>
        <x14:dataValidation type="list" allowBlank="1" showInputMessage="1" showErrorMessage="1" xr:uid="{00000000-0002-0000-1000-000002000000}">
          <x14:formula1>
            <xm:f>'Warm Up'!$K:$K</xm:f>
          </x14:formula1>
          <xm:sqref>J14</xm:sqref>
        </x14:dataValidation>
        <x14:dataValidation type="list" allowBlank="1" showInputMessage="1" showErrorMessage="1" xr:uid="{00000000-0002-0000-1000-000003000000}">
          <x14:formula1>
            <xm:f>'Warm Up'!$E:$E</xm:f>
          </x14:formula1>
          <xm:sqref>J13</xm:sqref>
        </x14:dataValidation>
        <x14:dataValidation type="list" allowBlank="1" showInputMessage="1" showErrorMessage="1" xr:uid="{00000000-0002-0000-1000-000004000000}">
          <x14:formula1>
            <xm:f>'Warm Up'!$J:$J</xm:f>
          </x14:formula1>
          <xm:sqref>G14</xm:sqref>
        </x14:dataValidation>
        <x14:dataValidation type="list" allowBlank="1" showInputMessage="1" showErrorMessage="1" xr:uid="{00000000-0002-0000-1000-000005000000}">
          <x14:formula1>
            <xm:f>'Warm Up'!$D:$D</xm:f>
          </x14:formula1>
          <xm:sqref>G13</xm:sqref>
        </x14:dataValidation>
        <x14:dataValidation type="list" allowBlank="1" showInputMessage="1" showErrorMessage="1" xr:uid="{00000000-0002-0000-1000-000006000000}">
          <x14:formula1>
            <xm:f>'Warm Up'!$M:$M</xm:f>
          </x14:formula1>
          <xm:sqref>R14:T14</xm:sqref>
        </x14:dataValidation>
        <x14:dataValidation type="list" allowBlank="1" showInputMessage="1" showErrorMessage="1" xr:uid="{00000000-0002-0000-1000-000007000000}">
          <x14:formula1>
            <xm:f>'Warm Up'!$I:$I</xm:f>
          </x14:formula1>
          <xm:sqref>E14</xm:sqref>
        </x14:dataValidation>
        <x14:dataValidation type="list" allowBlank="1" showInputMessage="1" showErrorMessage="1" xr:uid="{00000000-0002-0000-1000-000008000000}">
          <x14:formula1>
            <xm:f>'Warm Up'!$H:$H</xm:f>
          </x14:formula1>
          <xm:sqref>B14:D14</xm:sqref>
        </x14:dataValidation>
        <x14:dataValidation type="list" allowBlank="1" showInputMessage="1" showErrorMessage="1" xr:uid="{00000000-0002-0000-1000-000009000000}">
          <x14:formula1>
            <xm:f>'Warm Up'!$G:$G</xm:f>
          </x14:formula1>
          <xm:sqref>R13:T13</xm:sqref>
        </x14:dataValidation>
        <x14:dataValidation type="list" allowBlank="1" showInputMessage="1" showErrorMessage="1" xr:uid="{00000000-0002-0000-1000-00000A000000}">
          <x14:formula1>
            <xm:f>'Warm Up'!$C:$C</xm:f>
          </x14:formula1>
          <xm:sqref>E13</xm:sqref>
        </x14:dataValidation>
        <x14:dataValidation type="list" allowBlank="1" showInputMessage="1" showErrorMessage="1" xr:uid="{00000000-0002-0000-1000-00000B000000}">
          <x14:formula1>
            <xm:f>'Warm Up'!$B:$B</xm:f>
          </x14:formula1>
          <xm:sqref>B13:D13</xm:sqref>
        </x14:dataValidation>
        <x14:dataValidation type="list" allowBlank="1" showInputMessage="1" showErrorMessage="1" xr:uid="{00000000-0002-0000-1000-00000C000000}">
          <x14:formula1>
            <xm:f>'Warm Up'!$A:$A</xm:f>
          </x14:formula1>
          <xm:sqref>B16:E17</xm:sqref>
        </x14:dataValidation>
        <x14:dataValidation type="list" allowBlank="1" showInputMessage="1" showErrorMessage="1" xr:uid="{00000000-0002-0000-1000-00000D000000}">
          <x14:formula1>
            <xm:f>' Unterkörper Progressionen '!$W:$W</xm:f>
          </x14:formula1>
          <xm:sqref>C44:E44</xm:sqref>
        </x14:dataValidation>
        <x14:dataValidation type="list" allowBlank="1" showInputMessage="1" showErrorMessage="1" xr:uid="{00000000-0002-0000-1000-00000E000000}">
          <x14:formula1>
            <xm:f>' Unterkörper Progressionen '!$V:$V</xm:f>
          </x14:formula1>
          <xm:sqref>C43:E43</xm:sqref>
        </x14:dataValidation>
        <x14:dataValidation type="list" allowBlank="1" showInputMessage="1" showErrorMessage="1" xr:uid="{00000000-0002-0000-1000-00000F000000}">
          <x14:formula1>
            <xm:f>' Unterkörper Progressionen '!$U:$U</xm:f>
          </x14:formula1>
          <xm:sqref>C42:E42</xm:sqref>
        </x14:dataValidation>
        <x14:dataValidation type="list" allowBlank="1" showInputMessage="1" showErrorMessage="1" xr:uid="{00000000-0002-0000-1000-000010000000}">
          <x14:formula1>
            <xm:f>' Unterkörper Progressionen '!$S:$S</xm:f>
          </x14:formula1>
          <xm:sqref>C39:E39</xm:sqref>
        </x14:dataValidation>
        <x14:dataValidation type="list" allowBlank="1" showInputMessage="1" showErrorMessage="1" xr:uid="{00000000-0002-0000-1000-000011000000}">
          <x14:formula1>
            <xm:f>' Unterkörper Progressionen '!$R:$R</xm:f>
          </x14:formula1>
          <xm:sqref>C38:E38</xm:sqref>
        </x14:dataValidation>
        <x14:dataValidation type="list" allowBlank="1" showInputMessage="1" showErrorMessage="1" xr:uid="{00000000-0002-0000-1000-000012000000}">
          <x14:formula1>
            <xm:f>' Unterkörper Progressionen '!$Q:$Q</xm:f>
          </x14:formula1>
          <xm:sqref>C37:E37</xm:sqref>
        </x14:dataValidation>
        <x14:dataValidation type="list" allowBlank="1" showInputMessage="1" showErrorMessage="1" xr:uid="{00000000-0002-0000-1000-000013000000}">
          <x14:formula1>
            <xm:f>' Unterkörper Progressionen '!$P:$P</xm:f>
          </x14:formula1>
          <xm:sqref>C35:E35</xm:sqref>
        </x14:dataValidation>
        <x14:dataValidation type="list" allowBlank="1" showInputMessage="1" showErrorMessage="1" xr:uid="{00000000-0002-0000-1000-000014000000}">
          <x14:formula1>
            <xm:f>' Unterkörper Progressionen '!$M:$M</xm:f>
          </x14:formula1>
          <xm:sqref>C34:E34</xm:sqref>
        </x14:dataValidation>
        <x14:dataValidation type="list" allowBlank="1" showInputMessage="1" showErrorMessage="1" xr:uid="{00000000-0002-0000-1000-000015000000}">
          <x14:formula1>
            <xm:f>' Unterkörper Progressionen '!$L:$L</xm:f>
          </x14:formula1>
          <xm:sqref>C33:E33</xm:sqref>
        </x14:dataValidation>
        <x14:dataValidation type="list" allowBlank="1" showInputMessage="1" showErrorMessage="1" xr:uid="{00000000-0002-0000-1000-000016000000}">
          <x14:formula1>
            <xm:f>' Unterkörper Progressionen '!$J:$J</xm:f>
          </x14:formula1>
          <xm:sqref>C30:E30</xm:sqref>
        </x14:dataValidation>
        <x14:dataValidation type="list" allowBlank="1" showInputMessage="1" showErrorMessage="1" xr:uid="{00000000-0002-0000-1000-000017000000}">
          <x14:formula1>
            <xm:f>' Unterkörper Progressionen '!$I:$I</xm:f>
          </x14:formula1>
          <xm:sqref>C29:E29</xm:sqref>
        </x14:dataValidation>
        <x14:dataValidation type="list" allowBlank="1" showInputMessage="1" showErrorMessage="1" xr:uid="{00000000-0002-0000-1000-000018000000}">
          <x14:formula1>
            <xm:f>' Unterkörper Progressionen '!$H:$H</xm:f>
          </x14:formula1>
          <xm:sqref>C28:E28</xm:sqref>
        </x14:dataValidation>
        <x14:dataValidation type="list" allowBlank="1" showInputMessage="1" showErrorMessage="1" xr:uid="{00000000-0002-0000-1000-000019000000}">
          <x14:formula1>
            <xm:f>' Unterkörper Progressionen '!$G:$G</xm:f>
          </x14:formula1>
          <xm:sqref>C26:E26</xm:sqref>
        </x14:dataValidation>
        <x14:dataValidation type="list" allowBlank="1" showInputMessage="1" showErrorMessage="1" xr:uid="{00000000-0002-0000-1000-00001A000000}">
          <x14:formula1>
            <xm:f>' Unterkörper Progressionen '!$F:$F</xm:f>
          </x14:formula1>
          <xm:sqref>C25:E25</xm:sqref>
        </x14:dataValidation>
        <x14:dataValidation type="list" allowBlank="1" showInputMessage="1" showErrorMessage="1" xr:uid="{00000000-0002-0000-1000-00001B000000}">
          <x14:formula1>
            <xm:f>' Unterkörper Progressionen '!$E:$E</xm:f>
          </x14:formula1>
          <xm:sqref>C24:E24</xm:sqref>
        </x14:dataValidation>
        <x14:dataValidation type="list" allowBlank="1" showInputMessage="1" showErrorMessage="1" xr:uid="{00000000-0002-0000-1000-00001C000000}">
          <x14:formula1>
            <xm:f>' Unterkörper Progressionen '!$D:$D</xm:f>
          </x14:formula1>
          <xm:sqref>C21:E21</xm:sqref>
        </x14:dataValidation>
        <x14:dataValidation type="list" allowBlank="1" showInputMessage="1" showErrorMessage="1" xr:uid="{00000000-0002-0000-1000-00001D000000}">
          <x14:formula1>
            <xm:f>' Unterkörper Progressionen '!$C:$C</xm:f>
          </x14:formula1>
          <xm:sqref>C20:E20</xm:sqref>
        </x14:dataValidation>
        <x14:dataValidation type="list" allowBlank="1" showInputMessage="1" showErrorMessage="1" xr:uid="{00000000-0002-0000-1000-00001E000000}">
          <x14:formula1>
            <xm:f>' Unterkörper Progressionen '!$B:$B</xm:f>
          </x14:formula1>
          <xm:sqref>C19:E19</xm:sqref>
        </x14:dataValidation>
        <x14:dataValidation type="list" allowBlank="1" showInputMessage="1" showErrorMessage="1" xr:uid="{00000000-0002-0000-1000-00001F000000}">
          <x14:formula1>
            <xm:f>' Unterkörper Progressionen '!$AA:$AA</xm:f>
          </x14:formula1>
          <xm:sqref>J20</xm:sqref>
        </x14:dataValidation>
        <x14:dataValidation type="list" allowBlank="1" showInputMessage="1" showErrorMessage="1" xr:uid="{00000000-0002-0000-1000-000020000000}">
          <x14:formula1>
            <xm:f>' Unterkörper Progressionen '!$Z:$Z</xm:f>
          </x14:formula1>
          <xm:sqref>I42:I44 I24:I26 I28:I31 I37:I40 I33:I35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1:W43"/>
  <sheetViews>
    <sheetView topLeftCell="A12" zoomScale="94" zoomScaleNormal="100" workbookViewId="0">
      <selection activeCell="H34" sqref="H34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W4" s="2"/>
    </row>
    <row r="5" spans="2:23" x14ac:dyDescent="0.25">
      <c r="B5" s="7"/>
      <c r="C5" s="76" t="str">
        <f>[1]Unterkörperplan!C5</f>
        <v>NAME</v>
      </c>
      <c r="I5" s="12"/>
      <c r="O5" s="343"/>
      <c r="P5" s="343"/>
      <c r="Q5" s="343"/>
      <c r="R5" s="343"/>
      <c r="S5" s="343"/>
      <c r="T5" s="344"/>
      <c r="U5" s="2"/>
      <c r="W5" s="2"/>
    </row>
    <row r="6" spans="2:23" x14ac:dyDescent="0.25">
      <c r="B6" s="7"/>
      <c r="C6" s="76"/>
      <c r="E6" t="s">
        <v>2</v>
      </c>
      <c r="O6" s="343"/>
      <c r="P6" s="343"/>
      <c r="Q6" s="343"/>
      <c r="R6" s="343"/>
      <c r="S6" s="343"/>
      <c r="T6" s="344"/>
      <c r="U6" s="2"/>
      <c r="W6" s="2"/>
    </row>
    <row r="7" spans="2:23" x14ac:dyDescent="0.25">
      <c r="B7" s="7"/>
      <c r="C7" s="76"/>
      <c r="O7" s="343"/>
      <c r="P7" s="343"/>
      <c r="Q7" s="343"/>
      <c r="R7" s="343"/>
      <c r="S7" s="343"/>
      <c r="T7" s="344"/>
      <c r="U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W9" s="2"/>
    </row>
    <row r="10" spans="2:23" ht="16.5" hidden="1" thickBot="1" x14ac:dyDescent="0.3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1" customFormat="1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tr">
        <f>Unterkörper3!B13</f>
        <v>BALANCE - TGU - POST TO HIGH PELVIS</v>
      </c>
      <c r="C13" s="330"/>
      <c r="D13" s="330"/>
      <c r="E13" s="388" t="str">
        <f>Unterkörper3!E13</f>
        <v>LOADED SIDE CRAWL</v>
      </c>
      <c r="F13" s="389"/>
      <c r="G13" s="330" t="str">
        <f>Unterkörper3!G13</f>
        <v>1KB BOTTOM-UP WAITER CARRY</v>
      </c>
      <c r="H13" s="330"/>
      <c r="I13" s="330"/>
      <c r="J13" s="330" t="str">
        <f>Unterkörper3!J13</f>
        <v>KB GOBLET SQUAT</v>
      </c>
      <c r="K13" s="330"/>
      <c r="L13" s="330"/>
      <c r="M13" s="330"/>
      <c r="N13" s="330" t="str">
        <f>Unterkörper3!N13</f>
        <v>1-ARM 1KB SUITCASE DEADLIFT</v>
      </c>
      <c r="O13" s="330"/>
      <c r="P13" s="330"/>
      <c r="Q13" s="330"/>
      <c r="R13" s="330" t="str">
        <f>Unterkörper3!R13</f>
        <v>LANDMINE 1-LEG DEADLIFT</v>
      </c>
      <c r="S13" s="330"/>
      <c r="T13" s="331"/>
    </row>
    <row r="14" spans="2:23" s="34" customFormat="1" ht="20.100000000000001" customHeight="1" thickBot="1" x14ac:dyDescent="0.3">
      <c r="B14" s="361" t="str">
        <f>Unterkörper3!B14</f>
        <v>LOADED ANKLE ROCKERS WIPERS</v>
      </c>
      <c r="C14" s="329"/>
      <c r="D14" s="329"/>
      <c r="E14" s="386" t="str">
        <f>Unterkörper3!E14</f>
        <v>ANKLE POS. 1 45 SEC</v>
      </c>
      <c r="F14" s="387"/>
      <c r="G14" s="329" t="str">
        <f>Unterkörper3!G14</f>
        <v>LOADED ANKLE BOUNDS</v>
      </c>
      <c r="H14" s="329"/>
      <c r="I14" s="329"/>
      <c r="J14" s="329" t="str">
        <f>Unterkörper3!J14</f>
        <v>LOADED 1-LEG A-SKIP</v>
      </c>
      <c r="K14" s="329"/>
      <c r="L14" s="329"/>
      <c r="M14" s="329"/>
      <c r="N14" s="329" t="str">
        <f>Unterkörper3!N14</f>
        <v xml:space="preserve">REACTIVE 1-LEG LATERAL HOP - TO BOX (NCM) </v>
      </c>
      <c r="O14" s="329"/>
      <c r="P14" s="329"/>
      <c r="Q14" s="329"/>
      <c r="R14" s="329" t="str">
        <f>Unterkörper3!R14</f>
        <v>LOADED SQUAT JUMP - DC</v>
      </c>
      <c r="S14" s="329"/>
      <c r="T14" s="332"/>
    </row>
    <row r="15" spans="2:23" ht="16.5" thickBot="1" x14ac:dyDescent="0.3">
      <c r="B15" s="380" t="str">
        <f>Unterkörper3!B16</f>
        <v>LEVEL 3</v>
      </c>
      <c r="C15" s="381"/>
      <c r="D15" s="381"/>
      <c r="E15" s="382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83"/>
      <c r="C16" s="384"/>
      <c r="D16" s="384"/>
      <c r="E16" s="385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8" customHeight="1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279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247</v>
      </c>
      <c r="D19" s="343"/>
      <c r="E19" s="344"/>
      <c r="G19" s="68" t="s">
        <v>23</v>
      </c>
      <c r="H19" s="69"/>
      <c r="I19" s="69" t="s">
        <v>25</v>
      </c>
      <c r="J19" s="70" t="s">
        <v>759</v>
      </c>
      <c r="L19" s="68" t="s">
        <v>23</v>
      </c>
      <c r="M19" s="69"/>
      <c r="N19" s="69" t="s">
        <v>25</v>
      </c>
      <c r="O19" s="70" t="str">
        <f>J19</f>
        <v>2kg</v>
      </c>
      <c r="Q19" s="77" t="s">
        <v>23</v>
      </c>
      <c r="R19" s="78"/>
      <c r="S19" s="78" t="s">
        <v>25</v>
      </c>
      <c r="T19" s="79" t="str">
        <f>J19</f>
        <v>2kg</v>
      </c>
    </row>
    <row r="20" spans="2:23" s="1" customFormat="1" ht="19.899999999999999" customHeight="1" thickBot="1" x14ac:dyDescent="0.3">
      <c r="B20" s="4">
        <v>3</v>
      </c>
      <c r="C20" s="341" t="s">
        <v>245</v>
      </c>
      <c r="D20" s="341"/>
      <c r="E20" s="342"/>
      <c r="G20" s="24" t="s">
        <v>23</v>
      </c>
      <c r="H20" s="25"/>
      <c r="I20" s="25" t="s">
        <v>25</v>
      </c>
      <c r="J20" s="26" t="s">
        <v>759</v>
      </c>
      <c r="L20" s="24" t="s">
        <v>23</v>
      </c>
      <c r="M20" s="25"/>
      <c r="N20" s="25" t="s">
        <v>25</v>
      </c>
      <c r="O20" s="26" t="str">
        <f>J20</f>
        <v>2kg</v>
      </c>
      <c r="Q20" s="47" t="s">
        <v>23</v>
      </c>
      <c r="R20" s="48"/>
      <c r="S20" s="48" t="s">
        <v>25</v>
      </c>
      <c r="T20" s="49" t="str">
        <f>J20</f>
        <v>2kg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8" customHeight="1" thickBot="1" x14ac:dyDescent="0.3">
      <c r="B22" s="338" t="s">
        <v>381</v>
      </c>
      <c r="C22" s="339"/>
      <c r="D22" s="339"/>
      <c r="E22" s="340"/>
      <c r="G22" s="129" t="s">
        <v>22</v>
      </c>
      <c r="H22" s="130" t="s">
        <v>20</v>
      </c>
      <c r="I22" s="130" t="s">
        <v>21</v>
      </c>
      <c r="J22" s="131" t="s">
        <v>22</v>
      </c>
      <c r="L22" s="129" t="str">
        <f>G22</f>
        <v>WEIGHT</v>
      </c>
      <c r="M22" s="130" t="s">
        <v>20</v>
      </c>
      <c r="N22" s="130" t="s">
        <v>21</v>
      </c>
      <c r="O22" s="131" t="s">
        <v>22</v>
      </c>
      <c r="Q22" s="132" t="str">
        <f>L22</f>
        <v>WEIGHT</v>
      </c>
      <c r="R22" s="133" t="s">
        <v>20</v>
      </c>
      <c r="S22" s="133" t="s">
        <v>21</v>
      </c>
      <c r="T22" s="134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516</v>
      </c>
      <c r="D23" s="336"/>
      <c r="E23" s="337"/>
      <c r="G23" s="21"/>
      <c r="H23" s="22" t="s">
        <v>24</v>
      </c>
      <c r="I23" s="28" t="s">
        <v>655</v>
      </c>
      <c r="J23" s="23"/>
      <c r="L23" s="21"/>
      <c r="M23" s="22" t="s">
        <v>24</v>
      </c>
      <c r="N23" s="22" t="str">
        <f>I23</f>
        <v>1x10</v>
      </c>
      <c r="O23" s="23"/>
      <c r="Q23" s="51"/>
      <c r="R23" s="53" t="s">
        <v>24</v>
      </c>
      <c r="S23" s="53" t="str">
        <f>I23</f>
        <v>1x10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276</v>
      </c>
      <c r="D24" s="343"/>
      <c r="E24" s="344"/>
      <c r="G24" s="27"/>
      <c r="H24" s="28" t="s">
        <v>24</v>
      </c>
      <c r="I24" s="28" t="s">
        <v>655</v>
      </c>
      <c r="J24" s="29"/>
      <c r="L24" s="27"/>
      <c r="M24" s="28" t="s">
        <v>24</v>
      </c>
      <c r="N24" s="28" t="str">
        <f>I24</f>
        <v>1x10</v>
      </c>
      <c r="O24" s="29"/>
      <c r="Q24" s="55"/>
      <c r="R24" s="57" t="s">
        <v>24</v>
      </c>
      <c r="S24" s="57" t="str">
        <f>I24</f>
        <v>1x10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772</v>
      </c>
      <c r="D25" s="341"/>
      <c r="E25" s="342"/>
      <c r="G25" s="24"/>
      <c r="H25" s="25" t="s">
        <v>24</v>
      </c>
      <c r="I25" s="25" t="s">
        <v>745</v>
      </c>
      <c r="J25" s="26"/>
      <c r="L25" s="24"/>
      <c r="M25" s="25" t="s">
        <v>24</v>
      </c>
      <c r="N25" s="25" t="str">
        <f>I25</f>
        <v>2x15m</v>
      </c>
      <c r="O25" s="26"/>
      <c r="Q25" s="47"/>
      <c r="R25" s="48" t="s">
        <v>24</v>
      </c>
      <c r="S25" s="48" t="str">
        <f>I25</f>
        <v>2x15m</v>
      </c>
      <c r="T25" s="49"/>
    </row>
    <row r="26" spans="2:23" s="2" customFormat="1" ht="4.9000000000000004" customHeight="1" thickBot="1" x14ac:dyDescent="0.3">
      <c r="B26" s="74"/>
      <c r="Q26" s="50"/>
      <c r="R26" s="50"/>
      <c r="S26" s="50"/>
      <c r="T26" s="75"/>
    </row>
    <row r="27" spans="2:23" s="1" customFormat="1" ht="19.899999999999999" customHeight="1" x14ac:dyDescent="0.25">
      <c r="B27" s="9">
        <v>4</v>
      </c>
      <c r="C27" s="336" t="s">
        <v>222</v>
      </c>
      <c r="D27" s="336"/>
      <c r="E27" s="337"/>
      <c r="G27" s="21"/>
      <c r="H27" s="22" t="s">
        <v>24</v>
      </c>
      <c r="I27" s="22" t="s">
        <v>655</v>
      </c>
      <c r="J27" s="23"/>
      <c r="L27" s="21"/>
      <c r="M27" s="22" t="s">
        <v>24</v>
      </c>
      <c r="N27" s="22" t="str">
        <f>I27</f>
        <v>1x10</v>
      </c>
      <c r="O27" s="23"/>
      <c r="Q27" s="51"/>
      <c r="R27" s="53" t="s">
        <v>24</v>
      </c>
      <c r="S27" s="53" t="str">
        <f>I27</f>
        <v>1x10</v>
      </c>
      <c r="T27" s="54"/>
    </row>
    <row r="28" spans="2:23" s="1" customFormat="1" ht="19.899999999999999" customHeight="1" x14ac:dyDescent="0.25">
      <c r="B28" s="3">
        <v>5</v>
      </c>
      <c r="C28" s="343" t="s">
        <v>533</v>
      </c>
      <c r="D28" s="343"/>
      <c r="E28" s="344"/>
      <c r="G28" s="27"/>
      <c r="H28" s="28" t="s">
        <v>24</v>
      </c>
      <c r="I28" s="28" t="s">
        <v>655</v>
      </c>
      <c r="J28" s="29"/>
      <c r="L28" s="27"/>
      <c r="M28" s="28" t="s">
        <v>24</v>
      </c>
      <c r="N28" s="28" t="str">
        <f>I28</f>
        <v>1x10</v>
      </c>
      <c r="O28" s="29"/>
      <c r="Q28" s="55"/>
      <c r="R28" s="57" t="s">
        <v>24</v>
      </c>
      <c r="S28" s="28" t="str">
        <f>I28</f>
        <v>1x10</v>
      </c>
      <c r="T28" s="58"/>
    </row>
    <row r="29" spans="2:23" s="1" customFormat="1" ht="19.899999999999999" customHeight="1" thickBot="1" x14ac:dyDescent="0.3">
      <c r="B29" s="4">
        <v>6</v>
      </c>
      <c r="C29" s="341" t="s">
        <v>687</v>
      </c>
      <c r="D29" s="341"/>
      <c r="E29" s="342"/>
      <c r="G29" s="24"/>
      <c r="H29" s="25" t="s">
        <v>24</v>
      </c>
      <c r="I29" s="25" t="s">
        <v>655</v>
      </c>
      <c r="J29" s="26"/>
      <c r="L29" s="24"/>
      <c r="M29" s="25" t="s">
        <v>24</v>
      </c>
      <c r="N29" s="25" t="str">
        <f>I29</f>
        <v>1x10</v>
      </c>
      <c r="O29" s="26"/>
      <c r="Q29" s="47"/>
      <c r="R29" s="48" t="s">
        <v>24</v>
      </c>
      <c r="S29" s="48" t="str">
        <f>I29</f>
        <v>1x10</v>
      </c>
      <c r="T29" s="49"/>
    </row>
    <row r="30" spans="2:23" s="1" customFormat="1" ht="5.0999999999999996" customHeight="1" thickBot="1" x14ac:dyDescent="0.3">
      <c r="B30" s="4"/>
      <c r="C30" s="67"/>
      <c r="D30" s="67"/>
      <c r="E30" s="118"/>
      <c r="G30" s="4"/>
      <c r="H30" s="67"/>
      <c r="I30" s="67"/>
      <c r="J30" s="67"/>
      <c r="L30" s="67"/>
      <c r="M30" s="67"/>
      <c r="N30" s="67"/>
      <c r="O30" s="67"/>
      <c r="Q30" s="120"/>
      <c r="R30" s="120"/>
      <c r="S30" s="120"/>
      <c r="T30" s="121"/>
    </row>
    <row r="31" spans="2:23" s="2" customFormat="1" ht="18" customHeight="1" thickBot="1" x14ac:dyDescent="0.3">
      <c r="B31" s="338" t="s">
        <v>746</v>
      </c>
      <c r="C31" s="339"/>
      <c r="D31" s="339"/>
      <c r="E31" s="340"/>
      <c r="F31" s="119"/>
      <c r="G31" s="333"/>
      <c r="H31" s="334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5"/>
    </row>
    <row r="32" spans="2:23" s="1" customFormat="1" ht="19.899999999999999" customHeight="1" x14ac:dyDescent="0.25">
      <c r="B32" s="9">
        <v>7</v>
      </c>
      <c r="C32" s="336" t="s">
        <v>285</v>
      </c>
      <c r="D32" s="336"/>
      <c r="E32" s="337"/>
      <c r="G32" s="21"/>
      <c r="H32" s="22" t="s">
        <v>24</v>
      </c>
      <c r="I32" s="22" t="s">
        <v>655</v>
      </c>
      <c r="J32" s="23"/>
      <c r="L32" s="21"/>
      <c r="M32" s="22" t="s">
        <v>24</v>
      </c>
      <c r="N32" s="22" t="str">
        <f>I32</f>
        <v>1x10</v>
      </c>
      <c r="O32" s="23"/>
      <c r="Q32" s="51"/>
      <c r="R32" s="53" t="s">
        <v>24</v>
      </c>
      <c r="S32" s="53" t="str">
        <f>I32</f>
        <v>1x10</v>
      </c>
      <c r="T32" s="54"/>
    </row>
    <row r="33" spans="2:20" s="1" customFormat="1" ht="19.899999999999999" customHeight="1" x14ac:dyDescent="0.25">
      <c r="B33" s="3">
        <v>8</v>
      </c>
      <c r="C33" s="343" t="s">
        <v>226</v>
      </c>
      <c r="D33" s="343"/>
      <c r="E33" s="344"/>
      <c r="G33" s="27"/>
      <c r="H33" s="28" t="s">
        <v>24</v>
      </c>
      <c r="I33" s="28" t="s">
        <v>655</v>
      </c>
      <c r="J33" s="29"/>
      <c r="L33" s="27"/>
      <c r="M33" s="28" t="s">
        <v>24</v>
      </c>
      <c r="N33" s="28" t="str">
        <f>I33</f>
        <v>1x10</v>
      </c>
      <c r="O33" s="29"/>
      <c r="Q33" s="55"/>
      <c r="R33" s="57" t="s">
        <v>24</v>
      </c>
      <c r="S33" s="28" t="str">
        <f>I33</f>
        <v>1x10</v>
      </c>
      <c r="T33" s="58"/>
    </row>
    <row r="34" spans="2:20" s="1" customFormat="1" ht="19.899999999999999" customHeight="1" thickBot="1" x14ac:dyDescent="0.3">
      <c r="B34" s="4">
        <v>9</v>
      </c>
      <c r="C34" s="341" t="s">
        <v>433</v>
      </c>
      <c r="D34" s="341"/>
      <c r="E34" s="342"/>
      <c r="G34" s="24"/>
      <c r="H34" s="25" t="s">
        <v>24</v>
      </c>
      <c r="I34" s="25" t="s">
        <v>749</v>
      </c>
      <c r="J34" s="26"/>
      <c r="L34" s="24"/>
      <c r="M34" s="25" t="s">
        <v>24</v>
      </c>
      <c r="N34" s="25" t="str">
        <f>I34</f>
        <v>3x10s ea</v>
      </c>
      <c r="O34" s="26"/>
      <c r="Q34" s="47"/>
      <c r="R34" s="48" t="s">
        <v>24</v>
      </c>
      <c r="S34" s="48" t="str">
        <f>I34</f>
        <v>3x10s ea</v>
      </c>
      <c r="T34" s="49"/>
    </row>
    <row r="35" spans="2:20" s="2" customFormat="1" ht="4.9000000000000004" customHeight="1" thickBot="1" x14ac:dyDescent="0.3">
      <c r="B35" s="74"/>
      <c r="Q35" s="50"/>
      <c r="R35" s="50"/>
      <c r="S35" s="50"/>
      <c r="T35" s="75"/>
    </row>
    <row r="36" spans="2:20" s="1" customFormat="1" ht="19.899999999999999" customHeight="1" x14ac:dyDescent="0.25">
      <c r="B36" s="9">
        <v>10</v>
      </c>
      <c r="C36" s="336" t="s">
        <v>286</v>
      </c>
      <c r="D36" s="336"/>
      <c r="E36" s="337"/>
      <c r="G36" s="21"/>
      <c r="H36" s="22" t="s">
        <v>24</v>
      </c>
      <c r="I36" s="22" t="s">
        <v>655</v>
      </c>
      <c r="J36" s="23"/>
      <c r="L36" s="21"/>
      <c r="M36" s="22" t="s">
        <v>24</v>
      </c>
      <c r="N36" s="22" t="str">
        <f>I36</f>
        <v>1x10</v>
      </c>
      <c r="O36" s="23"/>
      <c r="Q36" s="21"/>
      <c r="R36" s="22" t="s">
        <v>24</v>
      </c>
      <c r="S36" s="53" t="str">
        <f>I36</f>
        <v>1x10</v>
      </c>
      <c r="T36" s="23"/>
    </row>
    <row r="37" spans="2:20" s="1" customFormat="1" ht="19.899999999999999" customHeight="1" x14ac:dyDescent="0.25">
      <c r="B37" s="3">
        <v>11</v>
      </c>
      <c r="C37" s="343" t="s">
        <v>545</v>
      </c>
      <c r="D37" s="343"/>
      <c r="E37" s="344"/>
      <c r="G37" s="27"/>
      <c r="H37" s="28" t="s">
        <v>24</v>
      </c>
      <c r="I37" s="28" t="s">
        <v>655</v>
      </c>
      <c r="J37" s="29"/>
      <c r="L37" s="27"/>
      <c r="M37" s="28" t="s">
        <v>24</v>
      </c>
      <c r="N37" s="28" t="str">
        <f>I37</f>
        <v>1x10</v>
      </c>
      <c r="O37" s="29"/>
      <c r="Q37" s="27"/>
      <c r="R37" s="28" t="s">
        <v>24</v>
      </c>
      <c r="S37" s="28" t="str">
        <f>I37</f>
        <v>1x10</v>
      </c>
      <c r="T37" s="29"/>
    </row>
    <row r="38" spans="2:20" s="1" customFormat="1" ht="19.899999999999999" customHeight="1" thickBot="1" x14ac:dyDescent="0.3">
      <c r="B38" s="4">
        <v>12</v>
      </c>
      <c r="C38" s="341" t="s">
        <v>534</v>
      </c>
      <c r="D38" s="341"/>
      <c r="E38" s="342"/>
      <c r="G38" s="24"/>
      <c r="H38" s="25" t="s">
        <v>24</v>
      </c>
      <c r="I38" s="25" t="s">
        <v>655</v>
      </c>
      <c r="J38" s="26"/>
      <c r="L38" s="24"/>
      <c r="M38" s="25" t="s">
        <v>24</v>
      </c>
      <c r="N38" s="25" t="str">
        <f>I38</f>
        <v>1x10</v>
      </c>
      <c r="O38" s="26"/>
      <c r="Q38" s="47"/>
      <c r="R38" s="48" t="s">
        <v>24</v>
      </c>
      <c r="S38" s="48" t="str">
        <f>I38</f>
        <v>1x10</v>
      </c>
      <c r="T38" s="49"/>
    </row>
    <row r="39" spans="2:20" s="1" customFormat="1" ht="5.0999999999999996" customHeight="1" thickBot="1" x14ac:dyDescent="0.3">
      <c r="B39" s="4"/>
      <c r="C39" s="67"/>
      <c r="D39" s="67"/>
      <c r="E39" s="118"/>
      <c r="G39" s="4"/>
      <c r="H39" s="67"/>
      <c r="I39" s="67"/>
      <c r="J39" s="67"/>
      <c r="L39" s="67"/>
      <c r="M39" s="67"/>
      <c r="N39" s="67"/>
      <c r="O39" s="67"/>
      <c r="Q39" s="120"/>
      <c r="R39" s="120"/>
      <c r="S39" s="120"/>
      <c r="T39" s="121"/>
    </row>
    <row r="40" spans="2:20" s="2" customFormat="1" ht="18" customHeight="1" thickBot="1" x14ac:dyDescent="0.3">
      <c r="B40" s="338" t="s">
        <v>382</v>
      </c>
      <c r="C40" s="339"/>
      <c r="D40" s="339"/>
      <c r="E40" s="340"/>
      <c r="G40" s="333"/>
      <c r="H40" s="334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5"/>
    </row>
    <row r="41" spans="2:20" s="1" customFormat="1" ht="19.899999999999999" customHeight="1" x14ac:dyDescent="0.25">
      <c r="B41" s="9">
        <v>13</v>
      </c>
      <c r="C41" s="336" t="s">
        <v>231</v>
      </c>
      <c r="D41" s="336"/>
      <c r="E41" s="337"/>
      <c r="G41" s="21"/>
      <c r="H41" s="22" t="s">
        <v>24</v>
      </c>
      <c r="I41" s="22" t="s">
        <v>233</v>
      </c>
      <c r="J41" s="23"/>
      <c r="L41" s="21"/>
      <c r="M41" s="22" t="s">
        <v>24</v>
      </c>
      <c r="N41" s="22" t="str">
        <f>I41</f>
        <v>1x60s</v>
      </c>
      <c r="O41" s="23"/>
      <c r="Q41" s="21"/>
      <c r="R41" s="22" t="s">
        <v>24</v>
      </c>
      <c r="S41" s="22" t="str">
        <f>N41</f>
        <v>1x60s</v>
      </c>
      <c r="T41" s="23"/>
    </row>
    <row r="42" spans="2:20" s="1" customFormat="1" ht="19.899999999999999" customHeight="1" x14ac:dyDescent="0.25">
      <c r="B42" s="3">
        <v>14</v>
      </c>
      <c r="C42" s="343" t="s">
        <v>547</v>
      </c>
      <c r="D42" s="343"/>
      <c r="E42" s="344"/>
      <c r="G42" s="27"/>
      <c r="H42" s="28" t="s">
        <v>24</v>
      </c>
      <c r="I42" s="28" t="s">
        <v>233</v>
      </c>
      <c r="J42" s="29"/>
      <c r="L42" s="27"/>
      <c r="M42" s="28" t="s">
        <v>24</v>
      </c>
      <c r="N42" s="28" t="str">
        <f>I42</f>
        <v>1x60s</v>
      </c>
      <c r="O42" s="29"/>
      <c r="Q42" s="27"/>
      <c r="R42" s="28" t="s">
        <v>24</v>
      </c>
      <c r="S42" s="28" t="str">
        <f>N42</f>
        <v>1x60s</v>
      </c>
      <c r="T42" s="29"/>
    </row>
    <row r="43" spans="2:20" s="1" customFormat="1" ht="19.899999999999999" customHeight="1" thickBot="1" x14ac:dyDescent="0.3">
      <c r="B43" s="4">
        <v>15</v>
      </c>
      <c r="C43" s="347" t="s">
        <v>384</v>
      </c>
      <c r="D43" s="347"/>
      <c r="E43" s="348"/>
      <c r="F43" s="67"/>
      <c r="G43" s="24"/>
      <c r="H43" s="25" t="s">
        <v>24</v>
      </c>
      <c r="I43" s="25" t="s">
        <v>233</v>
      </c>
      <c r="J43" s="26"/>
      <c r="K43" s="67"/>
      <c r="L43" s="24"/>
      <c r="M43" s="25" t="s">
        <v>24</v>
      </c>
      <c r="N43" s="25" t="str">
        <f>I43</f>
        <v>1x60s</v>
      </c>
      <c r="O43" s="26"/>
      <c r="P43" s="67"/>
      <c r="Q43" s="24"/>
      <c r="R43" s="25" t="s">
        <v>24</v>
      </c>
      <c r="S43" s="25" t="str">
        <f>N43</f>
        <v>1x60s</v>
      </c>
      <c r="T43" s="26"/>
    </row>
  </sheetData>
  <mergeCells count="44">
    <mergeCell ref="O2:T7"/>
    <mergeCell ref="M10:N10"/>
    <mergeCell ref="B12:T12"/>
    <mergeCell ref="B13:D13"/>
    <mergeCell ref="E13:F13"/>
    <mergeCell ref="G13:I13"/>
    <mergeCell ref="J13:M13"/>
    <mergeCell ref="N13:Q13"/>
    <mergeCell ref="R13:T13"/>
    <mergeCell ref="B17:E17"/>
    <mergeCell ref="B14:D14"/>
    <mergeCell ref="E14:F14"/>
    <mergeCell ref="G14:I14"/>
    <mergeCell ref="J14:M14"/>
    <mergeCell ref="B15:E16"/>
    <mergeCell ref="G15:T15"/>
    <mergeCell ref="H16:I16"/>
    <mergeCell ref="M16:N16"/>
    <mergeCell ref="R16:S16"/>
    <mergeCell ref="N14:Q14"/>
    <mergeCell ref="R14:T14"/>
    <mergeCell ref="G31:T31"/>
    <mergeCell ref="C18:E18"/>
    <mergeCell ref="C19:E19"/>
    <mergeCell ref="C20:E20"/>
    <mergeCell ref="B22:E22"/>
    <mergeCell ref="C23:E23"/>
    <mergeCell ref="C24:E24"/>
    <mergeCell ref="C38:E38"/>
    <mergeCell ref="C25:E25"/>
    <mergeCell ref="C27:E27"/>
    <mergeCell ref="C28:E28"/>
    <mergeCell ref="C29:E29"/>
    <mergeCell ref="B31:E31"/>
    <mergeCell ref="C32:E32"/>
    <mergeCell ref="C33:E33"/>
    <mergeCell ref="C34:E34"/>
    <mergeCell ref="C36:E36"/>
    <mergeCell ref="C37:E37"/>
    <mergeCell ref="B40:E40"/>
    <mergeCell ref="G40:T40"/>
    <mergeCell ref="C41:E41"/>
    <mergeCell ref="C42:E42"/>
    <mergeCell ref="C43:E43"/>
  </mergeCells>
  <dataValidations count="1">
    <dataValidation type="list" allowBlank="1" showInputMessage="1" showErrorMessage="1" sqref="H23:H25 M36:M39 R32:R34 R27:R30 R23:R25 H36:H39 M32:M34 M27:M30 M23:M25 H32:H34 H27:H30 H41:H43 M41:M43 R36:R39" xr:uid="{00000000-0002-0000-1100-000000000000}">
      <formula1>$W$22:$W$24</formula1>
    </dataValidation>
  </dataValidation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00000000-0002-0000-1100-000001000000}">
          <x14:formula1>
            <xm:f>' Unterkörper Progressionen '!$Z$2:$Z$17</xm:f>
          </x14:formula1>
          <xm:sqref>N28 S37 S33 N33 N37 S28</xm:sqref>
        </x14:dataValidation>
        <x14:dataValidation type="list" allowBlank="1" showInputMessage="1" showErrorMessage="1" xr:uid="{00000000-0002-0000-1100-000014000000}">
          <x14:formula1>
            <xm:f>' Unterkörper Progressionen '!$AA:$AA</xm:f>
          </x14:formula1>
          <xm:sqref>J19:J20</xm:sqref>
        </x14:dataValidation>
        <x14:dataValidation type="list" allowBlank="1" showInputMessage="1" showErrorMessage="1" xr:uid="{00000000-0002-0000-1100-000015000000}">
          <x14:formula1>
            <xm:f>' Unterkörper Progressionen '!$Z:$Z</xm:f>
          </x14:formula1>
          <xm:sqref>I41:I43 I23:I24 I27:I30 I32:I34 I36:I39</xm:sqref>
        </x14:dataValidation>
        <x14:dataValidation type="list" allowBlank="1" showInputMessage="1" showErrorMessage="1" xr:uid="{00000000-0002-0000-1100-000002000000}">
          <x14:formula1>
            <xm:f>'Oberkörper Progressionen '!$S:$S</xm:f>
          </x14:formula1>
          <xm:sqref>C43:E43</xm:sqref>
        </x14:dataValidation>
        <x14:dataValidation type="list" allowBlank="1" showInputMessage="1" showErrorMessage="1" xr:uid="{00000000-0002-0000-1100-000003000000}">
          <x14:formula1>
            <xm:f>'Oberkörper Progressionen '!$R:$R</xm:f>
          </x14:formula1>
          <xm:sqref>C41:E41</xm:sqref>
        </x14:dataValidation>
        <x14:dataValidation type="list" allowBlank="1" showInputMessage="1" showErrorMessage="1" xr:uid="{00000000-0002-0000-1100-000004000000}">
          <x14:formula1>
            <xm:f>'Oberkörper Progressionen '!$K:$K</xm:f>
          </x14:formula1>
          <xm:sqref>C38:E39</xm:sqref>
        </x14:dataValidation>
        <x14:dataValidation type="list" allowBlank="1" showInputMessage="1" showErrorMessage="1" xr:uid="{00000000-0002-0000-1100-000005000000}">
          <x14:formula1>
            <xm:f>'Oberkörper Progressionen '!$P:$P</xm:f>
          </x14:formula1>
          <xm:sqref>C37:E37</xm:sqref>
        </x14:dataValidation>
        <x14:dataValidation type="list" allowBlank="1" showInputMessage="1" showErrorMessage="1" xr:uid="{00000000-0002-0000-1100-000006000000}">
          <x14:formula1>
            <xm:f>'Oberkörper Progressionen '!$O:$O</xm:f>
          </x14:formula1>
          <xm:sqref>C36:E36</xm:sqref>
        </x14:dataValidation>
        <x14:dataValidation type="list" allowBlank="1" showInputMessage="1" showErrorMessage="1" xr:uid="{00000000-0002-0000-1100-000007000000}">
          <x14:formula1>
            <xm:f>'Oberkörper Progressionen '!$J:$J</xm:f>
          </x14:formula1>
          <xm:sqref>C34:E34</xm:sqref>
        </x14:dataValidation>
        <x14:dataValidation type="list" allowBlank="1" showInputMessage="1" showErrorMessage="1" xr:uid="{00000000-0002-0000-1100-000008000000}">
          <x14:formula1>
            <xm:f>'Oberkörper Progressionen '!$M:$M</xm:f>
          </x14:formula1>
          <xm:sqref>C33:E33</xm:sqref>
        </x14:dataValidation>
        <x14:dataValidation type="list" allowBlank="1" showInputMessage="1" showErrorMessage="1" xr:uid="{00000000-0002-0000-1100-000009000000}">
          <x14:formula1>
            <xm:f>'Oberkörper Progressionen '!$L:$L</xm:f>
          </x14:formula1>
          <xm:sqref>C32:E32</xm:sqref>
        </x14:dataValidation>
        <x14:dataValidation type="list" allowBlank="1" showInputMessage="1" showErrorMessage="1" xr:uid="{00000000-0002-0000-1100-00000A000000}">
          <x14:formula1>
            <xm:f>'Oberkörper Progressionen '!$G:$G</xm:f>
          </x14:formula1>
          <xm:sqref>C29:E30</xm:sqref>
        </x14:dataValidation>
        <x14:dataValidation type="list" allowBlank="1" showInputMessage="1" showErrorMessage="1" xr:uid="{00000000-0002-0000-1100-00000B000000}">
          <x14:formula1>
            <xm:f>'Oberkörper Progressionen '!$I:$I</xm:f>
          </x14:formula1>
          <xm:sqref>C28:E28</xm:sqref>
        </x14:dataValidation>
        <x14:dataValidation type="list" allowBlank="1" showInputMessage="1" showErrorMessage="1" xr:uid="{00000000-0002-0000-1100-00000C000000}">
          <x14:formula1>
            <xm:f>'Oberkörper Progressionen '!$H:$H</xm:f>
          </x14:formula1>
          <xm:sqref>C27:E27</xm:sqref>
        </x14:dataValidation>
        <x14:dataValidation type="list" allowBlank="1" showInputMessage="1" showErrorMessage="1" xr:uid="{00000000-0002-0000-1100-00000D000000}">
          <x14:formula1>
            <xm:f>'Oberkörper Progressionen '!$N:$N</xm:f>
          </x14:formula1>
          <xm:sqref>C25:E25</xm:sqref>
        </x14:dataValidation>
        <x14:dataValidation type="list" allowBlank="1" showInputMessage="1" showErrorMessage="1" xr:uid="{00000000-0002-0000-1100-00000E000000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00000000-0002-0000-1100-00000F000000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0000000-0002-0000-1100-000010000000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0000000-0002-0000-1100-000011000000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00000000-0002-0000-1100-000012000000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00000000-0002-0000-1100-000013000000}">
          <x14:formula1>
            <xm:f>'Oberkörper Progressionen '!$Q:$Q</xm:f>
          </x14:formula1>
          <xm:sqref>C42:E42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7DE7-FE96-4DEA-B514-65E279145641}">
  <sheetPr>
    <pageSetUpPr fitToPage="1"/>
  </sheetPr>
  <dimension ref="B1:X53"/>
  <sheetViews>
    <sheetView topLeftCell="A18" zoomScaleNormal="100" workbookViewId="0">
      <selection activeCell="J47" sqref="J47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60" t="s">
        <v>216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60"/>
      <c r="E6" t="s">
        <v>2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ht="16.5" hidden="1" thickBot="1" x14ac:dyDescent="0.3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">
        <v>214</v>
      </c>
      <c r="C13" s="330"/>
      <c r="D13" s="330"/>
      <c r="E13" s="388" t="s">
        <v>773</v>
      </c>
      <c r="F13" s="389"/>
      <c r="G13" s="330" t="s">
        <v>579</v>
      </c>
      <c r="H13" s="330"/>
      <c r="I13" s="330"/>
      <c r="J13" s="330" t="s">
        <v>395</v>
      </c>
      <c r="K13" s="330"/>
      <c r="L13" s="330"/>
      <c r="M13" s="330"/>
      <c r="N13" s="330" t="s">
        <v>776</v>
      </c>
      <c r="O13" s="330"/>
      <c r="P13" s="330"/>
      <c r="Q13" s="330"/>
      <c r="R13" s="330" t="s">
        <v>376</v>
      </c>
      <c r="S13" s="330"/>
      <c r="T13" s="331"/>
    </row>
    <row r="14" spans="2:23" s="34" customFormat="1" ht="20.100000000000001" customHeight="1" thickBot="1" x14ac:dyDescent="0.3">
      <c r="B14" s="361" t="s">
        <v>716</v>
      </c>
      <c r="C14" s="329"/>
      <c r="D14" s="329"/>
      <c r="E14" s="386" t="s">
        <v>351</v>
      </c>
      <c r="F14" s="387"/>
      <c r="G14" s="329" t="s">
        <v>328</v>
      </c>
      <c r="H14" s="329"/>
      <c r="I14" s="329"/>
      <c r="J14" s="329" t="s">
        <v>368</v>
      </c>
      <c r="K14" s="329"/>
      <c r="L14" s="329"/>
      <c r="M14" s="329"/>
      <c r="N14" s="329" t="s">
        <v>75</v>
      </c>
      <c r="O14" s="329"/>
      <c r="P14" s="329"/>
      <c r="Q14" s="329"/>
      <c r="R14" s="329" t="s">
        <v>785</v>
      </c>
      <c r="S14" s="329"/>
      <c r="T14" s="332"/>
    </row>
    <row r="15" spans="2:23" ht="4.9000000000000004" hidden="1" customHeight="1" thickBot="1" x14ac:dyDescent="0.3">
      <c r="B15" s="8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6"/>
    </row>
    <row r="16" spans="2:23" ht="18" customHeight="1" thickBot="1" x14ac:dyDescent="0.3">
      <c r="B16" s="380" t="s">
        <v>400</v>
      </c>
      <c r="C16" s="381"/>
      <c r="D16" s="381"/>
      <c r="E16" s="382"/>
      <c r="F16" s="1"/>
      <c r="G16" s="338" t="s">
        <v>132</v>
      </c>
      <c r="H16" s="339"/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39"/>
      <c r="T16" s="340"/>
    </row>
    <row r="17" spans="2:24" ht="21.6" customHeight="1" thickBot="1" x14ac:dyDescent="0.3">
      <c r="B17" s="383"/>
      <c r="C17" s="384"/>
      <c r="D17" s="384"/>
      <c r="E17" s="385"/>
      <c r="F17" s="1"/>
      <c r="G17" s="71" t="s">
        <v>162</v>
      </c>
      <c r="H17" s="358" t="s">
        <v>50</v>
      </c>
      <c r="I17" s="359"/>
      <c r="J17" s="72" t="s">
        <v>163</v>
      </c>
      <c r="K17" s="65"/>
      <c r="L17" s="71" t="s">
        <v>164</v>
      </c>
      <c r="M17" s="358" t="s">
        <v>49</v>
      </c>
      <c r="N17" s="359"/>
      <c r="O17" s="72" t="s">
        <v>166</v>
      </c>
      <c r="P17" s="65"/>
      <c r="Q17" s="72" t="s">
        <v>165</v>
      </c>
      <c r="R17" s="358" t="s">
        <v>51</v>
      </c>
      <c r="S17" s="359"/>
      <c r="T17" s="72" t="s">
        <v>167</v>
      </c>
      <c r="W17" s="36"/>
      <c r="X17" s="1"/>
    </row>
    <row r="18" spans="2:24" ht="18" customHeight="1" thickBot="1" x14ac:dyDescent="0.3">
      <c r="B18" s="338" t="s">
        <v>18</v>
      </c>
      <c r="C18" s="339"/>
      <c r="D18" s="339"/>
      <c r="E18" s="340"/>
      <c r="F18" s="73"/>
      <c r="G18" s="15" t="s">
        <v>19</v>
      </c>
      <c r="H18" s="16" t="s">
        <v>20</v>
      </c>
      <c r="I18" s="16" t="s">
        <v>21</v>
      </c>
      <c r="J18" s="17" t="s">
        <v>22</v>
      </c>
      <c r="K18" s="1"/>
      <c r="L18" s="15" t="s">
        <v>19</v>
      </c>
      <c r="M18" s="16" t="s">
        <v>20</v>
      </c>
      <c r="N18" s="16" t="s">
        <v>21</v>
      </c>
      <c r="O18" s="17" t="s">
        <v>22</v>
      </c>
      <c r="P18" s="1"/>
      <c r="Q18" s="41" t="s">
        <v>19</v>
      </c>
      <c r="R18" s="42" t="s">
        <v>20</v>
      </c>
      <c r="S18" s="42" t="s">
        <v>21</v>
      </c>
      <c r="T18" s="43" t="s">
        <v>22</v>
      </c>
      <c r="W18" s="37"/>
      <c r="X18" s="1"/>
    </row>
    <row r="19" spans="2:24" s="1" customFormat="1" ht="19.899999999999999" customHeight="1" x14ac:dyDescent="0.25">
      <c r="B19" s="9">
        <v>1</v>
      </c>
      <c r="C19" s="336" t="s">
        <v>115</v>
      </c>
      <c r="D19" s="336"/>
      <c r="E19" s="337"/>
      <c r="G19" s="18" t="s">
        <v>23</v>
      </c>
      <c r="H19" s="19"/>
      <c r="I19" s="19" t="s">
        <v>25</v>
      </c>
      <c r="J19" s="20" t="s">
        <v>27</v>
      </c>
      <c r="L19" s="18" t="s">
        <v>23</v>
      </c>
      <c r="M19" s="19"/>
      <c r="N19" s="19" t="s">
        <v>25</v>
      </c>
      <c r="O19" s="20" t="s">
        <v>27</v>
      </c>
      <c r="Q19" s="44" t="s">
        <v>23</v>
      </c>
      <c r="R19" s="45"/>
      <c r="S19" s="45" t="s">
        <v>25</v>
      </c>
      <c r="T19" s="46" t="s">
        <v>27</v>
      </c>
      <c r="W19" s="36"/>
    </row>
    <row r="20" spans="2:24" s="1" customFormat="1" ht="19.899999999999999" customHeight="1" x14ac:dyDescent="0.25">
      <c r="B20" s="3">
        <v>2</v>
      </c>
      <c r="C20" s="343" t="s">
        <v>796</v>
      </c>
      <c r="D20" s="343"/>
      <c r="E20" s="344"/>
      <c r="G20" s="68" t="s">
        <v>23</v>
      </c>
      <c r="H20" s="69"/>
      <c r="I20" s="69" t="s">
        <v>25</v>
      </c>
      <c r="J20" s="70" t="s">
        <v>759</v>
      </c>
      <c r="L20" s="68" t="s">
        <v>23</v>
      </c>
      <c r="M20" s="69"/>
      <c r="N20" s="69" t="s">
        <v>25</v>
      </c>
      <c r="O20" s="70" t="str">
        <f>J20</f>
        <v>2kg</v>
      </c>
      <c r="Q20" s="68" t="s">
        <v>23</v>
      </c>
      <c r="R20" s="69"/>
      <c r="S20" s="69" t="s">
        <v>25</v>
      </c>
      <c r="T20" s="70" t="str">
        <f>J20</f>
        <v>2kg</v>
      </c>
      <c r="W20" s="36"/>
    </row>
    <row r="21" spans="2:24" s="1" customFormat="1" ht="19.899999999999999" customHeight="1" thickBot="1" x14ac:dyDescent="0.3">
      <c r="B21" s="4">
        <v>3</v>
      </c>
      <c r="C21" s="341" t="s">
        <v>797</v>
      </c>
      <c r="D21" s="341"/>
      <c r="E21" s="342"/>
      <c r="G21" s="24" t="s">
        <v>23</v>
      </c>
      <c r="H21" s="25"/>
      <c r="I21" s="25" t="s">
        <v>25</v>
      </c>
      <c r="J21" s="26" t="s">
        <v>759</v>
      </c>
      <c r="L21" s="24" t="s">
        <v>23</v>
      </c>
      <c r="M21" s="25"/>
      <c r="N21" s="25" t="s">
        <v>25</v>
      </c>
      <c r="O21" s="26" t="str">
        <f>J21</f>
        <v>2kg</v>
      </c>
      <c r="Q21" s="47" t="s">
        <v>23</v>
      </c>
      <c r="R21" s="48"/>
      <c r="S21" s="48" t="s">
        <v>25</v>
      </c>
      <c r="T21" s="49" t="str">
        <f>J21</f>
        <v>2kg</v>
      </c>
    </row>
    <row r="22" spans="2:24" s="2" customFormat="1" ht="4.9000000000000004" customHeight="1" thickBot="1" x14ac:dyDescent="0.3">
      <c r="B22" s="74"/>
      <c r="Q22" s="50"/>
      <c r="R22" s="50"/>
      <c r="S22" s="50"/>
      <c r="T22" s="75"/>
      <c r="X22" s="1"/>
    </row>
    <row r="23" spans="2:24" s="1" customFormat="1" ht="18" customHeight="1" thickBot="1" x14ac:dyDescent="0.3">
      <c r="B23" s="338" t="s">
        <v>379</v>
      </c>
      <c r="C23" s="339"/>
      <c r="D23" s="339"/>
      <c r="E23" s="340"/>
      <c r="G23" s="129" t="s">
        <v>22</v>
      </c>
      <c r="H23" s="130" t="s">
        <v>20</v>
      </c>
      <c r="I23" s="130" t="s">
        <v>21</v>
      </c>
      <c r="J23" s="131" t="s">
        <v>22</v>
      </c>
      <c r="L23" s="129" t="str">
        <f>G23</f>
        <v>WEIGHT</v>
      </c>
      <c r="M23" s="130" t="s">
        <v>20</v>
      </c>
      <c r="N23" s="130" t="s">
        <v>21</v>
      </c>
      <c r="O23" s="131" t="s">
        <v>22</v>
      </c>
      <c r="Q23" s="132" t="str">
        <f>L23</f>
        <v>WEIGHT</v>
      </c>
      <c r="R23" s="133" t="s">
        <v>20</v>
      </c>
      <c r="S23" s="133" t="s">
        <v>21</v>
      </c>
      <c r="T23" s="134" t="s">
        <v>22</v>
      </c>
    </row>
    <row r="24" spans="2:24" s="1" customFormat="1" ht="19.899999999999999" customHeight="1" x14ac:dyDescent="0.25">
      <c r="B24" s="9">
        <v>1</v>
      </c>
      <c r="C24" s="336" t="s">
        <v>436</v>
      </c>
      <c r="D24" s="336"/>
      <c r="E24" s="337"/>
      <c r="G24" s="21"/>
      <c r="H24" s="30" t="s">
        <v>24</v>
      </c>
      <c r="I24" s="22" t="s">
        <v>17</v>
      </c>
      <c r="J24" s="23"/>
      <c r="L24" s="21"/>
      <c r="M24" s="30" t="s">
        <v>24</v>
      </c>
      <c r="N24" s="22" t="str">
        <f>I24</f>
        <v>1x20</v>
      </c>
      <c r="O24" s="23"/>
      <c r="Q24" s="51"/>
      <c r="R24" s="52" t="s">
        <v>24</v>
      </c>
      <c r="S24" s="22" t="str">
        <f>N24</f>
        <v>1x20</v>
      </c>
      <c r="T24" s="54"/>
    </row>
    <row r="25" spans="2:24" s="1" customFormat="1" ht="19.899999999999999" customHeight="1" x14ac:dyDescent="0.25">
      <c r="B25" s="3">
        <v>2</v>
      </c>
      <c r="C25" s="343" t="s">
        <v>184</v>
      </c>
      <c r="D25" s="343"/>
      <c r="E25" s="344"/>
      <c r="G25" s="27"/>
      <c r="H25" s="31" t="s">
        <v>24</v>
      </c>
      <c r="I25" s="28" t="s">
        <v>17</v>
      </c>
      <c r="J25" s="29"/>
      <c r="L25" s="27"/>
      <c r="M25" s="31" t="s">
        <v>24</v>
      </c>
      <c r="N25" s="28" t="str">
        <f>I25</f>
        <v>1x20</v>
      </c>
      <c r="O25" s="29"/>
      <c r="Q25" s="55"/>
      <c r="R25" s="56" t="s">
        <v>24</v>
      </c>
      <c r="S25" s="28" t="str">
        <f>N25</f>
        <v>1x20</v>
      </c>
      <c r="T25" s="58"/>
    </row>
    <row r="26" spans="2:24" s="1" customFormat="1" ht="19.899999999999999" customHeight="1" thickBot="1" x14ac:dyDescent="0.3">
      <c r="B26" s="4">
        <v>3</v>
      </c>
      <c r="C26" s="341" t="s">
        <v>73</v>
      </c>
      <c r="D26" s="341"/>
      <c r="E26" s="342"/>
      <c r="G26" s="24"/>
      <c r="H26" s="32" t="s">
        <v>24</v>
      </c>
      <c r="I26" s="25" t="s">
        <v>25</v>
      </c>
      <c r="J26" s="26"/>
      <c r="L26" s="24"/>
      <c r="M26" s="32" t="s">
        <v>24</v>
      </c>
      <c r="N26" s="25" t="str">
        <f>I26</f>
        <v>3x5</v>
      </c>
      <c r="O26" s="26"/>
      <c r="Q26" s="47"/>
      <c r="R26" s="59" t="s">
        <v>24</v>
      </c>
      <c r="S26" s="25" t="str">
        <f>N26</f>
        <v>3x5</v>
      </c>
      <c r="T26" s="49"/>
    </row>
    <row r="27" spans="2:24" s="2" customFormat="1" ht="4.9000000000000004" customHeight="1" thickBot="1" x14ac:dyDescent="0.3">
      <c r="B27" s="74"/>
      <c r="Q27" s="50"/>
      <c r="R27" s="50"/>
      <c r="S27" s="50"/>
      <c r="T27" s="75"/>
    </row>
    <row r="28" spans="2:24" s="1" customFormat="1" ht="19.899999999999999" customHeight="1" x14ac:dyDescent="0.25">
      <c r="B28" s="9">
        <v>4</v>
      </c>
      <c r="C28" s="336" t="s">
        <v>90</v>
      </c>
      <c r="D28" s="336"/>
      <c r="E28" s="337"/>
      <c r="G28" s="21"/>
      <c r="H28" s="30" t="s">
        <v>24</v>
      </c>
      <c r="I28" s="22" t="s">
        <v>17</v>
      </c>
      <c r="J28" s="23"/>
      <c r="L28" s="21"/>
      <c r="M28" s="30" t="s">
        <v>24</v>
      </c>
      <c r="N28" s="22" t="str">
        <f>I28</f>
        <v>1x20</v>
      </c>
      <c r="O28" s="23"/>
      <c r="Q28" s="51"/>
      <c r="R28" s="52" t="s">
        <v>24</v>
      </c>
      <c r="S28" s="22" t="str">
        <f>N28</f>
        <v>1x20</v>
      </c>
      <c r="T28" s="54"/>
    </row>
    <row r="29" spans="2:24" s="1" customFormat="1" ht="19.899999999999999" customHeight="1" x14ac:dyDescent="0.25">
      <c r="B29" s="3">
        <v>5</v>
      </c>
      <c r="C29" s="343" t="s">
        <v>665</v>
      </c>
      <c r="D29" s="343"/>
      <c r="E29" s="344"/>
      <c r="G29" s="27"/>
      <c r="H29" s="31" t="s">
        <v>24</v>
      </c>
      <c r="I29" s="28" t="s">
        <v>17</v>
      </c>
      <c r="J29" s="29"/>
      <c r="L29" s="27"/>
      <c r="M29" s="31" t="s">
        <v>24</v>
      </c>
      <c r="N29" s="28" t="str">
        <f>I29</f>
        <v>1x20</v>
      </c>
      <c r="O29" s="29"/>
      <c r="Q29" s="55"/>
      <c r="R29" s="56" t="s">
        <v>24</v>
      </c>
      <c r="S29" s="28" t="str">
        <f>N29</f>
        <v>1x20</v>
      </c>
      <c r="T29" s="58"/>
    </row>
    <row r="30" spans="2:24" s="1" customFormat="1" ht="19.899999999999999" customHeight="1" thickBot="1" x14ac:dyDescent="0.3">
      <c r="B30" s="4">
        <v>6</v>
      </c>
      <c r="C30" s="341" t="s">
        <v>95</v>
      </c>
      <c r="D30" s="341"/>
      <c r="E30" s="342"/>
      <c r="G30" s="24"/>
      <c r="H30" s="32" t="s">
        <v>24</v>
      </c>
      <c r="I30" s="25" t="s">
        <v>749</v>
      </c>
      <c r="J30" s="26"/>
      <c r="L30" s="24"/>
      <c r="M30" s="32" t="s">
        <v>24</v>
      </c>
      <c r="N30" s="25" t="str">
        <f>I30</f>
        <v>3x10s ea</v>
      </c>
      <c r="O30" s="26"/>
      <c r="Q30" s="47"/>
      <c r="R30" s="59" t="s">
        <v>24</v>
      </c>
      <c r="S30" s="25" t="str">
        <f>N30</f>
        <v>3x10s ea</v>
      </c>
      <c r="T30" s="49"/>
    </row>
    <row r="31" spans="2:24" s="1" customFormat="1" ht="5.0999999999999996" customHeight="1" thickBot="1" x14ac:dyDescent="0.3">
      <c r="B31" s="4"/>
      <c r="C31" s="67"/>
      <c r="D31" s="67"/>
      <c r="E31" s="118"/>
      <c r="G31" s="4"/>
      <c r="H31" s="122"/>
      <c r="I31" s="67"/>
      <c r="J31" s="67"/>
      <c r="L31" s="67"/>
      <c r="M31" s="122"/>
      <c r="N31" s="67"/>
      <c r="O31" s="67"/>
      <c r="Q31" s="120"/>
      <c r="R31" s="123"/>
      <c r="S31" s="67"/>
      <c r="T31" s="121"/>
    </row>
    <row r="32" spans="2:24" s="2" customFormat="1" ht="18" customHeight="1" thickBot="1" x14ac:dyDescent="0.3">
      <c r="B32" s="338" t="s">
        <v>741</v>
      </c>
      <c r="C32" s="339"/>
      <c r="D32" s="339"/>
      <c r="E32" s="340"/>
      <c r="F32" s="119"/>
      <c r="G32" s="124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6"/>
    </row>
    <row r="33" spans="2:22" s="1" customFormat="1" ht="19.899999999999999" customHeight="1" x14ac:dyDescent="0.25">
      <c r="B33" s="9">
        <v>7</v>
      </c>
      <c r="C33" s="336" t="s">
        <v>499</v>
      </c>
      <c r="D33" s="336"/>
      <c r="E33" s="337"/>
      <c r="G33" s="21"/>
      <c r="H33" s="30" t="s">
        <v>24</v>
      </c>
      <c r="I33" s="22" t="s">
        <v>17</v>
      </c>
      <c r="J33" s="23"/>
      <c r="L33" s="21"/>
      <c r="M33" s="30" t="s">
        <v>24</v>
      </c>
      <c r="N33" s="22" t="str">
        <f>I33</f>
        <v>1x20</v>
      </c>
      <c r="O33" s="23"/>
      <c r="Q33" s="51"/>
      <c r="R33" s="52" t="s">
        <v>24</v>
      </c>
      <c r="S33" s="22" t="str">
        <f>I33</f>
        <v>1x20</v>
      </c>
      <c r="T33" s="54"/>
    </row>
    <row r="34" spans="2:22" s="1" customFormat="1" ht="19.899999999999999" customHeight="1" x14ac:dyDescent="0.25">
      <c r="B34" s="3">
        <v>8</v>
      </c>
      <c r="C34" s="343" t="s">
        <v>106</v>
      </c>
      <c r="D34" s="343"/>
      <c r="E34" s="344"/>
      <c r="G34" s="27"/>
      <c r="H34" s="31" t="s">
        <v>24</v>
      </c>
      <c r="I34" s="28" t="s">
        <v>789</v>
      </c>
      <c r="J34" s="29"/>
      <c r="L34" s="27"/>
      <c r="M34" s="31" t="s">
        <v>24</v>
      </c>
      <c r="N34" s="28" t="str">
        <f>I34</f>
        <v>3x5 ea</v>
      </c>
      <c r="O34" s="29"/>
      <c r="Q34" s="55"/>
      <c r="R34" s="56" t="s">
        <v>24</v>
      </c>
      <c r="S34" s="28" t="str">
        <f>N34</f>
        <v>3x5 ea</v>
      </c>
      <c r="T34" s="58"/>
    </row>
    <row r="35" spans="2:22" s="1" customFormat="1" ht="19.899999999999999" customHeight="1" thickBot="1" x14ac:dyDescent="0.3">
      <c r="B35" s="4">
        <v>9</v>
      </c>
      <c r="C35" s="341" t="s">
        <v>804</v>
      </c>
      <c r="D35" s="341"/>
      <c r="E35" s="342"/>
      <c r="G35" s="24"/>
      <c r="H35" s="32" t="s">
        <v>24</v>
      </c>
      <c r="I35" s="25" t="s">
        <v>17</v>
      </c>
      <c r="J35" s="26"/>
      <c r="L35" s="24"/>
      <c r="M35" s="32" t="s">
        <v>24</v>
      </c>
      <c r="N35" s="25" t="str">
        <f>I35</f>
        <v>1x20</v>
      </c>
      <c r="O35" s="26"/>
      <c r="Q35" s="47"/>
      <c r="R35" s="59" t="s">
        <v>24</v>
      </c>
      <c r="S35" s="25" t="str">
        <f>N35</f>
        <v>1x20</v>
      </c>
      <c r="T35" s="49"/>
    </row>
    <row r="36" spans="2:22" s="2" customFormat="1" ht="4.9000000000000004" customHeight="1" thickBot="1" x14ac:dyDescent="0.3">
      <c r="B36" s="74"/>
      <c r="Q36" s="50"/>
      <c r="R36" s="50"/>
      <c r="S36" s="50"/>
      <c r="T36" s="75"/>
    </row>
    <row r="37" spans="2:22" s="1" customFormat="1" ht="19.899999999999999" customHeight="1" x14ac:dyDescent="0.25">
      <c r="B37" s="9">
        <v>10</v>
      </c>
      <c r="C37" s="336" t="s">
        <v>447</v>
      </c>
      <c r="D37" s="336"/>
      <c r="E37" s="337"/>
      <c r="G37" s="21"/>
      <c r="H37" s="30" t="s">
        <v>24</v>
      </c>
      <c r="I37" s="22" t="s">
        <v>17</v>
      </c>
      <c r="J37" s="23"/>
      <c r="L37" s="21"/>
      <c r="M37" s="30" t="s">
        <v>24</v>
      </c>
      <c r="N37" s="22" t="str">
        <f>I37</f>
        <v>1x20</v>
      </c>
      <c r="O37" s="23"/>
      <c r="Q37" s="51"/>
      <c r="R37" s="52" t="s">
        <v>24</v>
      </c>
      <c r="S37" s="22" t="str">
        <f>N37</f>
        <v>1x20</v>
      </c>
      <c r="T37" s="54"/>
    </row>
    <row r="38" spans="2:22" s="1" customFormat="1" ht="19.899999999999999" customHeight="1" x14ac:dyDescent="0.25">
      <c r="B38" s="3">
        <v>11</v>
      </c>
      <c r="C38" s="343" t="s">
        <v>806</v>
      </c>
      <c r="D38" s="343"/>
      <c r="E38" s="344"/>
      <c r="G38" s="27"/>
      <c r="H38" s="31" t="s">
        <v>24</v>
      </c>
      <c r="I38" s="28" t="s">
        <v>749</v>
      </c>
      <c r="J38" s="29"/>
      <c r="L38" s="27"/>
      <c r="M38" s="31" t="s">
        <v>24</v>
      </c>
      <c r="N38" s="28" t="str">
        <f>I38</f>
        <v>3x10s ea</v>
      </c>
      <c r="O38" s="29"/>
      <c r="Q38" s="55"/>
      <c r="R38" s="56" t="s">
        <v>24</v>
      </c>
      <c r="S38" s="28" t="str">
        <f>N38</f>
        <v>3x10s ea</v>
      </c>
      <c r="T38" s="58"/>
    </row>
    <row r="39" spans="2:22" s="1" customFormat="1" ht="19.899999999999999" customHeight="1" thickBot="1" x14ac:dyDescent="0.3">
      <c r="B39" s="4">
        <v>12</v>
      </c>
      <c r="C39" s="341" t="s">
        <v>808</v>
      </c>
      <c r="D39" s="341"/>
      <c r="E39" s="342"/>
      <c r="G39" s="24"/>
      <c r="H39" s="32" t="s">
        <v>24</v>
      </c>
      <c r="I39" s="25" t="s">
        <v>17</v>
      </c>
      <c r="J39" s="26"/>
      <c r="L39" s="24"/>
      <c r="M39" s="32" t="s">
        <v>24</v>
      </c>
      <c r="N39" s="25" t="str">
        <f>I39</f>
        <v>1x20</v>
      </c>
      <c r="O39" s="26"/>
      <c r="Q39" s="47"/>
      <c r="R39" s="59" t="s">
        <v>24</v>
      </c>
      <c r="S39" s="25" t="str">
        <f>N39</f>
        <v>1x20</v>
      </c>
      <c r="T39" s="49"/>
    </row>
    <row r="40" spans="2:22" s="1" customFormat="1" ht="5.0999999999999996" customHeight="1" thickBot="1" x14ac:dyDescent="0.3">
      <c r="B40" s="4"/>
      <c r="C40" s="67"/>
      <c r="D40" s="67"/>
      <c r="E40" s="118"/>
      <c r="G40" s="4"/>
      <c r="H40" s="122"/>
      <c r="I40" s="67"/>
      <c r="J40" s="67"/>
      <c r="L40" s="67"/>
      <c r="M40" s="122"/>
      <c r="N40" s="67"/>
      <c r="O40" s="67"/>
      <c r="Q40" s="120"/>
      <c r="R40" s="123"/>
      <c r="S40" s="67"/>
      <c r="T40" s="121"/>
    </row>
    <row r="41" spans="2:22" s="2" customFormat="1" ht="18" customHeight="1" thickBot="1" x14ac:dyDescent="0.3">
      <c r="B41" s="338" t="s">
        <v>383</v>
      </c>
      <c r="C41" s="339"/>
      <c r="D41" s="339"/>
      <c r="E41" s="340"/>
      <c r="G41" s="333"/>
      <c r="H41" s="334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5"/>
    </row>
    <row r="42" spans="2:22" s="1" customFormat="1" ht="19.899999999999999" customHeight="1" x14ac:dyDescent="0.25">
      <c r="B42" s="9">
        <v>13</v>
      </c>
      <c r="C42" s="336" t="s">
        <v>205</v>
      </c>
      <c r="D42" s="336"/>
      <c r="E42" s="337"/>
      <c r="G42" s="21"/>
      <c r="H42" s="30" t="s">
        <v>24</v>
      </c>
      <c r="I42" s="22" t="s">
        <v>755</v>
      </c>
      <c r="J42" s="23"/>
      <c r="L42" s="21"/>
      <c r="M42" s="30" t="s">
        <v>24</v>
      </c>
      <c r="N42" s="22" t="str">
        <f>I42</f>
        <v>1x75s</v>
      </c>
      <c r="O42" s="23"/>
      <c r="Q42" s="51"/>
      <c r="R42" s="52" t="s">
        <v>24</v>
      </c>
      <c r="S42" s="53" t="str">
        <f>N42</f>
        <v>1x75s</v>
      </c>
      <c r="T42" s="54"/>
    </row>
    <row r="43" spans="2:22" s="1" customFormat="1" ht="19.899999999999999" customHeight="1" x14ac:dyDescent="0.25">
      <c r="B43" s="3">
        <v>14</v>
      </c>
      <c r="C43" s="345" t="s">
        <v>47</v>
      </c>
      <c r="D43" s="345"/>
      <c r="E43" s="346"/>
      <c r="G43" s="27"/>
      <c r="H43" s="31" t="s">
        <v>24</v>
      </c>
      <c r="I43" s="28" t="s">
        <v>755</v>
      </c>
      <c r="J43" s="29"/>
      <c r="L43" s="27"/>
      <c r="M43" s="31" t="s">
        <v>24</v>
      </c>
      <c r="N43" s="28" t="str">
        <f>I43</f>
        <v>1x75s</v>
      </c>
      <c r="O43" s="29"/>
      <c r="Q43" s="55"/>
      <c r="R43" s="56" t="s">
        <v>24</v>
      </c>
      <c r="S43" s="57" t="str">
        <f>N43</f>
        <v>1x75s</v>
      </c>
      <c r="T43" s="58"/>
    </row>
    <row r="44" spans="2:22" s="1" customFormat="1" ht="19.899999999999999" customHeight="1" thickBot="1" x14ac:dyDescent="0.3">
      <c r="B44" s="4">
        <v>15</v>
      </c>
      <c r="C44" s="347" t="s">
        <v>365</v>
      </c>
      <c r="D44" s="347"/>
      <c r="E44" s="348"/>
      <c r="F44" s="67"/>
      <c r="G44" s="24"/>
      <c r="H44" s="32" t="s">
        <v>24</v>
      </c>
      <c r="I44" s="25" t="s">
        <v>755</v>
      </c>
      <c r="J44" s="26"/>
      <c r="K44" s="67"/>
      <c r="L44" s="24"/>
      <c r="M44" s="32" t="s">
        <v>24</v>
      </c>
      <c r="N44" s="25" t="str">
        <f>I44</f>
        <v>1x75s</v>
      </c>
      <c r="O44" s="26"/>
      <c r="P44" s="67"/>
      <c r="Q44" s="47"/>
      <c r="R44" s="59" t="s">
        <v>24</v>
      </c>
      <c r="S44" s="48" t="str">
        <f>N44</f>
        <v>1x75s</v>
      </c>
      <c r="T44" s="49"/>
    </row>
    <row r="45" spans="2:22" s="2" customFormat="1" ht="4.9000000000000004" customHeight="1" x14ac:dyDescent="0.25">
      <c r="Q45" s="50"/>
      <c r="R45" s="50"/>
      <c r="S45" s="50"/>
      <c r="T45" s="50"/>
    </row>
    <row r="46" spans="2:22" x14ac:dyDescent="0.25">
      <c r="V46" s="1"/>
    </row>
    <row r="47" spans="2:22" x14ac:dyDescent="0.25">
      <c r="V47" s="1"/>
    </row>
    <row r="48" spans="2:22" x14ac:dyDescent="0.25">
      <c r="V48" s="1"/>
    </row>
    <row r="49" spans="22:22" x14ac:dyDescent="0.25">
      <c r="V49" s="1"/>
    </row>
    <row r="50" spans="22:22" x14ac:dyDescent="0.25">
      <c r="V50" s="1"/>
    </row>
    <row r="51" spans="22:22" x14ac:dyDescent="0.25">
      <c r="V51" s="1"/>
    </row>
    <row r="52" spans="22:22" x14ac:dyDescent="0.25">
      <c r="V52" s="1"/>
    </row>
    <row r="53" spans="22:22" x14ac:dyDescent="0.25">
      <c r="V53" s="1"/>
    </row>
  </sheetData>
  <mergeCells count="44">
    <mergeCell ref="O2:T7"/>
    <mergeCell ref="E10:G10"/>
    <mergeCell ref="I10:L10"/>
    <mergeCell ref="B12:T12"/>
    <mergeCell ref="B13:D13"/>
    <mergeCell ref="E13:F13"/>
    <mergeCell ref="G13:I13"/>
    <mergeCell ref="J13:M13"/>
    <mergeCell ref="N13:Q13"/>
    <mergeCell ref="R13:T13"/>
    <mergeCell ref="B18:E18"/>
    <mergeCell ref="B14:D14"/>
    <mergeCell ref="E14:F14"/>
    <mergeCell ref="G14:I14"/>
    <mergeCell ref="J14:M14"/>
    <mergeCell ref="B16:E17"/>
    <mergeCell ref="G16:T16"/>
    <mergeCell ref="H17:I17"/>
    <mergeCell ref="M17:N17"/>
    <mergeCell ref="R17:S17"/>
    <mergeCell ref="N14:Q14"/>
    <mergeCell ref="R14:T14"/>
    <mergeCell ref="C33:E33"/>
    <mergeCell ref="C19:E19"/>
    <mergeCell ref="C20:E20"/>
    <mergeCell ref="C21:E21"/>
    <mergeCell ref="B23:E23"/>
    <mergeCell ref="C24:E24"/>
    <mergeCell ref="C25:E25"/>
    <mergeCell ref="C26:E26"/>
    <mergeCell ref="C28:E28"/>
    <mergeCell ref="C29:E29"/>
    <mergeCell ref="C30:E30"/>
    <mergeCell ref="B32:E32"/>
    <mergeCell ref="G41:T41"/>
    <mergeCell ref="C42:E42"/>
    <mergeCell ref="C43:E43"/>
    <mergeCell ref="C44:E44"/>
    <mergeCell ref="C34:E34"/>
    <mergeCell ref="C35:E35"/>
    <mergeCell ref="C37:E37"/>
    <mergeCell ref="C38:E38"/>
    <mergeCell ref="C39:E39"/>
    <mergeCell ref="B41:E41"/>
  </mergeCell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1" showErrorMessage="1" xr:uid="{1432C776-A1B0-461F-AB9D-84780D6E4304}">
          <x14:formula1>
            <xm:f>'Warm Up'!$A:$A</xm:f>
          </x14:formula1>
          <xm:sqref>B16:E17</xm:sqref>
        </x14:dataValidation>
        <x14:dataValidation type="list" allowBlank="1" showInputMessage="1" showErrorMessage="1" xr:uid="{C5ABFFC9-EC79-429E-9014-8365781501EC}">
          <x14:formula1>
            <xm:f>'Warm Up'!$B:$B</xm:f>
          </x14:formula1>
          <xm:sqref>B13:D13</xm:sqref>
        </x14:dataValidation>
        <x14:dataValidation type="list" allowBlank="1" showInputMessage="1" showErrorMessage="1" xr:uid="{A1868B78-559C-46EE-9413-34F89CE0BB0F}">
          <x14:formula1>
            <xm:f>'Warm Up'!$C:$C</xm:f>
          </x14:formula1>
          <xm:sqref>E13</xm:sqref>
        </x14:dataValidation>
        <x14:dataValidation type="list" allowBlank="1" showInputMessage="1" showErrorMessage="1" xr:uid="{FEFD0F96-F201-45A9-93E6-889EB79FF472}">
          <x14:formula1>
            <xm:f>'Warm Up'!$G:$G</xm:f>
          </x14:formula1>
          <xm:sqref>R13:T13</xm:sqref>
        </x14:dataValidation>
        <x14:dataValidation type="list" allowBlank="1" showInputMessage="1" showErrorMessage="1" xr:uid="{06DEBFEC-E22A-438F-9102-993D06EED884}">
          <x14:formula1>
            <xm:f>'Warm Up'!$H:$H</xm:f>
          </x14:formula1>
          <xm:sqref>B14:D14</xm:sqref>
        </x14:dataValidation>
        <x14:dataValidation type="list" allowBlank="1" showInputMessage="1" showErrorMessage="1" xr:uid="{0A03B320-EAAD-42E3-A565-12C093E640CA}">
          <x14:formula1>
            <xm:f>'Warm Up'!$I:$I</xm:f>
          </x14:formula1>
          <xm:sqref>E14</xm:sqref>
        </x14:dataValidation>
        <x14:dataValidation type="list" allowBlank="1" showInputMessage="1" showErrorMessage="1" xr:uid="{F1882C32-02A7-4602-9107-EFD5638C6840}">
          <x14:formula1>
            <xm:f>'Warm Up'!$M:$M</xm:f>
          </x14:formula1>
          <xm:sqref>R14:T14</xm:sqref>
        </x14:dataValidation>
        <x14:dataValidation type="list" allowBlank="1" showInputMessage="1" showErrorMessage="1" xr:uid="{AB9F357F-EDD1-4776-8F5F-8AEF0A2C50CB}">
          <x14:formula1>
            <xm:f>'Warm Up'!$D:$D</xm:f>
          </x14:formula1>
          <xm:sqref>G13</xm:sqref>
        </x14:dataValidation>
        <x14:dataValidation type="list" allowBlank="1" showInputMessage="1" showErrorMessage="1" xr:uid="{A2BF39A6-FE37-45BF-8C8C-9E633AAD60D9}">
          <x14:formula1>
            <xm:f>'Warm Up'!$J:$J</xm:f>
          </x14:formula1>
          <xm:sqref>G14</xm:sqref>
        </x14:dataValidation>
        <x14:dataValidation type="list" allowBlank="1" showInputMessage="1" showErrorMessage="1" xr:uid="{9F06B4F0-D979-4914-B133-90E8229BF754}">
          <x14:formula1>
            <xm:f>'Warm Up'!$E:$E</xm:f>
          </x14:formula1>
          <xm:sqref>J13</xm:sqref>
        </x14:dataValidation>
        <x14:dataValidation type="list" allowBlank="1" showInputMessage="1" showErrorMessage="1" xr:uid="{6DBCE2A0-557F-4833-B2BE-C9604FFBFB85}">
          <x14:formula1>
            <xm:f>'Warm Up'!$K:$K</xm:f>
          </x14:formula1>
          <xm:sqref>J14</xm:sqref>
        </x14:dataValidation>
        <x14:dataValidation type="list" allowBlank="1" showInputMessage="1" showErrorMessage="1" xr:uid="{E924BBB8-4581-4BF0-80ED-A4097EDC7382}">
          <x14:formula1>
            <xm:f>'Warm Up'!$F:$F</xm:f>
          </x14:formula1>
          <xm:sqref>N13</xm:sqref>
        </x14:dataValidation>
        <x14:dataValidation type="list" allowBlank="1" showInputMessage="1" showErrorMessage="1" xr:uid="{F6793275-BE24-4890-A07C-8112D38639FB}">
          <x14:formula1>
            <xm:f>'Warm Up'!$L:$L</xm:f>
          </x14:formula1>
          <xm:sqref>N14</xm:sqref>
        </x14:dataValidation>
        <x14:dataValidation type="list" allowBlank="1" showInputMessage="1" showErrorMessage="1" xr:uid="{0D138573-0166-4400-8380-E1CA507B5114}">
          <x14:formula1>
            <xm:f>' Unterkörper Progressionen '!$Z:$Z</xm:f>
          </x14:formula1>
          <xm:sqref>I42:I44 I24:I26 I28:I31 I37:I40 I33:I35</xm:sqref>
        </x14:dataValidation>
        <x14:dataValidation type="list" allowBlank="1" showInputMessage="1" showErrorMessage="1" xr:uid="{103D6B23-0493-457F-9BC2-50785E00C737}">
          <x14:formula1>
            <xm:f>' Unterkörper Progressionen '!$AA:$AA</xm:f>
          </x14:formula1>
          <xm:sqref>J20</xm:sqref>
        </x14:dataValidation>
        <x14:dataValidation type="list" allowBlank="1" showInputMessage="1" showErrorMessage="1" xr:uid="{CCBA27FD-D5D1-4FD7-80A5-03D31C1F44DC}">
          <x14:formula1>
            <xm:f>' Unterkörper Progressionen '!$B:$B</xm:f>
          </x14:formula1>
          <xm:sqref>C19:E19</xm:sqref>
        </x14:dataValidation>
        <x14:dataValidation type="list" allowBlank="1" showInputMessage="1" showErrorMessage="1" xr:uid="{14E7EB61-5DC4-4E65-BB14-C121137243F9}">
          <x14:formula1>
            <xm:f>' Unterkörper Progressionen '!$C:$C</xm:f>
          </x14:formula1>
          <xm:sqref>C20:E20</xm:sqref>
        </x14:dataValidation>
        <x14:dataValidation type="list" allowBlank="1" showInputMessage="1" showErrorMessage="1" xr:uid="{C58E96EC-AA49-4B76-9495-2AA5652049B9}">
          <x14:formula1>
            <xm:f>' Unterkörper Progressionen '!$D:$D</xm:f>
          </x14:formula1>
          <xm:sqref>C21:E21</xm:sqref>
        </x14:dataValidation>
        <x14:dataValidation type="list" allowBlank="1" showInputMessage="1" showErrorMessage="1" xr:uid="{F336F628-CE0F-4645-B581-06CB30DCEB59}">
          <x14:formula1>
            <xm:f>' Unterkörper Progressionen '!$E:$E</xm:f>
          </x14:formula1>
          <xm:sqref>C24:E24</xm:sqref>
        </x14:dataValidation>
        <x14:dataValidation type="list" allowBlank="1" showInputMessage="1" showErrorMessage="1" xr:uid="{67DAFE92-77EF-4841-AFC8-715C9DBE4093}">
          <x14:formula1>
            <xm:f>' Unterkörper Progressionen '!$F:$F</xm:f>
          </x14:formula1>
          <xm:sqref>C25:E25</xm:sqref>
        </x14:dataValidation>
        <x14:dataValidation type="list" allowBlank="1" showInputMessage="1" showErrorMessage="1" xr:uid="{93CBD1C2-C0B8-40D7-BF10-5AFA1206DE20}">
          <x14:formula1>
            <xm:f>' Unterkörper Progressionen '!$G:$G</xm:f>
          </x14:formula1>
          <xm:sqref>C26:E26</xm:sqref>
        </x14:dataValidation>
        <x14:dataValidation type="list" allowBlank="1" showInputMessage="1" showErrorMessage="1" xr:uid="{110B699E-47A1-4137-95F0-844460C8E7BA}">
          <x14:formula1>
            <xm:f>' Unterkörper Progressionen '!$H:$H</xm:f>
          </x14:formula1>
          <xm:sqref>C28:E28</xm:sqref>
        </x14:dataValidation>
        <x14:dataValidation type="list" allowBlank="1" showInputMessage="1" showErrorMessage="1" xr:uid="{A655CC4F-7BB3-40F1-AA39-C5C855618131}">
          <x14:formula1>
            <xm:f>' Unterkörper Progressionen '!$I:$I</xm:f>
          </x14:formula1>
          <xm:sqref>C29:E29</xm:sqref>
        </x14:dataValidation>
        <x14:dataValidation type="list" allowBlank="1" showInputMessage="1" showErrorMessage="1" xr:uid="{D92F7152-CC0C-48FE-8455-4FA415DE192B}">
          <x14:formula1>
            <xm:f>' Unterkörper Progressionen '!$J:$J</xm:f>
          </x14:formula1>
          <xm:sqref>C30:E30</xm:sqref>
        </x14:dataValidation>
        <x14:dataValidation type="list" allowBlank="1" showInputMessage="1" showErrorMessage="1" xr:uid="{76A1C664-DF2F-4943-B23D-63C2C14BC657}">
          <x14:formula1>
            <xm:f>' Unterkörper Progressionen '!$L:$L</xm:f>
          </x14:formula1>
          <xm:sqref>C33:E33</xm:sqref>
        </x14:dataValidation>
        <x14:dataValidation type="list" allowBlank="1" showInputMessage="1" showErrorMessage="1" xr:uid="{E577E284-0C7B-4640-A0BF-C918AC09FF0F}">
          <x14:formula1>
            <xm:f>' Unterkörper Progressionen '!$M:$M</xm:f>
          </x14:formula1>
          <xm:sqref>C34:E34</xm:sqref>
        </x14:dataValidation>
        <x14:dataValidation type="list" allowBlank="1" showInputMessage="1" showErrorMessage="1" xr:uid="{BC0B3752-F8DA-43FD-B44C-FD75774F4F46}">
          <x14:formula1>
            <xm:f>' Unterkörper Progressionen '!$P:$P</xm:f>
          </x14:formula1>
          <xm:sqref>C35:E35</xm:sqref>
        </x14:dataValidation>
        <x14:dataValidation type="list" allowBlank="1" showInputMessage="1" showErrorMessage="1" xr:uid="{1BE26BCE-0A83-4F98-A11B-72793BD3F6CC}">
          <x14:formula1>
            <xm:f>' Unterkörper Progressionen '!$Q:$Q</xm:f>
          </x14:formula1>
          <xm:sqref>C37:E37</xm:sqref>
        </x14:dataValidation>
        <x14:dataValidation type="list" allowBlank="1" showInputMessage="1" showErrorMessage="1" xr:uid="{75737757-5AA4-41CD-8FF9-D43CF5CD7D64}">
          <x14:formula1>
            <xm:f>' Unterkörper Progressionen '!$R:$R</xm:f>
          </x14:formula1>
          <xm:sqref>C38:E38</xm:sqref>
        </x14:dataValidation>
        <x14:dataValidation type="list" allowBlank="1" showInputMessage="1" showErrorMessage="1" xr:uid="{C3A8123E-656E-4094-84C1-92CAED188FC3}">
          <x14:formula1>
            <xm:f>' Unterkörper Progressionen '!$S:$S</xm:f>
          </x14:formula1>
          <xm:sqref>C39:E39</xm:sqref>
        </x14:dataValidation>
        <x14:dataValidation type="list" allowBlank="1" showInputMessage="1" showErrorMessage="1" xr:uid="{C3277886-B108-4A4E-B734-7FF2BF5F691B}">
          <x14:formula1>
            <xm:f>' Unterkörper Progressionen '!$U:$U</xm:f>
          </x14:formula1>
          <xm:sqref>C42:E42</xm:sqref>
        </x14:dataValidation>
        <x14:dataValidation type="list" allowBlank="1" showInputMessage="1" showErrorMessage="1" xr:uid="{78560CEE-8CB9-40B6-8E1F-B57F010B4893}">
          <x14:formula1>
            <xm:f>' Unterkörper Progressionen '!$V:$V</xm:f>
          </x14:formula1>
          <xm:sqref>C43:E43</xm:sqref>
        </x14:dataValidation>
        <x14:dataValidation type="list" allowBlank="1" showInputMessage="1" showErrorMessage="1" xr:uid="{436AE8D3-431F-4819-B455-26F4CA4F7062}">
          <x14:formula1>
            <xm:f>' Unterkörper Progressionen '!$W:$W</xm:f>
          </x14:formula1>
          <xm:sqref>C44:E44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875D2-777F-493E-81B7-8A5DA3132010}">
  <sheetPr>
    <pageSetUpPr fitToPage="1"/>
  </sheetPr>
  <dimension ref="B1:W43"/>
  <sheetViews>
    <sheetView topLeftCell="A16" zoomScale="94" zoomScaleNormal="100" workbookViewId="0">
      <selection activeCell="C34" sqref="C34:E34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W4" s="2"/>
    </row>
    <row r="5" spans="2:23" x14ac:dyDescent="0.25">
      <c r="B5" s="7"/>
      <c r="C5" s="76" t="str">
        <f>[1]Unterkörperplan!C5</f>
        <v>NAME</v>
      </c>
      <c r="I5" s="12"/>
      <c r="O5" s="343"/>
      <c r="P5" s="343"/>
      <c r="Q5" s="343"/>
      <c r="R5" s="343"/>
      <c r="S5" s="343"/>
      <c r="T5" s="344"/>
      <c r="U5" s="2"/>
      <c r="W5" s="2"/>
    </row>
    <row r="6" spans="2:23" x14ac:dyDescent="0.25">
      <c r="B6" s="7"/>
      <c r="C6" s="76"/>
      <c r="E6" t="s">
        <v>2</v>
      </c>
      <c r="O6" s="343"/>
      <c r="P6" s="343"/>
      <c r="Q6" s="343"/>
      <c r="R6" s="343"/>
      <c r="S6" s="343"/>
      <c r="T6" s="344"/>
      <c r="U6" s="2"/>
      <c r="W6" s="2"/>
    </row>
    <row r="7" spans="2:23" x14ac:dyDescent="0.25">
      <c r="B7" s="7"/>
      <c r="C7" s="76"/>
      <c r="O7" s="343"/>
      <c r="P7" s="343"/>
      <c r="Q7" s="343"/>
      <c r="R7" s="343"/>
      <c r="S7" s="343"/>
      <c r="T7" s="344"/>
      <c r="U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W9" s="2"/>
    </row>
    <row r="10" spans="2:23" ht="16.5" hidden="1" thickBot="1" x14ac:dyDescent="0.3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1" customFormat="1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tr">
        <f>Unterkörper4!B13</f>
        <v>BALANCE - TGU - 1/2-KN. TO STAND</v>
      </c>
      <c r="C13" s="330"/>
      <c r="D13" s="330"/>
      <c r="E13" s="388" t="str">
        <f>Unterkörper4!E13</f>
        <v>LOADED FOOT ELBOW CRAWL</v>
      </c>
      <c r="F13" s="389"/>
      <c r="G13" s="330" t="str">
        <f>Unterkörper4!G13</f>
        <v>2-ARM RACK CARRY</v>
      </c>
      <c r="H13" s="330"/>
      <c r="I13" s="330"/>
      <c r="J13" s="330" t="str">
        <f>Unterkörper4!J13</f>
        <v>BW RACK SQUAT</v>
      </c>
      <c r="K13" s="330"/>
      <c r="L13" s="330"/>
      <c r="M13" s="330"/>
      <c r="N13" s="330" t="str">
        <f>Unterkörper4!N13</f>
        <v>1 KB SUITCASE DEADLIFT</v>
      </c>
      <c r="O13" s="330"/>
      <c r="P13" s="330"/>
      <c r="Q13" s="330"/>
      <c r="R13" s="330" t="str">
        <f>Unterkörper4!R13</f>
        <v>1KB 1-LEG DEADLIFT</v>
      </c>
      <c r="S13" s="330"/>
      <c r="T13" s="331"/>
    </row>
    <row r="14" spans="2:23" s="34" customFormat="1" ht="20.100000000000001" customHeight="1" thickBot="1" x14ac:dyDescent="0.3">
      <c r="B14" s="361" t="str">
        <f>Unterkörper4!B14</f>
        <v>LOADED ANKLE ROCKER SHUFFLE</v>
      </c>
      <c r="C14" s="329"/>
      <c r="D14" s="329"/>
      <c r="E14" s="386" t="str">
        <f>Unterkörper4!E14</f>
        <v>ANKLE POS. 2 15 SEC</v>
      </c>
      <c r="F14" s="387"/>
      <c r="G14" s="329" t="str">
        <f>Unterkörper4!G14</f>
        <v>LOADED LATERAL ANKLE MARCH</v>
      </c>
      <c r="H14" s="329"/>
      <c r="I14" s="329"/>
      <c r="J14" s="329" t="str">
        <f>Unterkörper4!J14</f>
        <v>LOADED A-SKIP</v>
      </c>
      <c r="K14" s="329"/>
      <c r="L14" s="329"/>
      <c r="M14" s="329"/>
      <c r="N14" s="329" t="str">
        <f>Unterkörper4!N14</f>
        <v>REACTIVE 1-LEG MEDIAL HOP - TO BOX (NCM)</v>
      </c>
      <c r="O14" s="329"/>
      <c r="P14" s="329"/>
      <c r="Q14" s="329"/>
      <c r="R14" s="329" t="str">
        <f>Unterkörper4!R14</f>
        <v>LOADED REACTIVE SQUAT JUMP OF BOX TO BOX</v>
      </c>
      <c r="S14" s="329"/>
      <c r="T14" s="332"/>
    </row>
    <row r="15" spans="2:23" ht="16.5" thickBot="1" x14ac:dyDescent="0.3">
      <c r="B15" s="380" t="str">
        <f>Unterkörper4!B16</f>
        <v>LEVEL 4</v>
      </c>
      <c r="C15" s="381"/>
      <c r="D15" s="381"/>
      <c r="E15" s="382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83"/>
      <c r="C16" s="384"/>
      <c r="D16" s="384"/>
      <c r="E16" s="385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8" customHeight="1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280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256</v>
      </c>
      <c r="D19" s="343"/>
      <c r="E19" s="344"/>
      <c r="G19" s="68" t="s">
        <v>23</v>
      </c>
      <c r="H19" s="69"/>
      <c r="I19" s="69" t="s">
        <v>25</v>
      </c>
      <c r="J19" s="70" t="s">
        <v>744</v>
      </c>
      <c r="L19" s="68" t="s">
        <v>23</v>
      </c>
      <c r="M19" s="69"/>
      <c r="N19" s="69" t="s">
        <v>25</v>
      </c>
      <c r="O19" s="70" t="str">
        <f>J19</f>
        <v>1kg</v>
      </c>
      <c r="Q19" s="77" t="s">
        <v>23</v>
      </c>
      <c r="R19" s="78"/>
      <c r="S19" s="78" t="s">
        <v>25</v>
      </c>
      <c r="T19" s="79" t="str">
        <f>J19</f>
        <v>1kg</v>
      </c>
    </row>
    <row r="20" spans="2:23" s="1" customFormat="1" ht="19.899999999999999" customHeight="1" thickBot="1" x14ac:dyDescent="0.3">
      <c r="B20" s="4">
        <v>3</v>
      </c>
      <c r="C20" s="341" t="s">
        <v>253</v>
      </c>
      <c r="D20" s="341"/>
      <c r="E20" s="342"/>
      <c r="G20" s="24" t="s">
        <v>23</v>
      </c>
      <c r="H20" s="25"/>
      <c r="I20" s="25" t="s">
        <v>25</v>
      </c>
      <c r="J20" s="26" t="s">
        <v>744</v>
      </c>
      <c r="L20" s="24" t="s">
        <v>23</v>
      </c>
      <c r="M20" s="25"/>
      <c r="N20" s="25" t="s">
        <v>25</v>
      </c>
      <c r="O20" s="26" t="str">
        <f>J20</f>
        <v>1kg</v>
      </c>
      <c r="Q20" s="47" t="s">
        <v>23</v>
      </c>
      <c r="R20" s="48"/>
      <c r="S20" s="48" t="s">
        <v>25</v>
      </c>
      <c r="T20" s="49" t="str">
        <f>J20</f>
        <v>1kg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8" customHeight="1" thickBot="1" x14ac:dyDescent="0.3">
      <c r="B22" s="338" t="s">
        <v>381</v>
      </c>
      <c r="C22" s="339"/>
      <c r="D22" s="339"/>
      <c r="E22" s="340"/>
      <c r="G22" s="129" t="s">
        <v>22</v>
      </c>
      <c r="H22" s="130" t="s">
        <v>20</v>
      </c>
      <c r="I22" s="130" t="s">
        <v>21</v>
      </c>
      <c r="J22" s="131" t="s">
        <v>22</v>
      </c>
      <c r="L22" s="129" t="str">
        <f>G22</f>
        <v>WEIGHT</v>
      </c>
      <c r="M22" s="130" t="s">
        <v>20</v>
      </c>
      <c r="N22" s="130" t="s">
        <v>21</v>
      </c>
      <c r="O22" s="131" t="s">
        <v>22</v>
      </c>
      <c r="Q22" s="132" t="str">
        <f>L22</f>
        <v>WEIGHT</v>
      </c>
      <c r="R22" s="133" t="s">
        <v>20</v>
      </c>
      <c r="S22" s="133" t="s">
        <v>21</v>
      </c>
      <c r="T22" s="134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517</v>
      </c>
      <c r="D23" s="336"/>
      <c r="E23" s="337"/>
      <c r="G23" s="21"/>
      <c r="H23" s="22" t="s">
        <v>24</v>
      </c>
      <c r="I23" s="28" t="s">
        <v>17</v>
      </c>
      <c r="J23" s="23"/>
      <c r="L23" s="21"/>
      <c r="M23" s="22" t="s">
        <v>24</v>
      </c>
      <c r="N23" s="22" t="str">
        <f>I23</f>
        <v>1x20</v>
      </c>
      <c r="O23" s="23"/>
      <c r="Q23" s="51"/>
      <c r="R23" s="53" t="s">
        <v>24</v>
      </c>
      <c r="S23" s="53" t="str">
        <f>I23</f>
        <v>1x20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519</v>
      </c>
      <c r="D24" s="343"/>
      <c r="E24" s="344"/>
      <c r="G24" s="27"/>
      <c r="H24" s="28" t="s">
        <v>24</v>
      </c>
      <c r="I24" s="28" t="s">
        <v>17</v>
      </c>
      <c r="J24" s="29"/>
      <c r="L24" s="27"/>
      <c r="M24" s="28" t="s">
        <v>24</v>
      </c>
      <c r="N24" s="28" t="str">
        <f>I24</f>
        <v>1x20</v>
      </c>
      <c r="O24" s="29"/>
      <c r="Q24" s="55"/>
      <c r="R24" s="57" t="s">
        <v>24</v>
      </c>
      <c r="S24" s="57" t="str">
        <f>I24</f>
        <v>1x20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773</v>
      </c>
      <c r="D25" s="341"/>
      <c r="E25" s="342"/>
      <c r="G25" s="24"/>
      <c r="H25" s="25" t="s">
        <v>24</v>
      </c>
      <c r="I25" s="25" t="s">
        <v>745</v>
      </c>
      <c r="J25" s="26"/>
      <c r="L25" s="24"/>
      <c r="M25" s="25" t="s">
        <v>24</v>
      </c>
      <c r="N25" s="25" t="str">
        <f>I25</f>
        <v>2x15m</v>
      </c>
      <c r="O25" s="26"/>
      <c r="Q25" s="47"/>
      <c r="R25" s="48" t="s">
        <v>24</v>
      </c>
      <c r="S25" s="48" t="str">
        <f>I25</f>
        <v>2x15m</v>
      </c>
      <c r="T25" s="49"/>
    </row>
    <row r="26" spans="2:23" s="2" customFormat="1" ht="4.9000000000000004" customHeight="1" thickBot="1" x14ac:dyDescent="0.3">
      <c r="B26" s="74"/>
      <c r="Q26" s="50"/>
      <c r="R26" s="50"/>
      <c r="S26" s="50"/>
      <c r="T26" s="75"/>
    </row>
    <row r="27" spans="2:23" s="1" customFormat="1" ht="19.899999999999999" customHeight="1" x14ac:dyDescent="0.25">
      <c r="B27" s="9">
        <v>4</v>
      </c>
      <c r="C27" s="336" t="s">
        <v>283</v>
      </c>
      <c r="D27" s="336"/>
      <c r="E27" s="337"/>
      <c r="G27" s="21"/>
      <c r="H27" s="22" t="s">
        <v>24</v>
      </c>
      <c r="I27" s="22" t="s">
        <v>17</v>
      </c>
      <c r="J27" s="23"/>
      <c r="L27" s="21"/>
      <c r="M27" s="22" t="s">
        <v>24</v>
      </c>
      <c r="N27" s="22" t="str">
        <f>I27</f>
        <v>1x20</v>
      </c>
      <c r="O27" s="23"/>
      <c r="Q27" s="51"/>
      <c r="R27" s="53" t="s">
        <v>24</v>
      </c>
      <c r="S27" s="53" t="str">
        <f>I27</f>
        <v>1x20</v>
      </c>
      <c r="T27" s="54"/>
    </row>
    <row r="28" spans="2:23" s="1" customFormat="1" ht="19.899999999999999" customHeight="1" x14ac:dyDescent="0.25">
      <c r="B28" s="3">
        <v>5</v>
      </c>
      <c r="C28" s="343" t="s">
        <v>811</v>
      </c>
      <c r="D28" s="343"/>
      <c r="E28" s="344"/>
      <c r="G28" s="27"/>
      <c r="H28" s="28" t="s">
        <v>24</v>
      </c>
      <c r="I28" s="28" t="s">
        <v>17</v>
      </c>
      <c r="J28" s="29"/>
      <c r="L28" s="27"/>
      <c r="M28" s="28" t="s">
        <v>24</v>
      </c>
      <c r="N28" s="28" t="str">
        <f>I28</f>
        <v>1x20</v>
      </c>
      <c r="O28" s="29"/>
      <c r="Q28" s="55"/>
      <c r="R28" s="57" t="s">
        <v>24</v>
      </c>
      <c r="S28" s="28" t="str">
        <f>I28</f>
        <v>1x20</v>
      </c>
      <c r="T28" s="58"/>
    </row>
    <row r="29" spans="2:23" s="1" customFormat="1" ht="19.899999999999999" customHeight="1" thickBot="1" x14ac:dyDescent="0.3">
      <c r="B29" s="4">
        <v>6</v>
      </c>
      <c r="C29" s="341" t="s">
        <v>73</v>
      </c>
      <c r="D29" s="341"/>
      <c r="E29" s="342"/>
      <c r="G29" s="24"/>
      <c r="H29" s="25" t="s">
        <v>24</v>
      </c>
      <c r="I29" s="25" t="s">
        <v>789</v>
      </c>
      <c r="J29" s="26"/>
      <c r="L29" s="24"/>
      <c r="M29" s="25" t="s">
        <v>24</v>
      </c>
      <c r="N29" s="25" t="str">
        <f>I29</f>
        <v>3x5 ea</v>
      </c>
      <c r="O29" s="26"/>
      <c r="Q29" s="47"/>
      <c r="R29" s="48" t="s">
        <v>24</v>
      </c>
      <c r="S29" s="48" t="str">
        <f>I29</f>
        <v>3x5 ea</v>
      </c>
      <c r="T29" s="49"/>
    </row>
    <row r="30" spans="2:23" s="1" customFormat="1" ht="5.0999999999999996" customHeight="1" thickBot="1" x14ac:dyDescent="0.3">
      <c r="B30" s="4"/>
      <c r="C30" s="67"/>
      <c r="D30" s="67"/>
      <c r="E30" s="118"/>
      <c r="G30" s="4"/>
      <c r="H30" s="67"/>
      <c r="I30" s="67"/>
      <c r="J30" s="67"/>
      <c r="L30" s="67"/>
      <c r="M30" s="67"/>
      <c r="N30" s="67"/>
      <c r="O30" s="67"/>
      <c r="Q30" s="120"/>
      <c r="R30" s="120"/>
      <c r="S30" s="120"/>
      <c r="T30" s="121"/>
    </row>
    <row r="31" spans="2:23" s="2" customFormat="1" ht="18" customHeight="1" thickBot="1" x14ac:dyDescent="0.3">
      <c r="B31" s="338" t="s">
        <v>746</v>
      </c>
      <c r="C31" s="339"/>
      <c r="D31" s="339"/>
      <c r="E31" s="340"/>
      <c r="F31" s="119"/>
      <c r="G31" s="333"/>
      <c r="H31" s="334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5"/>
    </row>
    <row r="32" spans="2:23" s="1" customFormat="1" ht="19.899999999999999" customHeight="1" x14ac:dyDescent="0.25">
      <c r="B32" s="9">
        <v>7</v>
      </c>
      <c r="C32" s="336" t="s">
        <v>285</v>
      </c>
      <c r="D32" s="336"/>
      <c r="E32" s="337"/>
      <c r="G32" s="21"/>
      <c r="H32" s="22" t="s">
        <v>24</v>
      </c>
      <c r="I32" s="22" t="s">
        <v>17</v>
      </c>
      <c r="J32" s="23"/>
      <c r="L32" s="21"/>
      <c r="M32" s="22" t="s">
        <v>24</v>
      </c>
      <c r="N32" s="22" t="str">
        <f>I32</f>
        <v>1x20</v>
      </c>
      <c r="O32" s="23"/>
      <c r="Q32" s="51"/>
      <c r="R32" s="53" t="s">
        <v>24</v>
      </c>
      <c r="S32" s="53" t="str">
        <f>I32</f>
        <v>1x20</v>
      </c>
      <c r="T32" s="54"/>
    </row>
    <row r="33" spans="2:20" s="1" customFormat="1" ht="19.899999999999999" customHeight="1" x14ac:dyDescent="0.25">
      <c r="B33" s="3">
        <v>8</v>
      </c>
      <c r="C33" s="343" t="s">
        <v>288</v>
      </c>
      <c r="D33" s="343"/>
      <c r="E33" s="344"/>
      <c r="G33" s="27"/>
      <c r="H33" s="28" t="s">
        <v>24</v>
      </c>
      <c r="I33" s="28" t="s">
        <v>17</v>
      </c>
      <c r="J33" s="29"/>
      <c r="L33" s="27"/>
      <c r="M33" s="28" t="s">
        <v>24</v>
      </c>
      <c r="N33" s="28" t="str">
        <f>I33</f>
        <v>1x20</v>
      </c>
      <c r="O33" s="29"/>
      <c r="Q33" s="55"/>
      <c r="R33" s="57" t="s">
        <v>24</v>
      </c>
      <c r="S33" s="28" t="str">
        <f>I33</f>
        <v>1x20</v>
      </c>
      <c r="T33" s="58"/>
    </row>
    <row r="34" spans="2:20" s="1" customFormat="1" ht="19.899999999999999" customHeight="1" thickBot="1" x14ac:dyDescent="0.3">
      <c r="B34" s="4">
        <v>9</v>
      </c>
      <c r="C34" s="341" t="s">
        <v>812</v>
      </c>
      <c r="D34" s="341"/>
      <c r="E34" s="342"/>
      <c r="G34" s="24"/>
      <c r="H34" s="25" t="s">
        <v>24</v>
      </c>
      <c r="I34" s="25" t="s">
        <v>749</v>
      </c>
      <c r="J34" s="26"/>
      <c r="L34" s="24"/>
      <c r="M34" s="25" t="s">
        <v>24</v>
      </c>
      <c r="N34" s="25" t="str">
        <f>I34</f>
        <v>3x10s ea</v>
      </c>
      <c r="O34" s="26"/>
      <c r="Q34" s="47"/>
      <c r="R34" s="48" t="s">
        <v>24</v>
      </c>
      <c r="S34" s="48" t="str">
        <f>I34</f>
        <v>3x10s ea</v>
      </c>
      <c r="T34" s="49"/>
    </row>
    <row r="35" spans="2:20" s="2" customFormat="1" ht="4.9000000000000004" customHeight="1" thickBot="1" x14ac:dyDescent="0.3">
      <c r="B35" s="74"/>
      <c r="Q35" s="50"/>
      <c r="R35" s="50"/>
      <c r="S35" s="50"/>
      <c r="T35" s="75"/>
    </row>
    <row r="36" spans="2:20" s="1" customFormat="1" ht="19.899999999999999" customHeight="1" x14ac:dyDescent="0.25">
      <c r="B36" s="9">
        <v>10</v>
      </c>
      <c r="C36" s="336" t="s">
        <v>286</v>
      </c>
      <c r="D36" s="336"/>
      <c r="E36" s="337"/>
      <c r="G36" s="21"/>
      <c r="H36" s="22" t="s">
        <v>24</v>
      </c>
      <c r="I36" s="22" t="s">
        <v>17</v>
      </c>
      <c r="J36" s="23"/>
      <c r="L36" s="21"/>
      <c r="M36" s="22" t="s">
        <v>24</v>
      </c>
      <c r="N36" s="22" t="str">
        <f>I36</f>
        <v>1x20</v>
      </c>
      <c r="O36" s="23"/>
      <c r="Q36" s="21"/>
      <c r="R36" s="22" t="s">
        <v>24</v>
      </c>
      <c r="S36" s="53" t="str">
        <f>I36</f>
        <v>1x20</v>
      </c>
      <c r="T36" s="23"/>
    </row>
    <row r="37" spans="2:20" s="1" customFormat="1" ht="19.899999999999999" customHeight="1" x14ac:dyDescent="0.25">
      <c r="B37" s="3">
        <v>11</v>
      </c>
      <c r="C37" s="343" t="s">
        <v>546</v>
      </c>
      <c r="D37" s="343"/>
      <c r="E37" s="344"/>
      <c r="G37" s="27"/>
      <c r="H37" s="28" t="s">
        <v>24</v>
      </c>
      <c r="I37" s="28" t="s">
        <v>17</v>
      </c>
      <c r="J37" s="29"/>
      <c r="L37" s="27"/>
      <c r="M37" s="28" t="s">
        <v>24</v>
      </c>
      <c r="N37" s="28" t="str">
        <f>I37</f>
        <v>1x20</v>
      </c>
      <c r="O37" s="29"/>
      <c r="Q37" s="27"/>
      <c r="R37" s="28" t="s">
        <v>24</v>
      </c>
      <c r="S37" s="28" t="str">
        <f>I37</f>
        <v>1x20</v>
      </c>
      <c r="T37" s="29"/>
    </row>
    <row r="38" spans="2:20" s="1" customFormat="1" ht="19.899999999999999" customHeight="1" thickBot="1" x14ac:dyDescent="0.3">
      <c r="B38" s="4">
        <v>12</v>
      </c>
      <c r="C38" s="341" t="s">
        <v>730</v>
      </c>
      <c r="D38" s="341"/>
      <c r="E38" s="342"/>
      <c r="G38" s="24"/>
      <c r="H38" s="25" t="s">
        <v>24</v>
      </c>
      <c r="I38" s="25" t="s">
        <v>17</v>
      </c>
      <c r="J38" s="26"/>
      <c r="L38" s="24"/>
      <c r="M38" s="25" t="s">
        <v>24</v>
      </c>
      <c r="N38" s="25" t="str">
        <f>I38</f>
        <v>1x20</v>
      </c>
      <c r="O38" s="26"/>
      <c r="Q38" s="47"/>
      <c r="R38" s="48" t="s">
        <v>24</v>
      </c>
      <c r="S38" s="48" t="str">
        <f>I38</f>
        <v>1x20</v>
      </c>
      <c r="T38" s="49"/>
    </row>
    <row r="39" spans="2:20" s="1" customFormat="1" ht="5.0999999999999996" customHeight="1" thickBot="1" x14ac:dyDescent="0.3">
      <c r="B39" s="4"/>
      <c r="C39" s="67"/>
      <c r="D39" s="67"/>
      <c r="E39" s="118"/>
      <c r="G39" s="4"/>
      <c r="H39" s="67"/>
      <c r="I39" s="67"/>
      <c r="J39" s="67"/>
      <c r="L39" s="67"/>
      <c r="M39" s="67"/>
      <c r="N39" s="67"/>
      <c r="O39" s="67"/>
      <c r="Q39" s="120"/>
      <c r="R39" s="120"/>
      <c r="S39" s="120"/>
      <c r="T39" s="121"/>
    </row>
    <row r="40" spans="2:20" s="2" customFormat="1" ht="18" customHeight="1" thickBot="1" x14ac:dyDescent="0.3">
      <c r="B40" s="338" t="s">
        <v>382</v>
      </c>
      <c r="C40" s="339"/>
      <c r="D40" s="339"/>
      <c r="E40" s="340"/>
      <c r="G40" s="333"/>
      <c r="H40" s="334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5"/>
    </row>
    <row r="41" spans="2:20" s="1" customFormat="1" ht="19.899999999999999" customHeight="1" x14ac:dyDescent="0.25">
      <c r="B41" s="9">
        <v>13</v>
      </c>
      <c r="C41" s="336" t="s">
        <v>231</v>
      </c>
      <c r="D41" s="336"/>
      <c r="E41" s="337"/>
      <c r="G41" s="21"/>
      <c r="H41" s="22" t="s">
        <v>24</v>
      </c>
      <c r="I41" s="22" t="s">
        <v>755</v>
      </c>
      <c r="J41" s="23"/>
      <c r="L41" s="21"/>
      <c r="M41" s="22" t="s">
        <v>24</v>
      </c>
      <c r="N41" s="22" t="str">
        <f>I41</f>
        <v>1x75s</v>
      </c>
      <c r="O41" s="23"/>
      <c r="Q41" s="21"/>
      <c r="R41" s="22" t="s">
        <v>24</v>
      </c>
      <c r="S41" s="22" t="str">
        <f>N41</f>
        <v>1x75s</v>
      </c>
      <c r="T41" s="23"/>
    </row>
    <row r="42" spans="2:20" s="1" customFormat="1" ht="19.899999999999999" customHeight="1" x14ac:dyDescent="0.25">
      <c r="B42" s="3">
        <v>14</v>
      </c>
      <c r="C42" s="343" t="s">
        <v>547</v>
      </c>
      <c r="D42" s="343"/>
      <c r="E42" s="344"/>
      <c r="G42" s="27"/>
      <c r="H42" s="28" t="s">
        <v>24</v>
      </c>
      <c r="I42" s="28" t="s">
        <v>755</v>
      </c>
      <c r="J42" s="29"/>
      <c r="L42" s="27"/>
      <c r="M42" s="28" t="s">
        <v>24</v>
      </c>
      <c r="N42" s="28" t="str">
        <f>I42</f>
        <v>1x75s</v>
      </c>
      <c r="O42" s="29"/>
      <c r="Q42" s="27"/>
      <c r="R42" s="28" t="s">
        <v>24</v>
      </c>
      <c r="S42" s="28" t="str">
        <f>N42</f>
        <v>1x75s</v>
      </c>
      <c r="T42" s="29"/>
    </row>
    <row r="43" spans="2:20" s="1" customFormat="1" ht="19.899999999999999" customHeight="1" thickBot="1" x14ac:dyDescent="0.3">
      <c r="B43" s="4">
        <v>15</v>
      </c>
      <c r="C43" s="347" t="s">
        <v>384</v>
      </c>
      <c r="D43" s="347"/>
      <c r="E43" s="348"/>
      <c r="F43" s="67"/>
      <c r="G43" s="24"/>
      <c r="H43" s="25" t="s">
        <v>24</v>
      </c>
      <c r="I43" s="25" t="s">
        <v>755</v>
      </c>
      <c r="J43" s="26"/>
      <c r="K43" s="67"/>
      <c r="L43" s="24"/>
      <c r="M43" s="25" t="s">
        <v>24</v>
      </c>
      <c r="N43" s="25" t="str">
        <f>I43</f>
        <v>1x75s</v>
      </c>
      <c r="O43" s="26"/>
      <c r="P43" s="67"/>
      <c r="Q43" s="24"/>
      <c r="R43" s="25" t="s">
        <v>24</v>
      </c>
      <c r="S43" s="25" t="str">
        <f>N43</f>
        <v>1x75s</v>
      </c>
      <c r="T43" s="26"/>
    </row>
  </sheetData>
  <mergeCells count="44">
    <mergeCell ref="O2:T7"/>
    <mergeCell ref="M10:N10"/>
    <mergeCell ref="B12:T12"/>
    <mergeCell ref="B13:D13"/>
    <mergeCell ref="E13:F13"/>
    <mergeCell ref="G13:I13"/>
    <mergeCell ref="J13:M13"/>
    <mergeCell ref="N13:Q13"/>
    <mergeCell ref="R13:T13"/>
    <mergeCell ref="B17:E17"/>
    <mergeCell ref="B14:D14"/>
    <mergeCell ref="E14:F14"/>
    <mergeCell ref="G14:I14"/>
    <mergeCell ref="J14:M14"/>
    <mergeCell ref="B15:E16"/>
    <mergeCell ref="G15:T15"/>
    <mergeCell ref="H16:I16"/>
    <mergeCell ref="M16:N16"/>
    <mergeCell ref="R16:S16"/>
    <mergeCell ref="N14:Q14"/>
    <mergeCell ref="R14:T14"/>
    <mergeCell ref="G31:T31"/>
    <mergeCell ref="C18:E18"/>
    <mergeCell ref="C19:E19"/>
    <mergeCell ref="C20:E20"/>
    <mergeCell ref="B22:E22"/>
    <mergeCell ref="C23:E23"/>
    <mergeCell ref="C24:E24"/>
    <mergeCell ref="C38:E38"/>
    <mergeCell ref="C25:E25"/>
    <mergeCell ref="C27:E27"/>
    <mergeCell ref="C28:E28"/>
    <mergeCell ref="C29:E29"/>
    <mergeCell ref="B31:E31"/>
    <mergeCell ref="C32:E32"/>
    <mergeCell ref="C33:E33"/>
    <mergeCell ref="C34:E34"/>
    <mergeCell ref="C36:E36"/>
    <mergeCell ref="C37:E37"/>
    <mergeCell ref="B40:E40"/>
    <mergeCell ref="G40:T40"/>
    <mergeCell ref="C41:E41"/>
    <mergeCell ref="C42:E42"/>
    <mergeCell ref="C43:E43"/>
  </mergeCells>
  <dataValidations count="1">
    <dataValidation type="list" allowBlank="1" showInputMessage="1" showErrorMessage="1" sqref="H23:H25 M36:M39 R32:R34 R27:R30 R23:R25 H36:H39 M32:M34 M27:M30 M23:M25 H32:H34 H27:H30 H41:H43 M41:M43 R36:R39" xr:uid="{1145F4B8-ACF3-4B4C-B523-4D6963300F09}">
      <formula1>$W$22:$W$24</formula1>
    </dataValidation>
  </dataValidation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6744F3E7-43ED-4D4B-A1D5-547C70381071}">
          <x14:formula1>
            <xm:f>' Unterkörper Progressionen '!$Z$2:$Z$17</xm:f>
          </x14:formula1>
          <xm:sqref>N28 S37 S33 N33 N37 S28</xm:sqref>
        </x14:dataValidation>
        <x14:dataValidation type="list" allowBlank="1" showInputMessage="1" showErrorMessage="1" xr:uid="{58636EB0-BA73-43BE-B72F-0EAE2D5F42F9}">
          <x14:formula1>
            <xm:f>' Unterkörper Progressionen '!$Z:$Z</xm:f>
          </x14:formula1>
          <xm:sqref>I41:I43 I23:I24 I27:I30 I32:I34 I36:I39</xm:sqref>
        </x14:dataValidation>
        <x14:dataValidation type="list" allowBlank="1" showInputMessage="1" showErrorMessage="1" xr:uid="{E1AC3DF5-774F-45FE-A050-586F3210C33F}">
          <x14:formula1>
            <xm:f>' Unterkörper Progressionen '!$AA:$AA</xm:f>
          </x14:formula1>
          <xm:sqref>J19:J20</xm:sqref>
        </x14:dataValidation>
        <x14:dataValidation type="list" allowBlank="1" showInputMessage="1" showErrorMessage="1" xr:uid="{006A6188-EBC4-4BAF-87D6-8AE27A6FDB32}">
          <x14:formula1>
            <xm:f>'Oberkörper Progressionen '!$Q:$Q</xm:f>
          </x14:formula1>
          <xm:sqref>C42:E42</xm:sqref>
        </x14:dataValidation>
        <x14:dataValidation type="list" allowBlank="1" showInputMessage="1" showErrorMessage="1" xr:uid="{5E17679E-D1D5-44D4-B58E-3FEBBDA28926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7AB0D6BD-2F43-4A11-8790-55CA5EB91B6E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32183AE5-81E2-4678-AF54-82C3AAA6E1EE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31444229-DC0D-40D7-82DA-9DBBD004F845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DEA7C5BF-F5D9-4E73-B953-A2C4521A0E74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42625D51-F15A-4403-BDDB-4465512249BD}">
          <x14:formula1>
            <xm:f>'Oberkörper Progressionen '!$N:$N</xm:f>
          </x14:formula1>
          <xm:sqref>C25:E25</xm:sqref>
        </x14:dataValidation>
        <x14:dataValidation type="list" allowBlank="1" showInputMessage="1" showErrorMessage="1" xr:uid="{59742B09-18C5-4F05-B724-23BA1B1A5FC2}">
          <x14:formula1>
            <xm:f>'Oberkörper Progressionen '!$H:$H</xm:f>
          </x14:formula1>
          <xm:sqref>C27:E27</xm:sqref>
        </x14:dataValidation>
        <x14:dataValidation type="list" allowBlank="1" showInputMessage="1" showErrorMessage="1" xr:uid="{764F9A64-6F0E-4F8B-A0B0-CDD25E6A7F9B}">
          <x14:formula1>
            <xm:f>'Oberkörper Progressionen '!$I:$I</xm:f>
          </x14:formula1>
          <xm:sqref>C28:E28</xm:sqref>
        </x14:dataValidation>
        <x14:dataValidation type="list" allowBlank="1" showInputMessage="1" showErrorMessage="1" xr:uid="{F7A499C3-BCCF-4C2D-A506-08672D435C19}">
          <x14:formula1>
            <xm:f>'Oberkörper Progressionen '!$G:$G</xm:f>
          </x14:formula1>
          <xm:sqref>C29:E30</xm:sqref>
        </x14:dataValidation>
        <x14:dataValidation type="list" allowBlank="1" showInputMessage="1" showErrorMessage="1" xr:uid="{5499ED42-6CBA-467B-9747-47F31A68D707}">
          <x14:formula1>
            <xm:f>'Oberkörper Progressionen '!$L:$L</xm:f>
          </x14:formula1>
          <xm:sqref>C32:E32</xm:sqref>
        </x14:dataValidation>
        <x14:dataValidation type="list" allowBlank="1" showInputMessage="1" showErrorMessage="1" xr:uid="{99720C32-0D78-482F-8166-5ED94511B801}">
          <x14:formula1>
            <xm:f>'Oberkörper Progressionen '!$M:$M</xm:f>
          </x14:formula1>
          <xm:sqref>C33:E33</xm:sqref>
        </x14:dataValidation>
        <x14:dataValidation type="list" allowBlank="1" showInputMessage="1" showErrorMessage="1" xr:uid="{B9598EF2-D848-4F0C-B745-1657F44AD687}">
          <x14:formula1>
            <xm:f>'Oberkörper Progressionen '!$J:$J</xm:f>
          </x14:formula1>
          <xm:sqref>C34:E34</xm:sqref>
        </x14:dataValidation>
        <x14:dataValidation type="list" allowBlank="1" showInputMessage="1" showErrorMessage="1" xr:uid="{D3B32ECF-DCF7-4C41-83DF-8762B53A33FB}">
          <x14:formula1>
            <xm:f>'Oberkörper Progressionen '!$O:$O</xm:f>
          </x14:formula1>
          <xm:sqref>C36:E36</xm:sqref>
        </x14:dataValidation>
        <x14:dataValidation type="list" allowBlank="1" showInputMessage="1" showErrorMessage="1" xr:uid="{775511CB-26C3-400C-A643-626A89DC3233}">
          <x14:formula1>
            <xm:f>'Oberkörper Progressionen '!$P:$P</xm:f>
          </x14:formula1>
          <xm:sqref>C37:E37</xm:sqref>
        </x14:dataValidation>
        <x14:dataValidation type="list" allowBlank="1" showInputMessage="1" showErrorMessage="1" xr:uid="{0A9A58C7-38E5-43C4-A397-E5D3AA77F580}">
          <x14:formula1>
            <xm:f>'Oberkörper Progressionen '!$K:$K</xm:f>
          </x14:formula1>
          <xm:sqref>C38:E39</xm:sqref>
        </x14:dataValidation>
        <x14:dataValidation type="list" allowBlank="1" showInputMessage="1" showErrorMessage="1" xr:uid="{7294D5AF-7A55-484E-BD27-57438995497D}">
          <x14:formula1>
            <xm:f>'Oberkörper Progressionen '!$R:$R</xm:f>
          </x14:formula1>
          <xm:sqref>C41:E41</xm:sqref>
        </x14:dataValidation>
        <x14:dataValidation type="list" allowBlank="1" showInputMessage="1" showErrorMessage="1" xr:uid="{F6A97123-608F-4641-B679-1F86E239043A}">
          <x14:formula1>
            <xm:f>'Oberkörper Progressionen '!$S:$S</xm:f>
          </x14:formula1>
          <xm:sqref>C43:E43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D5F3B-A8D5-4DE8-8321-A8EC0CB0F6FA}">
  <sheetPr>
    <pageSetUpPr fitToPage="1"/>
  </sheetPr>
  <dimension ref="B1:X53"/>
  <sheetViews>
    <sheetView zoomScaleNormal="100" workbookViewId="0">
      <selection activeCell="R14" sqref="R14:T14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60" t="s">
        <v>216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60"/>
      <c r="E6" t="s">
        <v>2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ht="16.5" hidden="1" thickBot="1" x14ac:dyDescent="0.3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">
        <v>215</v>
      </c>
      <c r="C13" s="330"/>
      <c r="D13" s="330"/>
      <c r="E13" s="388" t="s">
        <v>774</v>
      </c>
      <c r="F13" s="389"/>
      <c r="G13" s="330" t="s">
        <v>54</v>
      </c>
      <c r="H13" s="330"/>
      <c r="I13" s="330"/>
      <c r="J13" s="330" t="s">
        <v>419</v>
      </c>
      <c r="K13" s="330"/>
      <c r="L13" s="330"/>
      <c r="M13" s="330"/>
      <c r="N13" s="330" t="s">
        <v>777</v>
      </c>
      <c r="O13" s="330"/>
      <c r="P13" s="330"/>
      <c r="Q13" s="330"/>
      <c r="R13" s="330" t="s">
        <v>377</v>
      </c>
      <c r="S13" s="330"/>
      <c r="T13" s="331"/>
    </row>
    <row r="14" spans="2:23" s="34" customFormat="1" ht="20.100000000000001" customHeight="1" thickBot="1" x14ac:dyDescent="0.3">
      <c r="B14" s="361" t="s">
        <v>717</v>
      </c>
      <c r="C14" s="329"/>
      <c r="D14" s="329"/>
      <c r="E14" s="386" t="s">
        <v>352</v>
      </c>
      <c r="F14" s="387"/>
      <c r="G14" s="329" t="s">
        <v>329</v>
      </c>
      <c r="H14" s="329"/>
      <c r="I14" s="329"/>
      <c r="J14" s="329" t="s">
        <v>369</v>
      </c>
      <c r="K14" s="329"/>
      <c r="L14" s="329"/>
      <c r="M14" s="329"/>
      <c r="N14" s="329" t="s">
        <v>712</v>
      </c>
      <c r="O14" s="329"/>
      <c r="P14" s="329"/>
      <c r="Q14" s="329"/>
      <c r="R14" s="329" t="s">
        <v>179</v>
      </c>
      <c r="S14" s="329"/>
      <c r="T14" s="332"/>
    </row>
    <row r="15" spans="2:23" ht="4.9000000000000004" hidden="1" customHeight="1" thickBot="1" x14ac:dyDescent="0.3">
      <c r="B15" s="8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6"/>
    </row>
    <row r="16" spans="2:23" ht="18" customHeight="1" thickBot="1" x14ac:dyDescent="0.3">
      <c r="B16" s="380" t="s">
        <v>401</v>
      </c>
      <c r="C16" s="381"/>
      <c r="D16" s="381"/>
      <c r="E16" s="382"/>
      <c r="F16" s="1"/>
      <c r="G16" s="338" t="s">
        <v>132</v>
      </c>
      <c r="H16" s="339"/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39"/>
      <c r="T16" s="340"/>
    </row>
    <row r="17" spans="2:24" ht="21.6" customHeight="1" thickBot="1" x14ac:dyDescent="0.3">
      <c r="B17" s="383"/>
      <c r="C17" s="384"/>
      <c r="D17" s="384"/>
      <c r="E17" s="385"/>
      <c r="F17" s="1"/>
      <c r="G17" s="71" t="s">
        <v>162</v>
      </c>
      <c r="H17" s="358" t="s">
        <v>50</v>
      </c>
      <c r="I17" s="359"/>
      <c r="J17" s="72" t="s">
        <v>163</v>
      </c>
      <c r="K17" s="65"/>
      <c r="L17" s="71" t="s">
        <v>164</v>
      </c>
      <c r="M17" s="358" t="s">
        <v>49</v>
      </c>
      <c r="N17" s="359"/>
      <c r="O17" s="72" t="s">
        <v>166</v>
      </c>
      <c r="P17" s="65"/>
      <c r="Q17" s="72" t="s">
        <v>165</v>
      </c>
      <c r="R17" s="358" t="s">
        <v>51</v>
      </c>
      <c r="S17" s="359"/>
      <c r="T17" s="72" t="s">
        <v>167</v>
      </c>
      <c r="W17" s="36"/>
      <c r="X17" s="1"/>
    </row>
    <row r="18" spans="2:24" ht="18" customHeight="1" thickBot="1" x14ac:dyDescent="0.3">
      <c r="B18" s="338" t="s">
        <v>18</v>
      </c>
      <c r="C18" s="339"/>
      <c r="D18" s="339"/>
      <c r="E18" s="340"/>
      <c r="F18" s="73"/>
      <c r="G18" s="15" t="s">
        <v>19</v>
      </c>
      <c r="H18" s="16" t="s">
        <v>20</v>
      </c>
      <c r="I18" s="16" t="s">
        <v>21</v>
      </c>
      <c r="J18" s="17" t="s">
        <v>22</v>
      </c>
      <c r="K18" s="1"/>
      <c r="L18" s="15" t="s">
        <v>19</v>
      </c>
      <c r="M18" s="16" t="s">
        <v>20</v>
      </c>
      <c r="N18" s="16" t="s">
        <v>21</v>
      </c>
      <c r="O18" s="17" t="s">
        <v>22</v>
      </c>
      <c r="P18" s="1"/>
      <c r="Q18" s="41" t="s">
        <v>19</v>
      </c>
      <c r="R18" s="42" t="s">
        <v>20</v>
      </c>
      <c r="S18" s="42" t="s">
        <v>21</v>
      </c>
      <c r="T18" s="43" t="s">
        <v>22</v>
      </c>
      <c r="W18" s="37"/>
      <c r="X18" s="1"/>
    </row>
    <row r="19" spans="2:24" s="1" customFormat="1" ht="19.899999999999999" customHeight="1" x14ac:dyDescent="0.25">
      <c r="B19" s="9">
        <v>1</v>
      </c>
      <c r="C19" s="336" t="s">
        <v>790</v>
      </c>
      <c r="D19" s="336"/>
      <c r="E19" s="337"/>
      <c r="G19" s="18" t="s">
        <v>23</v>
      </c>
      <c r="H19" s="19"/>
      <c r="I19" s="19" t="s">
        <v>25</v>
      </c>
      <c r="J19" s="20" t="s">
        <v>27</v>
      </c>
      <c r="L19" s="18" t="s">
        <v>23</v>
      </c>
      <c r="M19" s="19"/>
      <c r="N19" s="19" t="s">
        <v>25</v>
      </c>
      <c r="O19" s="20" t="s">
        <v>27</v>
      </c>
      <c r="Q19" s="44" t="s">
        <v>23</v>
      </c>
      <c r="R19" s="45"/>
      <c r="S19" s="45" t="s">
        <v>25</v>
      </c>
      <c r="T19" s="46" t="s">
        <v>27</v>
      </c>
      <c r="W19" s="36"/>
    </row>
    <row r="20" spans="2:24" s="1" customFormat="1" ht="19.899999999999999" customHeight="1" x14ac:dyDescent="0.25">
      <c r="B20" s="3">
        <v>2</v>
      </c>
      <c r="C20" s="343" t="s">
        <v>798</v>
      </c>
      <c r="D20" s="343"/>
      <c r="E20" s="344"/>
      <c r="G20" s="68" t="s">
        <v>23</v>
      </c>
      <c r="H20" s="69"/>
      <c r="I20" s="69" t="s">
        <v>25</v>
      </c>
      <c r="J20" s="70" t="s">
        <v>744</v>
      </c>
      <c r="L20" s="68" t="s">
        <v>23</v>
      </c>
      <c r="M20" s="69"/>
      <c r="N20" s="69" t="s">
        <v>25</v>
      </c>
      <c r="O20" s="70" t="str">
        <f>J20</f>
        <v>1kg</v>
      </c>
      <c r="Q20" s="68" t="s">
        <v>23</v>
      </c>
      <c r="R20" s="69"/>
      <c r="S20" s="69" t="s">
        <v>25</v>
      </c>
      <c r="T20" s="70" t="str">
        <f>J20</f>
        <v>1kg</v>
      </c>
      <c r="W20" s="36"/>
    </row>
    <row r="21" spans="2:24" s="1" customFormat="1" ht="19.899999999999999" customHeight="1" thickBot="1" x14ac:dyDescent="0.3">
      <c r="B21" s="4">
        <v>3</v>
      </c>
      <c r="C21" s="341" t="s">
        <v>800</v>
      </c>
      <c r="D21" s="341"/>
      <c r="E21" s="342"/>
      <c r="G21" s="24" t="s">
        <v>23</v>
      </c>
      <c r="H21" s="25"/>
      <c r="I21" s="25" t="s">
        <v>25</v>
      </c>
      <c r="J21" s="26" t="s">
        <v>744</v>
      </c>
      <c r="L21" s="24" t="s">
        <v>23</v>
      </c>
      <c r="M21" s="25"/>
      <c r="N21" s="25" t="s">
        <v>25</v>
      </c>
      <c r="O21" s="26" t="str">
        <f>J21</f>
        <v>1kg</v>
      </c>
      <c r="Q21" s="47" t="s">
        <v>23</v>
      </c>
      <c r="R21" s="48"/>
      <c r="S21" s="48" t="s">
        <v>25</v>
      </c>
      <c r="T21" s="49" t="str">
        <f>J21</f>
        <v>1kg</v>
      </c>
    </row>
    <row r="22" spans="2:24" s="2" customFormat="1" ht="4.9000000000000004" customHeight="1" thickBot="1" x14ac:dyDescent="0.3">
      <c r="B22" s="74"/>
      <c r="J22" s="70"/>
      <c r="Q22" s="50"/>
      <c r="R22" s="50"/>
      <c r="S22" s="50"/>
      <c r="T22" s="75"/>
      <c r="X22" s="1"/>
    </row>
    <row r="23" spans="2:24" s="1" customFormat="1" ht="18" customHeight="1" thickBot="1" x14ac:dyDescent="0.3">
      <c r="B23" s="338" t="s">
        <v>379</v>
      </c>
      <c r="C23" s="339"/>
      <c r="D23" s="339"/>
      <c r="E23" s="340"/>
      <c r="G23" s="129" t="s">
        <v>22</v>
      </c>
      <c r="H23" s="130" t="s">
        <v>20</v>
      </c>
      <c r="I23" s="130" t="s">
        <v>21</v>
      </c>
      <c r="J23" s="131" t="s">
        <v>22</v>
      </c>
      <c r="L23" s="129" t="str">
        <f>G23</f>
        <v>WEIGHT</v>
      </c>
      <c r="M23" s="130" t="s">
        <v>20</v>
      </c>
      <c r="N23" s="130" t="s">
        <v>21</v>
      </c>
      <c r="O23" s="131" t="s">
        <v>22</v>
      </c>
      <c r="Q23" s="132" t="str">
        <f>L23</f>
        <v>WEIGHT</v>
      </c>
      <c r="R23" s="133" t="s">
        <v>20</v>
      </c>
      <c r="S23" s="133" t="s">
        <v>21</v>
      </c>
      <c r="T23" s="134" t="s">
        <v>22</v>
      </c>
    </row>
    <row r="24" spans="2:24" s="1" customFormat="1" ht="19.899999999999999" customHeight="1" x14ac:dyDescent="0.25">
      <c r="B24" s="9">
        <v>1</v>
      </c>
      <c r="C24" s="336" t="s">
        <v>438</v>
      </c>
      <c r="D24" s="336"/>
      <c r="E24" s="337"/>
      <c r="G24" s="21"/>
      <c r="H24" s="30" t="s">
        <v>24</v>
      </c>
      <c r="I24" s="22" t="s">
        <v>753</v>
      </c>
      <c r="J24" s="23"/>
      <c r="L24" s="21"/>
      <c r="M24" s="30" t="s">
        <v>24</v>
      </c>
      <c r="N24" s="22" t="str">
        <f>I24</f>
        <v>1x15</v>
      </c>
      <c r="O24" s="23"/>
      <c r="Q24" s="51"/>
      <c r="R24" s="52" t="s">
        <v>24</v>
      </c>
      <c r="S24" s="22" t="str">
        <f>N24</f>
        <v>1x15</v>
      </c>
      <c r="T24" s="54"/>
    </row>
    <row r="25" spans="2:24" s="1" customFormat="1" ht="19.899999999999999" customHeight="1" x14ac:dyDescent="0.25">
      <c r="B25" s="3">
        <v>2</v>
      </c>
      <c r="C25" s="343" t="s">
        <v>185</v>
      </c>
      <c r="D25" s="343"/>
      <c r="E25" s="344"/>
      <c r="G25" s="27"/>
      <c r="H25" s="31" t="s">
        <v>24</v>
      </c>
      <c r="I25" s="28" t="s">
        <v>753</v>
      </c>
      <c r="J25" s="29"/>
      <c r="L25" s="27"/>
      <c r="M25" s="31" t="s">
        <v>24</v>
      </c>
      <c r="N25" s="28" t="str">
        <f>I25</f>
        <v>1x15</v>
      </c>
      <c r="O25" s="29"/>
      <c r="Q25" s="55"/>
      <c r="R25" s="56" t="s">
        <v>24</v>
      </c>
      <c r="S25" s="28" t="str">
        <f>N25</f>
        <v>1x15</v>
      </c>
      <c r="T25" s="58"/>
    </row>
    <row r="26" spans="2:24" s="1" customFormat="1" ht="19.899999999999999" customHeight="1" thickBot="1" x14ac:dyDescent="0.3">
      <c r="B26" s="4">
        <v>3</v>
      </c>
      <c r="C26" s="341" t="s">
        <v>685</v>
      </c>
      <c r="D26" s="341"/>
      <c r="E26" s="342"/>
      <c r="G26" s="24"/>
      <c r="H26" s="32" t="s">
        <v>24</v>
      </c>
      <c r="I26" s="25" t="s">
        <v>25</v>
      </c>
      <c r="J26" s="26"/>
      <c r="L26" s="24"/>
      <c r="M26" s="32" t="s">
        <v>24</v>
      </c>
      <c r="N26" s="25" t="str">
        <f>I26</f>
        <v>3x5</v>
      </c>
      <c r="O26" s="26"/>
      <c r="Q26" s="47"/>
      <c r="R26" s="59" t="s">
        <v>24</v>
      </c>
      <c r="S26" s="25" t="str">
        <f>N26</f>
        <v>3x5</v>
      </c>
      <c r="T26" s="49"/>
    </row>
    <row r="27" spans="2:24" s="2" customFormat="1" ht="4.9000000000000004" customHeight="1" thickBot="1" x14ac:dyDescent="0.3">
      <c r="B27" s="74"/>
      <c r="Q27" s="50"/>
      <c r="R27" s="50"/>
      <c r="S27" s="50"/>
      <c r="T27" s="75"/>
    </row>
    <row r="28" spans="2:24" s="1" customFormat="1" ht="19.899999999999999" customHeight="1" x14ac:dyDescent="0.25">
      <c r="B28" s="9">
        <v>4</v>
      </c>
      <c r="C28" s="336" t="s">
        <v>90</v>
      </c>
      <c r="D28" s="336"/>
      <c r="E28" s="337"/>
      <c r="G28" s="21"/>
      <c r="H28" s="30" t="s">
        <v>24</v>
      </c>
      <c r="I28" s="22" t="s">
        <v>753</v>
      </c>
      <c r="J28" s="23"/>
      <c r="L28" s="21"/>
      <c r="M28" s="30" t="s">
        <v>24</v>
      </c>
      <c r="N28" s="22" t="str">
        <f>I28</f>
        <v>1x15</v>
      </c>
      <c r="O28" s="23"/>
      <c r="Q28" s="51"/>
      <c r="R28" s="52" t="s">
        <v>24</v>
      </c>
      <c r="S28" s="22" t="str">
        <f>N28</f>
        <v>1x15</v>
      </c>
      <c r="T28" s="54"/>
    </row>
    <row r="29" spans="2:24" s="1" customFormat="1" ht="19.899999999999999" customHeight="1" x14ac:dyDescent="0.25">
      <c r="B29" s="3">
        <v>5</v>
      </c>
      <c r="C29" s="343" t="s">
        <v>506</v>
      </c>
      <c r="D29" s="343"/>
      <c r="E29" s="344"/>
      <c r="G29" s="27"/>
      <c r="H29" s="31" t="s">
        <v>24</v>
      </c>
      <c r="I29" s="28" t="s">
        <v>753</v>
      </c>
      <c r="J29" s="29"/>
      <c r="L29" s="27"/>
      <c r="M29" s="31" t="s">
        <v>24</v>
      </c>
      <c r="N29" s="28" t="str">
        <f>I29</f>
        <v>1x15</v>
      </c>
      <c r="O29" s="29"/>
      <c r="Q29" s="55"/>
      <c r="R29" s="56" t="s">
        <v>24</v>
      </c>
      <c r="S29" s="28" t="str">
        <f>N29</f>
        <v>1x15</v>
      </c>
      <c r="T29" s="58"/>
    </row>
    <row r="30" spans="2:24" s="1" customFormat="1" ht="19.899999999999999" customHeight="1" thickBot="1" x14ac:dyDescent="0.3">
      <c r="B30" s="4">
        <v>6</v>
      </c>
      <c r="C30" s="341" t="s">
        <v>96</v>
      </c>
      <c r="D30" s="341"/>
      <c r="E30" s="342"/>
      <c r="G30" s="24"/>
      <c r="H30" s="32" t="s">
        <v>24</v>
      </c>
      <c r="I30" s="25" t="s">
        <v>749</v>
      </c>
      <c r="J30" s="26"/>
      <c r="L30" s="24"/>
      <c r="M30" s="32" t="s">
        <v>24</v>
      </c>
      <c r="N30" s="25" t="str">
        <f>I30</f>
        <v>3x10s ea</v>
      </c>
      <c r="O30" s="26"/>
      <c r="Q30" s="47"/>
      <c r="R30" s="59" t="s">
        <v>24</v>
      </c>
      <c r="S30" s="25" t="str">
        <f>N30</f>
        <v>3x10s ea</v>
      </c>
      <c r="T30" s="49"/>
    </row>
    <row r="31" spans="2:24" s="1" customFormat="1" ht="5.0999999999999996" customHeight="1" thickBot="1" x14ac:dyDescent="0.3">
      <c r="B31" s="4"/>
      <c r="C31" s="67"/>
      <c r="D31" s="67"/>
      <c r="E31" s="118"/>
      <c r="G31" s="4"/>
      <c r="H31" s="122"/>
      <c r="I31" s="67"/>
      <c r="J31" s="67"/>
      <c r="L31" s="67"/>
      <c r="M31" s="122"/>
      <c r="N31" s="67"/>
      <c r="O31" s="67"/>
      <c r="Q31" s="120"/>
      <c r="R31" s="123"/>
      <c r="S31" s="67"/>
      <c r="T31" s="121"/>
    </row>
    <row r="32" spans="2:24" s="2" customFormat="1" ht="18" customHeight="1" thickBot="1" x14ac:dyDescent="0.3">
      <c r="B32" s="338" t="s">
        <v>741</v>
      </c>
      <c r="C32" s="339"/>
      <c r="D32" s="339"/>
      <c r="E32" s="340"/>
      <c r="F32" s="119"/>
      <c r="G32" s="124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6"/>
    </row>
    <row r="33" spans="2:22" s="1" customFormat="1" ht="19.899999999999999" customHeight="1" x14ac:dyDescent="0.25">
      <c r="B33" s="9">
        <v>7</v>
      </c>
      <c r="C33" s="336" t="s">
        <v>500</v>
      </c>
      <c r="D33" s="336"/>
      <c r="E33" s="337"/>
      <c r="G33" s="21"/>
      <c r="H33" s="30" t="s">
        <v>24</v>
      </c>
      <c r="I33" s="22" t="s">
        <v>753</v>
      </c>
      <c r="J33" s="23"/>
      <c r="L33" s="21"/>
      <c r="M33" s="30" t="s">
        <v>24</v>
      </c>
      <c r="N33" s="22" t="str">
        <f>I33</f>
        <v>1x15</v>
      </c>
      <c r="O33" s="23"/>
      <c r="Q33" s="51"/>
      <c r="R33" s="52" t="s">
        <v>24</v>
      </c>
      <c r="S33" s="22" t="str">
        <f>I33</f>
        <v>1x15</v>
      </c>
      <c r="T33" s="54"/>
    </row>
    <row r="34" spans="2:22" s="1" customFormat="1" ht="19.899999999999999" customHeight="1" x14ac:dyDescent="0.25">
      <c r="B34" s="3">
        <v>8</v>
      </c>
      <c r="C34" s="343" t="s">
        <v>107</v>
      </c>
      <c r="D34" s="343"/>
      <c r="E34" s="344"/>
      <c r="G34" s="27"/>
      <c r="H34" s="31" t="s">
        <v>24</v>
      </c>
      <c r="I34" s="28" t="s">
        <v>789</v>
      </c>
      <c r="J34" s="29"/>
      <c r="L34" s="27"/>
      <c r="M34" s="31" t="s">
        <v>24</v>
      </c>
      <c r="N34" s="28" t="str">
        <f>I34</f>
        <v>3x5 ea</v>
      </c>
      <c r="O34" s="29"/>
      <c r="Q34" s="55"/>
      <c r="R34" s="56" t="s">
        <v>24</v>
      </c>
      <c r="S34" s="28" t="str">
        <f>N34</f>
        <v>3x5 ea</v>
      </c>
      <c r="T34" s="58"/>
    </row>
    <row r="35" spans="2:22" s="1" customFormat="1" ht="19.899999999999999" customHeight="1" thickBot="1" x14ac:dyDescent="0.3">
      <c r="B35" s="4">
        <v>9</v>
      </c>
      <c r="C35" s="341" t="s">
        <v>803</v>
      </c>
      <c r="D35" s="341"/>
      <c r="E35" s="342"/>
      <c r="G35" s="24"/>
      <c r="H35" s="32" t="s">
        <v>24</v>
      </c>
      <c r="I35" s="25" t="s">
        <v>753</v>
      </c>
      <c r="J35" s="26"/>
      <c r="L35" s="24"/>
      <c r="M35" s="32" t="s">
        <v>24</v>
      </c>
      <c r="N35" s="25" t="str">
        <f>I35</f>
        <v>1x15</v>
      </c>
      <c r="O35" s="26"/>
      <c r="Q35" s="47"/>
      <c r="R35" s="59" t="s">
        <v>24</v>
      </c>
      <c r="S35" s="25" t="str">
        <f>N35</f>
        <v>1x15</v>
      </c>
      <c r="T35" s="49"/>
    </row>
    <row r="36" spans="2:22" s="2" customFormat="1" ht="4.9000000000000004" customHeight="1" thickBot="1" x14ac:dyDescent="0.3">
      <c r="B36" s="74"/>
      <c r="Q36" s="50"/>
      <c r="R36" s="50"/>
      <c r="S36" s="50"/>
      <c r="T36" s="75"/>
    </row>
    <row r="37" spans="2:22" s="1" customFormat="1" ht="19.899999999999999" customHeight="1" x14ac:dyDescent="0.25">
      <c r="B37" s="9">
        <v>10</v>
      </c>
      <c r="C37" s="336" t="s">
        <v>448</v>
      </c>
      <c r="D37" s="336"/>
      <c r="E37" s="337"/>
      <c r="G37" s="21"/>
      <c r="H37" s="30" t="s">
        <v>24</v>
      </c>
      <c r="I37" s="22" t="s">
        <v>753</v>
      </c>
      <c r="J37" s="23"/>
      <c r="L37" s="21"/>
      <c r="M37" s="30" t="s">
        <v>24</v>
      </c>
      <c r="N37" s="22" t="str">
        <f>I37</f>
        <v>1x15</v>
      </c>
      <c r="O37" s="23"/>
      <c r="Q37" s="51"/>
      <c r="R37" s="52" t="s">
        <v>24</v>
      </c>
      <c r="S37" s="22" t="str">
        <f>N37</f>
        <v>1x15</v>
      </c>
      <c r="T37" s="54"/>
    </row>
    <row r="38" spans="2:22" s="1" customFormat="1" ht="19.899999999999999" customHeight="1" x14ac:dyDescent="0.25">
      <c r="B38" s="3">
        <v>11</v>
      </c>
      <c r="C38" s="343" t="s">
        <v>806</v>
      </c>
      <c r="D38" s="343"/>
      <c r="E38" s="344"/>
      <c r="G38" s="27"/>
      <c r="H38" s="31" t="s">
        <v>24</v>
      </c>
      <c r="I38" s="28" t="s">
        <v>749</v>
      </c>
      <c r="J38" s="29"/>
      <c r="L38" s="27"/>
      <c r="M38" s="31" t="s">
        <v>24</v>
      </c>
      <c r="N38" s="28" t="str">
        <f>I38</f>
        <v>3x10s ea</v>
      </c>
      <c r="O38" s="29"/>
      <c r="Q38" s="55"/>
      <c r="R38" s="56" t="s">
        <v>24</v>
      </c>
      <c r="S38" s="28" t="str">
        <f>N38</f>
        <v>3x10s ea</v>
      </c>
      <c r="T38" s="58"/>
    </row>
    <row r="39" spans="2:22" s="1" customFormat="1" ht="19.899999999999999" customHeight="1" thickBot="1" x14ac:dyDescent="0.3">
      <c r="B39" s="4">
        <v>12</v>
      </c>
      <c r="C39" s="341" t="s">
        <v>809</v>
      </c>
      <c r="D39" s="341"/>
      <c r="E39" s="342"/>
      <c r="G39" s="24"/>
      <c r="H39" s="32" t="s">
        <v>24</v>
      </c>
      <c r="I39" s="25" t="s">
        <v>753</v>
      </c>
      <c r="J39" s="26"/>
      <c r="L39" s="24"/>
      <c r="M39" s="32" t="s">
        <v>24</v>
      </c>
      <c r="N39" s="25" t="str">
        <f>I39</f>
        <v>1x15</v>
      </c>
      <c r="O39" s="26"/>
      <c r="Q39" s="47"/>
      <c r="R39" s="59" t="s">
        <v>24</v>
      </c>
      <c r="S39" s="25" t="str">
        <f>N39</f>
        <v>1x15</v>
      </c>
      <c r="T39" s="49"/>
    </row>
    <row r="40" spans="2:22" s="1" customFormat="1" ht="5.0999999999999996" customHeight="1" thickBot="1" x14ac:dyDescent="0.3">
      <c r="B40" s="4"/>
      <c r="C40" s="67"/>
      <c r="D40" s="67"/>
      <c r="E40" s="118"/>
      <c r="G40" s="4"/>
      <c r="H40" s="122"/>
      <c r="I40" s="67"/>
      <c r="J40" s="67"/>
      <c r="L40" s="67"/>
      <c r="M40" s="122"/>
      <c r="N40" s="67"/>
      <c r="O40" s="67"/>
      <c r="Q40" s="120"/>
      <c r="R40" s="123"/>
      <c r="S40" s="67"/>
      <c r="T40" s="121"/>
    </row>
    <row r="41" spans="2:22" s="2" customFormat="1" ht="18" customHeight="1" thickBot="1" x14ac:dyDescent="0.3">
      <c r="B41" s="338" t="s">
        <v>383</v>
      </c>
      <c r="C41" s="339"/>
      <c r="D41" s="339"/>
      <c r="E41" s="340"/>
      <c r="G41" s="333"/>
      <c r="H41" s="334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5"/>
    </row>
    <row r="42" spans="2:22" s="1" customFormat="1" ht="19.899999999999999" customHeight="1" x14ac:dyDescent="0.25">
      <c r="B42" s="9">
        <v>13</v>
      </c>
      <c r="C42" s="336" t="s">
        <v>205</v>
      </c>
      <c r="D42" s="336"/>
      <c r="E42" s="337"/>
      <c r="G42" s="21"/>
      <c r="H42" s="30" t="s">
        <v>24</v>
      </c>
      <c r="I42" s="22" t="s">
        <v>756</v>
      </c>
      <c r="J42" s="23"/>
      <c r="L42" s="21"/>
      <c r="M42" s="30" t="s">
        <v>24</v>
      </c>
      <c r="N42" s="22" t="str">
        <f>I42</f>
        <v>1x90s</v>
      </c>
      <c r="O42" s="23"/>
      <c r="Q42" s="51"/>
      <c r="R42" s="52" t="s">
        <v>24</v>
      </c>
      <c r="S42" s="53" t="str">
        <f>N42</f>
        <v>1x90s</v>
      </c>
      <c r="T42" s="54"/>
    </row>
    <row r="43" spans="2:22" s="1" customFormat="1" ht="19.899999999999999" customHeight="1" x14ac:dyDescent="0.25">
      <c r="B43" s="3">
        <v>14</v>
      </c>
      <c r="C43" s="345" t="s">
        <v>47</v>
      </c>
      <c r="D43" s="345"/>
      <c r="E43" s="346"/>
      <c r="G43" s="27"/>
      <c r="H43" s="31" t="s">
        <v>24</v>
      </c>
      <c r="I43" s="28" t="s">
        <v>756</v>
      </c>
      <c r="J43" s="29"/>
      <c r="L43" s="27"/>
      <c r="M43" s="31" t="s">
        <v>24</v>
      </c>
      <c r="N43" s="28" t="str">
        <f>I43</f>
        <v>1x90s</v>
      </c>
      <c r="O43" s="29"/>
      <c r="Q43" s="55"/>
      <c r="R43" s="56" t="s">
        <v>24</v>
      </c>
      <c r="S43" s="57" t="str">
        <f>N43</f>
        <v>1x90s</v>
      </c>
      <c r="T43" s="58"/>
    </row>
    <row r="44" spans="2:22" s="1" customFormat="1" ht="19.899999999999999" customHeight="1" thickBot="1" x14ac:dyDescent="0.3">
      <c r="B44" s="4">
        <v>15</v>
      </c>
      <c r="C44" s="347" t="s">
        <v>365</v>
      </c>
      <c r="D44" s="347"/>
      <c r="E44" s="348"/>
      <c r="F44" s="67"/>
      <c r="G44" s="24"/>
      <c r="H44" s="32" t="s">
        <v>24</v>
      </c>
      <c r="I44" s="25" t="s">
        <v>756</v>
      </c>
      <c r="J44" s="26"/>
      <c r="K44" s="67"/>
      <c r="L44" s="24"/>
      <c r="M44" s="32" t="s">
        <v>24</v>
      </c>
      <c r="N44" s="25" t="str">
        <f>I44</f>
        <v>1x90s</v>
      </c>
      <c r="O44" s="26"/>
      <c r="P44" s="67"/>
      <c r="Q44" s="47"/>
      <c r="R44" s="59" t="s">
        <v>24</v>
      </c>
      <c r="S44" s="48" t="str">
        <f>N44</f>
        <v>1x90s</v>
      </c>
      <c r="T44" s="49"/>
    </row>
    <row r="45" spans="2:22" s="2" customFormat="1" ht="4.9000000000000004" customHeight="1" x14ac:dyDescent="0.25">
      <c r="Q45" s="50"/>
      <c r="R45" s="50"/>
      <c r="S45" s="50"/>
      <c r="T45" s="50"/>
    </row>
    <row r="46" spans="2:22" x14ac:dyDescent="0.25">
      <c r="V46" s="1"/>
    </row>
    <row r="47" spans="2:22" x14ac:dyDescent="0.25">
      <c r="V47" s="1"/>
    </row>
    <row r="48" spans="2:22" x14ac:dyDescent="0.25">
      <c r="V48" s="1"/>
    </row>
    <row r="49" spans="22:22" x14ac:dyDescent="0.25">
      <c r="V49" s="1"/>
    </row>
    <row r="50" spans="22:22" x14ac:dyDescent="0.25">
      <c r="V50" s="1"/>
    </row>
    <row r="51" spans="22:22" x14ac:dyDescent="0.25">
      <c r="V51" s="1"/>
    </row>
    <row r="52" spans="22:22" x14ac:dyDescent="0.25">
      <c r="V52" s="1"/>
    </row>
    <row r="53" spans="22:22" x14ac:dyDescent="0.25">
      <c r="V53" s="1"/>
    </row>
  </sheetData>
  <mergeCells count="44">
    <mergeCell ref="O2:T7"/>
    <mergeCell ref="E10:G10"/>
    <mergeCell ref="I10:L10"/>
    <mergeCell ref="B12:T12"/>
    <mergeCell ref="B13:D13"/>
    <mergeCell ref="E13:F13"/>
    <mergeCell ref="G13:I13"/>
    <mergeCell ref="J13:M13"/>
    <mergeCell ref="N13:Q13"/>
    <mergeCell ref="R13:T13"/>
    <mergeCell ref="B18:E18"/>
    <mergeCell ref="B14:D14"/>
    <mergeCell ref="E14:F14"/>
    <mergeCell ref="G14:I14"/>
    <mergeCell ref="J14:M14"/>
    <mergeCell ref="B16:E17"/>
    <mergeCell ref="G16:T16"/>
    <mergeCell ref="H17:I17"/>
    <mergeCell ref="M17:N17"/>
    <mergeCell ref="R17:S17"/>
    <mergeCell ref="N14:Q14"/>
    <mergeCell ref="R14:T14"/>
    <mergeCell ref="C33:E33"/>
    <mergeCell ref="C19:E19"/>
    <mergeCell ref="C20:E20"/>
    <mergeCell ref="C21:E21"/>
    <mergeCell ref="B23:E23"/>
    <mergeCell ref="C24:E24"/>
    <mergeCell ref="C25:E25"/>
    <mergeCell ref="C26:E26"/>
    <mergeCell ref="C28:E28"/>
    <mergeCell ref="C29:E29"/>
    <mergeCell ref="C30:E30"/>
    <mergeCell ref="B32:E32"/>
    <mergeCell ref="G41:T41"/>
    <mergeCell ref="C42:E42"/>
    <mergeCell ref="C43:E43"/>
    <mergeCell ref="C44:E44"/>
    <mergeCell ref="C34:E34"/>
    <mergeCell ref="C35:E35"/>
    <mergeCell ref="C37:E37"/>
    <mergeCell ref="C38:E38"/>
    <mergeCell ref="C39:E39"/>
    <mergeCell ref="B41:E41"/>
  </mergeCell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1" showErrorMessage="1" xr:uid="{E907A746-DB84-492B-9C65-01D6A50A6218}">
          <x14:formula1>
            <xm:f>' Unterkörper Progressionen '!$W:$W</xm:f>
          </x14:formula1>
          <xm:sqref>C44:E44</xm:sqref>
        </x14:dataValidation>
        <x14:dataValidation type="list" allowBlank="1" showInputMessage="1" showErrorMessage="1" xr:uid="{7FB30443-AC33-4773-A60A-B8D7106C9738}">
          <x14:formula1>
            <xm:f>' Unterkörper Progressionen '!$V:$V</xm:f>
          </x14:formula1>
          <xm:sqref>C43:E43</xm:sqref>
        </x14:dataValidation>
        <x14:dataValidation type="list" allowBlank="1" showInputMessage="1" showErrorMessage="1" xr:uid="{BFC39E93-9024-423F-A1D0-D25138177DB8}">
          <x14:formula1>
            <xm:f>' Unterkörper Progressionen '!$U:$U</xm:f>
          </x14:formula1>
          <xm:sqref>C42:E42</xm:sqref>
        </x14:dataValidation>
        <x14:dataValidation type="list" allowBlank="1" showInputMessage="1" showErrorMessage="1" xr:uid="{C7EF566B-AA96-44B1-9407-204D048A907F}">
          <x14:formula1>
            <xm:f>' Unterkörper Progressionen '!$S:$S</xm:f>
          </x14:formula1>
          <xm:sqref>C39:E39</xm:sqref>
        </x14:dataValidation>
        <x14:dataValidation type="list" allowBlank="1" showInputMessage="1" showErrorMessage="1" xr:uid="{419C42E1-A3BB-4D9D-B113-E8FA81BF68FA}">
          <x14:formula1>
            <xm:f>' Unterkörper Progressionen '!$R:$R</xm:f>
          </x14:formula1>
          <xm:sqref>C38:E38</xm:sqref>
        </x14:dataValidation>
        <x14:dataValidation type="list" allowBlank="1" showInputMessage="1" showErrorMessage="1" xr:uid="{8913B260-E842-46B9-BA5E-9E233D2B7B0F}">
          <x14:formula1>
            <xm:f>' Unterkörper Progressionen '!$Q:$Q</xm:f>
          </x14:formula1>
          <xm:sqref>C37:E37</xm:sqref>
        </x14:dataValidation>
        <x14:dataValidation type="list" allowBlank="1" showInputMessage="1" showErrorMessage="1" xr:uid="{D6358C91-02E5-4498-97DE-A034A6E79C99}">
          <x14:formula1>
            <xm:f>' Unterkörper Progressionen '!$P:$P</xm:f>
          </x14:formula1>
          <xm:sqref>C35:E35</xm:sqref>
        </x14:dataValidation>
        <x14:dataValidation type="list" allowBlank="1" showInputMessage="1" showErrorMessage="1" xr:uid="{B3592DAF-6ACD-490E-AED7-7F29D3327C91}">
          <x14:formula1>
            <xm:f>' Unterkörper Progressionen '!$M:$M</xm:f>
          </x14:formula1>
          <xm:sqref>C34:E34</xm:sqref>
        </x14:dataValidation>
        <x14:dataValidation type="list" allowBlank="1" showInputMessage="1" showErrorMessage="1" xr:uid="{9B71E043-AD6C-4D26-8AB3-0359ECC50779}">
          <x14:formula1>
            <xm:f>' Unterkörper Progressionen '!$L:$L</xm:f>
          </x14:formula1>
          <xm:sqref>C33:E33</xm:sqref>
        </x14:dataValidation>
        <x14:dataValidation type="list" allowBlank="1" showInputMessage="1" showErrorMessage="1" xr:uid="{8F407924-F47B-4321-A3B8-88E38A188226}">
          <x14:formula1>
            <xm:f>' Unterkörper Progressionen '!$J:$J</xm:f>
          </x14:formula1>
          <xm:sqref>C30:E30</xm:sqref>
        </x14:dataValidation>
        <x14:dataValidation type="list" allowBlank="1" showInputMessage="1" showErrorMessage="1" xr:uid="{0CC0D878-B052-430F-B19D-11707BD7F15E}">
          <x14:formula1>
            <xm:f>' Unterkörper Progressionen '!$I:$I</xm:f>
          </x14:formula1>
          <xm:sqref>C29:E29</xm:sqref>
        </x14:dataValidation>
        <x14:dataValidation type="list" allowBlank="1" showInputMessage="1" showErrorMessage="1" xr:uid="{CC0CC9D8-40A3-48FA-8F04-35FFD9F7D92A}">
          <x14:formula1>
            <xm:f>' Unterkörper Progressionen '!$H:$H</xm:f>
          </x14:formula1>
          <xm:sqref>C28:E28</xm:sqref>
        </x14:dataValidation>
        <x14:dataValidation type="list" allowBlank="1" showInputMessage="1" showErrorMessage="1" xr:uid="{7F748EBA-F189-4A26-B009-DABAA9AB831D}">
          <x14:formula1>
            <xm:f>' Unterkörper Progressionen '!$G:$G</xm:f>
          </x14:formula1>
          <xm:sqref>C26:E26</xm:sqref>
        </x14:dataValidation>
        <x14:dataValidation type="list" allowBlank="1" showInputMessage="1" showErrorMessage="1" xr:uid="{947DBE3C-A67F-4125-AE90-827801D36A6A}">
          <x14:formula1>
            <xm:f>' Unterkörper Progressionen '!$F:$F</xm:f>
          </x14:formula1>
          <xm:sqref>C25:E25</xm:sqref>
        </x14:dataValidation>
        <x14:dataValidation type="list" allowBlank="1" showInputMessage="1" showErrorMessage="1" xr:uid="{FD664AF3-2132-4A38-8023-3ECB5EF0D766}">
          <x14:formula1>
            <xm:f>' Unterkörper Progressionen '!$E:$E</xm:f>
          </x14:formula1>
          <xm:sqref>C24:E24</xm:sqref>
        </x14:dataValidation>
        <x14:dataValidation type="list" allowBlank="1" showInputMessage="1" showErrorMessage="1" xr:uid="{420A4642-6F1A-46DA-B674-9FB3E3FA2811}">
          <x14:formula1>
            <xm:f>' Unterkörper Progressionen '!$D:$D</xm:f>
          </x14:formula1>
          <xm:sqref>C21:E21</xm:sqref>
        </x14:dataValidation>
        <x14:dataValidation type="list" allowBlank="1" showInputMessage="1" showErrorMessage="1" xr:uid="{E49BD734-2EC9-48CA-8B7B-D009CEE1E476}">
          <x14:formula1>
            <xm:f>' Unterkörper Progressionen '!$C:$C</xm:f>
          </x14:formula1>
          <xm:sqref>C20:E20</xm:sqref>
        </x14:dataValidation>
        <x14:dataValidation type="list" allowBlank="1" showInputMessage="1" showErrorMessage="1" xr:uid="{5CC832DF-26FA-4232-9E4A-CDFD36909421}">
          <x14:formula1>
            <xm:f>' Unterkörper Progressionen '!$B:$B</xm:f>
          </x14:formula1>
          <xm:sqref>C19:E19</xm:sqref>
        </x14:dataValidation>
        <x14:dataValidation type="list" allowBlank="1" showInputMessage="1" showErrorMessage="1" xr:uid="{F68E7408-346D-4B57-9674-6481CABB61D9}">
          <x14:formula1>
            <xm:f>' Unterkörper Progressionen '!$AA:$AA</xm:f>
          </x14:formula1>
          <xm:sqref>J20:J22</xm:sqref>
        </x14:dataValidation>
        <x14:dataValidation type="list" allowBlank="1" showInputMessage="1" showErrorMessage="1" xr:uid="{1C6C896C-49FA-4905-9279-BEC2CFB90126}">
          <x14:formula1>
            <xm:f>' Unterkörper Progressionen '!$Z:$Z</xm:f>
          </x14:formula1>
          <xm:sqref>I42:I44 I24:I26 I28:I31 I37:I40 I33:I35</xm:sqref>
        </x14:dataValidation>
        <x14:dataValidation type="list" allowBlank="1" showInputMessage="1" showErrorMessage="1" xr:uid="{061DDA72-5C24-4A94-AF9E-1B61A4C6B009}">
          <x14:formula1>
            <xm:f>'Warm Up'!$L:$L</xm:f>
          </x14:formula1>
          <xm:sqref>N14</xm:sqref>
        </x14:dataValidation>
        <x14:dataValidation type="list" allowBlank="1" showInputMessage="1" showErrorMessage="1" xr:uid="{BC6721C0-B9E4-4B48-930F-2396264CFC10}">
          <x14:formula1>
            <xm:f>'Warm Up'!$F:$F</xm:f>
          </x14:formula1>
          <xm:sqref>N13</xm:sqref>
        </x14:dataValidation>
        <x14:dataValidation type="list" allowBlank="1" showInputMessage="1" showErrorMessage="1" xr:uid="{38844D0C-582A-4104-ABAA-A6312731A763}">
          <x14:formula1>
            <xm:f>'Warm Up'!$K:$K</xm:f>
          </x14:formula1>
          <xm:sqref>J14</xm:sqref>
        </x14:dataValidation>
        <x14:dataValidation type="list" allowBlank="1" showInputMessage="1" showErrorMessage="1" xr:uid="{32FE804C-3138-43A1-9378-28F7473BBAE6}">
          <x14:formula1>
            <xm:f>'Warm Up'!$E:$E</xm:f>
          </x14:formula1>
          <xm:sqref>J13</xm:sqref>
        </x14:dataValidation>
        <x14:dataValidation type="list" allowBlank="1" showInputMessage="1" showErrorMessage="1" xr:uid="{8CEB086C-93D2-4DE7-8092-56F524BAF418}">
          <x14:formula1>
            <xm:f>'Warm Up'!$J:$J</xm:f>
          </x14:formula1>
          <xm:sqref>G14</xm:sqref>
        </x14:dataValidation>
        <x14:dataValidation type="list" allowBlank="1" showInputMessage="1" showErrorMessage="1" xr:uid="{FAFE2D0B-28FB-4BA2-A246-EA4AB527A0EE}">
          <x14:formula1>
            <xm:f>'Warm Up'!$D:$D</xm:f>
          </x14:formula1>
          <xm:sqref>G13</xm:sqref>
        </x14:dataValidation>
        <x14:dataValidation type="list" allowBlank="1" showInputMessage="1" showErrorMessage="1" xr:uid="{899893E8-07A7-4F0E-A432-7AB433882E20}">
          <x14:formula1>
            <xm:f>'Warm Up'!$M:$M</xm:f>
          </x14:formula1>
          <xm:sqref>R14:T14</xm:sqref>
        </x14:dataValidation>
        <x14:dataValidation type="list" allowBlank="1" showInputMessage="1" showErrorMessage="1" xr:uid="{14A3B99A-2D99-45C4-9962-506A67F4C632}">
          <x14:formula1>
            <xm:f>'Warm Up'!$I:$I</xm:f>
          </x14:formula1>
          <xm:sqref>E14</xm:sqref>
        </x14:dataValidation>
        <x14:dataValidation type="list" allowBlank="1" showInputMessage="1" showErrorMessage="1" xr:uid="{6B4802D2-A224-4D77-8D1C-74D2725B1C91}">
          <x14:formula1>
            <xm:f>'Warm Up'!$H:$H</xm:f>
          </x14:formula1>
          <xm:sqref>B14:D14</xm:sqref>
        </x14:dataValidation>
        <x14:dataValidation type="list" allowBlank="1" showInputMessage="1" showErrorMessage="1" xr:uid="{48D2BD71-5AD8-4ABB-843C-E4E91BA00FC3}">
          <x14:formula1>
            <xm:f>'Warm Up'!$G:$G</xm:f>
          </x14:formula1>
          <xm:sqref>R13:T13</xm:sqref>
        </x14:dataValidation>
        <x14:dataValidation type="list" allowBlank="1" showInputMessage="1" showErrorMessage="1" xr:uid="{3946B75D-CEB8-4C2C-AFDB-65AC331B7CBA}">
          <x14:formula1>
            <xm:f>'Warm Up'!$C:$C</xm:f>
          </x14:formula1>
          <xm:sqref>E13</xm:sqref>
        </x14:dataValidation>
        <x14:dataValidation type="list" allowBlank="1" showInputMessage="1" showErrorMessage="1" xr:uid="{7B1D88DB-93D7-4709-ACFB-16867D5B135E}">
          <x14:formula1>
            <xm:f>'Warm Up'!$B:$B</xm:f>
          </x14:formula1>
          <xm:sqref>B13:D13</xm:sqref>
        </x14:dataValidation>
        <x14:dataValidation type="list" allowBlank="1" showInputMessage="1" showErrorMessage="1" xr:uid="{E2A0853A-F329-46FD-AFFB-7B79A2721CE4}">
          <x14:formula1>
            <xm:f>'Warm Up'!$A:$A</xm:f>
          </x14:formula1>
          <xm:sqref>B16:E17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4AA-8EBD-4BED-A084-8B247B228FDB}">
  <sheetPr>
    <pageSetUpPr fitToPage="1"/>
  </sheetPr>
  <dimension ref="B1:W43"/>
  <sheetViews>
    <sheetView topLeftCell="A5" zoomScale="94" zoomScaleNormal="100" workbookViewId="0">
      <selection activeCell="G5" sqref="G5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W4" s="2"/>
    </row>
    <row r="5" spans="2:23" x14ac:dyDescent="0.25">
      <c r="B5" s="7"/>
      <c r="C5" s="76" t="str">
        <f>[1]Unterkörperplan!C5</f>
        <v>NAME</v>
      </c>
      <c r="I5" s="12"/>
      <c r="O5" s="343"/>
      <c r="P5" s="343"/>
      <c r="Q5" s="343"/>
      <c r="R5" s="343"/>
      <c r="S5" s="343"/>
      <c r="T5" s="344"/>
      <c r="U5" s="2"/>
      <c r="W5" s="2"/>
    </row>
    <row r="6" spans="2:23" x14ac:dyDescent="0.25">
      <c r="B6" s="7"/>
      <c r="C6" s="76"/>
      <c r="E6" t="s">
        <v>2</v>
      </c>
      <c r="O6" s="343"/>
      <c r="P6" s="343"/>
      <c r="Q6" s="343"/>
      <c r="R6" s="343"/>
      <c r="S6" s="343"/>
      <c r="T6" s="344"/>
      <c r="U6" s="2"/>
      <c r="W6" s="2"/>
    </row>
    <row r="7" spans="2:23" x14ac:dyDescent="0.25">
      <c r="B7" s="7"/>
      <c r="C7" s="76"/>
      <c r="O7" s="343"/>
      <c r="P7" s="343"/>
      <c r="Q7" s="343"/>
      <c r="R7" s="343"/>
      <c r="S7" s="343"/>
      <c r="T7" s="344"/>
      <c r="U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W9" s="2"/>
    </row>
    <row r="10" spans="2:23" ht="16.5" hidden="1" thickBot="1" x14ac:dyDescent="0.3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1" customFormat="1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tr">
        <f>Unterkörper5!B13</f>
        <v>LOADED - TGU - 1/2-KN. TO STAND</v>
      </c>
      <c r="C13" s="330"/>
      <c r="D13" s="330"/>
      <c r="E13" s="388" t="str">
        <f>Unterkörper5!E13</f>
        <v>LOADED PUSH UP CRAWL</v>
      </c>
      <c r="F13" s="389"/>
      <c r="G13" s="330" t="str">
        <f>Unterkörper5!G13</f>
        <v>2KB BOTTOM-UP WAITER CARRY</v>
      </c>
      <c r="H13" s="330"/>
      <c r="I13" s="330"/>
      <c r="J13" s="330" t="str">
        <f>Unterkörper5!J13</f>
        <v>BW 1-ARM OVERHEAD SQUAT</v>
      </c>
      <c r="K13" s="330"/>
      <c r="L13" s="330"/>
      <c r="M13" s="330"/>
      <c r="N13" s="330" t="str">
        <f>Unterkörper5!N13</f>
        <v>2 DIFFERENT KB SUITCASE DEADLIFT</v>
      </c>
      <c r="O13" s="330"/>
      <c r="P13" s="330"/>
      <c r="Q13" s="330"/>
      <c r="R13" s="330" t="str">
        <f>Unterkörper5!R13</f>
        <v>2KB 1-LEG DEADLIFT TO BOX</v>
      </c>
      <c r="S13" s="330"/>
      <c r="T13" s="331"/>
    </row>
    <row r="14" spans="2:23" s="34" customFormat="1" ht="20.100000000000001" customHeight="1" thickBot="1" x14ac:dyDescent="0.3">
      <c r="B14" s="361" t="str">
        <f>Unterkörper5!B14</f>
        <v>LOADED ANKLE ROCKER SPLIT SQUAT</v>
      </c>
      <c r="C14" s="329"/>
      <c r="D14" s="329"/>
      <c r="E14" s="386" t="str">
        <f>Unterkörper5!E14</f>
        <v>ANKLE POS. 2 30 SEC</v>
      </c>
      <c r="F14" s="387"/>
      <c r="G14" s="329" t="str">
        <f>Unterkörper5!G14</f>
        <v>LOADED LATERAL ANKLE SKIP</v>
      </c>
      <c r="H14" s="329"/>
      <c r="I14" s="329"/>
      <c r="J14" s="329" t="str">
        <f>Unterkörper5!J14</f>
        <v>LOADED 1-LEG B-SKIP</v>
      </c>
      <c r="K14" s="329"/>
      <c r="L14" s="329"/>
      <c r="M14" s="329"/>
      <c r="N14" s="329" t="str">
        <f>Unterkörper5!N14</f>
        <v>REACTIVE 1-LEG LINEAR HOP - TO BOX (NCM)</v>
      </c>
      <c r="O14" s="329"/>
      <c r="P14" s="329"/>
      <c r="Q14" s="329"/>
      <c r="R14" s="329" t="str">
        <f>Unterkörper5!R14</f>
        <v>RESISTENT  SQUAT JUMP</v>
      </c>
      <c r="S14" s="329"/>
      <c r="T14" s="332"/>
    </row>
    <row r="15" spans="2:23" ht="16.5" thickBot="1" x14ac:dyDescent="0.3">
      <c r="B15" s="380" t="str">
        <f>Unterkörper5!B16</f>
        <v>LEVEL 5</v>
      </c>
      <c r="C15" s="381"/>
      <c r="D15" s="381"/>
      <c r="E15" s="382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83"/>
      <c r="C16" s="384"/>
      <c r="D16" s="384"/>
      <c r="E16" s="385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8" customHeight="1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281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264</v>
      </c>
      <c r="D19" s="343"/>
      <c r="E19" s="344"/>
      <c r="G19" s="68" t="s">
        <v>23</v>
      </c>
      <c r="H19" s="69"/>
      <c r="I19" s="69" t="s">
        <v>25</v>
      </c>
      <c r="J19" s="70" t="s">
        <v>759</v>
      </c>
      <c r="L19" s="68" t="s">
        <v>23</v>
      </c>
      <c r="M19" s="69"/>
      <c r="N19" s="69" t="s">
        <v>25</v>
      </c>
      <c r="O19" s="70" t="str">
        <f>J19</f>
        <v>2kg</v>
      </c>
      <c r="Q19" s="77" t="s">
        <v>23</v>
      </c>
      <c r="R19" s="78"/>
      <c r="S19" s="78" t="s">
        <v>25</v>
      </c>
      <c r="T19" s="79" t="str">
        <f>J19</f>
        <v>2kg</v>
      </c>
    </row>
    <row r="20" spans="2:23" s="1" customFormat="1" ht="19.899999999999999" customHeight="1" thickBot="1" x14ac:dyDescent="0.3">
      <c r="B20" s="4">
        <v>3</v>
      </c>
      <c r="C20" s="341" t="s">
        <v>259</v>
      </c>
      <c r="D20" s="341"/>
      <c r="E20" s="342"/>
      <c r="G20" s="24" t="s">
        <v>23</v>
      </c>
      <c r="H20" s="25"/>
      <c r="I20" s="25" t="s">
        <v>25</v>
      </c>
      <c r="J20" s="26" t="s">
        <v>759</v>
      </c>
      <c r="L20" s="24" t="s">
        <v>23</v>
      </c>
      <c r="M20" s="25"/>
      <c r="N20" s="25" t="s">
        <v>25</v>
      </c>
      <c r="O20" s="26" t="str">
        <f>J20</f>
        <v>2kg</v>
      </c>
      <c r="Q20" s="47" t="s">
        <v>23</v>
      </c>
      <c r="R20" s="48"/>
      <c r="S20" s="48" t="s">
        <v>25</v>
      </c>
      <c r="T20" s="49" t="str">
        <f>J20</f>
        <v>2kg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8" customHeight="1" thickBot="1" x14ac:dyDescent="0.3">
      <c r="B22" s="338" t="s">
        <v>381</v>
      </c>
      <c r="C22" s="339"/>
      <c r="D22" s="339"/>
      <c r="E22" s="340"/>
      <c r="G22" s="129" t="s">
        <v>22</v>
      </c>
      <c r="H22" s="130" t="s">
        <v>20</v>
      </c>
      <c r="I22" s="130" t="s">
        <v>21</v>
      </c>
      <c r="J22" s="131" t="s">
        <v>22</v>
      </c>
      <c r="L22" s="129" t="str">
        <f>G22</f>
        <v>WEIGHT</v>
      </c>
      <c r="M22" s="130" t="s">
        <v>20</v>
      </c>
      <c r="N22" s="130" t="s">
        <v>21</v>
      </c>
      <c r="O22" s="131" t="s">
        <v>22</v>
      </c>
      <c r="Q22" s="132" t="str">
        <f>L22</f>
        <v>WEIGHT</v>
      </c>
      <c r="R22" s="133" t="s">
        <v>20</v>
      </c>
      <c r="S22" s="133" t="s">
        <v>21</v>
      </c>
      <c r="T22" s="134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274</v>
      </c>
      <c r="D23" s="336"/>
      <c r="E23" s="337"/>
      <c r="G23" s="21"/>
      <c r="H23" s="22" t="s">
        <v>24</v>
      </c>
      <c r="I23" s="28" t="s">
        <v>753</v>
      </c>
      <c r="J23" s="23"/>
      <c r="L23" s="21"/>
      <c r="M23" s="22" t="s">
        <v>24</v>
      </c>
      <c r="N23" s="22" t="str">
        <f>I23</f>
        <v>1x15</v>
      </c>
      <c r="O23" s="23"/>
      <c r="Q23" s="51"/>
      <c r="R23" s="53" t="s">
        <v>24</v>
      </c>
      <c r="S23" s="53" t="str">
        <f>I23</f>
        <v>1x15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220</v>
      </c>
      <c r="D24" s="343"/>
      <c r="E24" s="344"/>
      <c r="G24" s="27"/>
      <c r="H24" s="28" t="s">
        <v>24</v>
      </c>
      <c r="I24" s="28" t="s">
        <v>753</v>
      </c>
      <c r="J24" s="29"/>
      <c r="L24" s="27"/>
      <c r="M24" s="28" t="s">
        <v>24</v>
      </c>
      <c r="N24" s="28" t="str">
        <f>I24</f>
        <v>1x15</v>
      </c>
      <c r="O24" s="29"/>
      <c r="Q24" s="55"/>
      <c r="R24" s="57" t="s">
        <v>24</v>
      </c>
      <c r="S24" s="57" t="str">
        <f>I24</f>
        <v>1x15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774</v>
      </c>
      <c r="D25" s="341"/>
      <c r="E25" s="342"/>
      <c r="G25" s="24"/>
      <c r="H25" s="25" t="s">
        <v>24</v>
      </c>
      <c r="I25" s="25" t="s">
        <v>745</v>
      </c>
      <c r="J25" s="26"/>
      <c r="L25" s="24"/>
      <c r="M25" s="25" t="s">
        <v>24</v>
      </c>
      <c r="N25" s="25" t="str">
        <f>I25</f>
        <v>2x15m</v>
      </c>
      <c r="O25" s="26"/>
      <c r="Q25" s="47"/>
      <c r="R25" s="48" t="s">
        <v>24</v>
      </c>
      <c r="S25" s="48" t="str">
        <f>I25</f>
        <v>2x15m</v>
      </c>
      <c r="T25" s="49"/>
    </row>
    <row r="26" spans="2:23" s="2" customFormat="1" ht="4.9000000000000004" customHeight="1" thickBot="1" x14ac:dyDescent="0.3">
      <c r="B26" s="74"/>
      <c r="Q26" s="50"/>
      <c r="R26" s="50"/>
      <c r="S26" s="50"/>
      <c r="T26" s="75"/>
    </row>
    <row r="27" spans="2:23" s="1" customFormat="1" ht="19.899999999999999" customHeight="1" x14ac:dyDescent="0.25">
      <c r="B27" s="9">
        <v>4</v>
      </c>
      <c r="C27" s="336" t="s">
        <v>305</v>
      </c>
      <c r="D27" s="336"/>
      <c r="E27" s="337"/>
      <c r="G27" s="21"/>
      <c r="H27" s="22" t="s">
        <v>24</v>
      </c>
      <c r="I27" s="22" t="s">
        <v>753</v>
      </c>
      <c r="J27" s="23"/>
      <c r="L27" s="21"/>
      <c r="M27" s="22" t="s">
        <v>24</v>
      </c>
      <c r="N27" s="22" t="str">
        <f>I27</f>
        <v>1x15</v>
      </c>
      <c r="O27" s="23"/>
      <c r="Q27" s="51"/>
      <c r="R27" s="53" t="s">
        <v>24</v>
      </c>
      <c r="S27" s="53" t="str">
        <f>I27</f>
        <v>1x15</v>
      </c>
      <c r="T27" s="54"/>
    </row>
    <row r="28" spans="2:23" s="1" customFormat="1" ht="19.899999999999999" customHeight="1" x14ac:dyDescent="0.25">
      <c r="B28" s="3">
        <v>5</v>
      </c>
      <c r="C28" s="343" t="s">
        <v>811</v>
      </c>
      <c r="D28" s="343"/>
      <c r="E28" s="344"/>
      <c r="G28" s="27"/>
      <c r="H28" s="28" t="s">
        <v>24</v>
      </c>
      <c r="I28" s="28" t="s">
        <v>753</v>
      </c>
      <c r="J28" s="29"/>
      <c r="L28" s="27"/>
      <c r="M28" s="28" t="s">
        <v>24</v>
      </c>
      <c r="N28" s="28" t="str">
        <f>I28</f>
        <v>1x15</v>
      </c>
      <c r="O28" s="29"/>
      <c r="Q28" s="55"/>
      <c r="R28" s="57" t="s">
        <v>24</v>
      </c>
      <c r="S28" s="28" t="str">
        <f>I28</f>
        <v>1x15</v>
      </c>
      <c r="T28" s="58"/>
    </row>
    <row r="29" spans="2:23" s="1" customFormat="1" ht="19.899999999999999" customHeight="1" thickBot="1" x14ac:dyDescent="0.3">
      <c r="B29" s="4">
        <v>6</v>
      </c>
      <c r="C29" s="341" t="s">
        <v>74</v>
      </c>
      <c r="D29" s="341"/>
      <c r="E29" s="342"/>
      <c r="G29" s="24"/>
      <c r="H29" s="25" t="s">
        <v>24</v>
      </c>
      <c r="I29" s="25" t="s">
        <v>789</v>
      </c>
      <c r="J29" s="26"/>
      <c r="L29" s="24"/>
      <c r="M29" s="25" t="s">
        <v>24</v>
      </c>
      <c r="N29" s="25" t="str">
        <f>I29</f>
        <v>3x5 ea</v>
      </c>
      <c r="O29" s="26"/>
      <c r="Q29" s="47"/>
      <c r="R29" s="48" t="s">
        <v>24</v>
      </c>
      <c r="S29" s="48" t="str">
        <f>I29</f>
        <v>3x5 ea</v>
      </c>
      <c r="T29" s="49"/>
    </row>
    <row r="30" spans="2:23" s="1" customFormat="1" ht="5.0999999999999996" customHeight="1" thickBot="1" x14ac:dyDescent="0.3">
      <c r="B30" s="4"/>
      <c r="C30" s="67"/>
      <c r="D30" s="67"/>
      <c r="E30" s="118"/>
      <c r="G30" s="4"/>
      <c r="H30" s="67"/>
      <c r="I30" s="67"/>
      <c r="J30" s="67"/>
      <c r="L30" s="67"/>
      <c r="M30" s="67"/>
      <c r="N30" s="67"/>
      <c r="O30" s="67"/>
      <c r="Q30" s="120"/>
      <c r="R30" s="120"/>
      <c r="S30" s="120"/>
      <c r="T30" s="121"/>
    </row>
    <row r="31" spans="2:23" s="2" customFormat="1" ht="18" customHeight="1" thickBot="1" x14ac:dyDescent="0.3">
      <c r="B31" s="338" t="s">
        <v>746</v>
      </c>
      <c r="C31" s="339"/>
      <c r="D31" s="339"/>
      <c r="E31" s="340"/>
      <c r="F31" s="119"/>
      <c r="G31" s="333"/>
      <c r="H31" s="334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5"/>
    </row>
    <row r="32" spans="2:23" s="1" customFormat="1" ht="19.899999999999999" customHeight="1" x14ac:dyDescent="0.25">
      <c r="B32" s="9">
        <v>7</v>
      </c>
      <c r="C32" s="336" t="s">
        <v>285</v>
      </c>
      <c r="D32" s="336"/>
      <c r="E32" s="337"/>
      <c r="G32" s="21"/>
      <c r="H32" s="22" t="s">
        <v>24</v>
      </c>
      <c r="I32" s="22" t="s">
        <v>753</v>
      </c>
      <c r="J32" s="23"/>
      <c r="L32" s="21"/>
      <c r="M32" s="22" t="s">
        <v>24</v>
      </c>
      <c r="N32" s="22" t="str">
        <f>I32</f>
        <v>1x15</v>
      </c>
      <c r="O32" s="23"/>
      <c r="Q32" s="51"/>
      <c r="R32" s="53" t="s">
        <v>24</v>
      </c>
      <c r="S32" s="53" t="str">
        <f>I32</f>
        <v>1x15</v>
      </c>
      <c r="T32" s="54"/>
    </row>
    <row r="33" spans="2:20" s="1" customFormat="1" ht="19.899999999999999" customHeight="1" x14ac:dyDescent="0.25">
      <c r="B33" s="3">
        <v>8</v>
      </c>
      <c r="C33" s="343" t="s">
        <v>539</v>
      </c>
      <c r="D33" s="343"/>
      <c r="E33" s="344"/>
      <c r="G33" s="27"/>
      <c r="H33" s="28" t="s">
        <v>24</v>
      </c>
      <c r="I33" s="28" t="s">
        <v>753</v>
      </c>
      <c r="J33" s="29"/>
      <c r="L33" s="27"/>
      <c r="M33" s="28" t="s">
        <v>24</v>
      </c>
      <c r="N33" s="28" t="str">
        <f>I33</f>
        <v>1x15</v>
      </c>
      <c r="O33" s="29"/>
      <c r="Q33" s="55"/>
      <c r="R33" s="57" t="s">
        <v>24</v>
      </c>
      <c r="S33" s="28" t="str">
        <f>I33</f>
        <v>1x15</v>
      </c>
      <c r="T33" s="58"/>
    </row>
    <row r="34" spans="2:20" s="1" customFormat="1" ht="19.899999999999999" customHeight="1" thickBot="1" x14ac:dyDescent="0.3">
      <c r="B34" s="4">
        <v>9</v>
      </c>
      <c r="C34" s="341" t="s">
        <v>813</v>
      </c>
      <c r="D34" s="341"/>
      <c r="E34" s="342"/>
      <c r="G34" s="24"/>
      <c r="H34" s="25" t="s">
        <v>24</v>
      </c>
      <c r="I34" s="25" t="s">
        <v>749</v>
      </c>
      <c r="J34" s="26"/>
      <c r="L34" s="24"/>
      <c r="M34" s="25" t="s">
        <v>24</v>
      </c>
      <c r="N34" s="25" t="str">
        <f>I34</f>
        <v>3x10s ea</v>
      </c>
      <c r="O34" s="26"/>
      <c r="Q34" s="47"/>
      <c r="R34" s="48" t="s">
        <v>24</v>
      </c>
      <c r="S34" s="48" t="str">
        <f>I34</f>
        <v>3x10s ea</v>
      </c>
      <c r="T34" s="49"/>
    </row>
    <row r="35" spans="2:20" s="2" customFormat="1" ht="4.9000000000000004" customHeight="1" thickBot="1" x14ac:dyDescent="0.3">
      <c r="B35" s="74"/>
      <c r="Q35" s="50"/>
      <c r="R35" s="50"/>
      <c r="S35" s="50"/>
      <c r="T35" s="75"/>
    </row>
    <row r="36" spans="2:20" s="1" customFormat="1" ht="19.899999999999999" customHeight="1" x14ac:dyDescent="0.25">
      <c r="B36" s="9">
        <v>10</v>
      </c>
      <c r="C36" s="336" t="s">
        <v>286</v>
      </c>
      <c r="D36" s="336"/>
      <c r="E36" s="337"/>
      <c r="G36" s="21"/>
      <c r="H36" s="22" t="s">
        <v>24</v>
      </c>
      <c r="I36" s="22" t="s">
        <v>753</v>
      </c>
      <c r="J36" s="23"/>
      <c r="L36" s="21"/>
      <c r="M36" s="22" t="s">
        <v>24</v>
      </c>
      <c r="N36" s="22" t="str">
        <f>I36</f>
        <v>1x15</v>
      </c>
      <c r="O36" s="23"/>
      <c r="Q36" s="21"/>
      <c r="R36" s="22" t="s">
        <v>24</v>
      </c>
      <c r="S36" s="53" t="str">
        <f>I36</f>
        <v>1x15</v>
      </c>
      <c r="T36" s="23"/>
    </row>
    <row r="37" spans="2:20" s="1" customFormat="1" ht="19.899999999999999" customHeight="1" x14ac:dyDescent="0.25">
      <c r="B37" s="3">
        <v>11</v>
      </c>
      <c r="C37" s="343" t="s">
        <v>229</v>
      </c>
      <c r="D37" s="343"/>
      <c r="E37" s="344"/>
      <c r="G37" s="27"/>
      <c r="H37" s="28" t="s">
        <v>24</v>
      </c>
      <c r="I37" s="28" t="s">
        <v>753</v>
      </c>
      <c r="J37" s="29"/>
      <c r="L37" s="27"/>
      <c r="M37" s="28" t="s">
        <v>24</v>
      </c>
      <c r="N37" s="28" t="str">
        <f>I37</f>
        <v>1x15</v>
      </c>
      <c r="O37" s="29"/>
      <c r="Q37" s="27"/>
      <c r="R37" s="28" t="s">
        <v>24</v>
      </c>
      <c r="S37" s="28" t="str">
        <f>I37</f>
        <v>1x15</v>
      </c>
      <c r="T37" s="29"/>
    </row>
    <row r="38" spans="2:20" s="1" customFormat="1" ht="19.899999999999999" customHeight="1" thickBot="1" x14ac:dyDescent="0.3">
      <c r="B38" s="4">
        <v>12</v>
      </c>
      <c r="C38" s="341" t="s">
        <v>765</v>
      </c>
      <c r="D38" s="341"/>
      <c r="E38" s="342"/>
      <c r="G38" s="24"/>
      <c r="H38" s="25" t="s">
        <v>24</v>
      </c>
      <c r="I38" s="25" t="s">
        <v>753</v>
      </c>
      <c r="J38" s="26"/>
      <c r="L38" s="24"/>
      <c r="M38" s="25" t="s">
        <v>24</v>
      </c>
      <c r="N38" s="25" t="str">
        <f>I38</f>
        <v>1x15</v>
      </c>
      <c r="O38" s="26"/>
      <c r="Q38" s="47"/>
      <c r="R38" s="48" t="s">
        <v>24</v>
      </c>
      <c r="S38" s="48" t="str">
        <f>I38</f>
        <v>1x15</v>
      </c>
      <c r="T38" s="49"/>
    </row>
    <row r="39" spans="2:20" s="1" customFormat="1" ht="5.0999999999999996" customHeight="1" thickBot="1" x14ac:dyDescent="0.3">
      <c r="B39" s="4"/>
      <c r="C39" s="67"/>
      <c r="D39" s="67"/>
      <c r="E39" s="118"/>
      <c r="G39" s="4"/>
      <c r="H39" s="67"/>
      <c r="I39" s="67"/>
      <c r="J39" s="67"/>
      <c r="L39" s="67"/>
      <c r="M39" s="67"/>
      <c r="N39" s="67"/>
      <c r="O39" s="67"/>
      <c r="Q39" s="120"/>
      <c r="R39" s="120"/>
      <c r="S39" s="120"/>
      <c r="T39" s="121"/>
    </row>
    <row r="40" spans="2:20" s="2" customFormat="1" ht="18" customHeight="1" thickBot="1" x14ac:dyDescent="0.3">
      <c r="B40" s="338" t="s">
        <v>382</v>
      </c>
      <c r="C40" s="339"/>
      <c r="D40" s="339"/>
      <c r="E40" s="340"/>
      <c r="G40" s="333"/>
      <c r="H40" s="334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5"/>
    </row>
    <row r="41" spans="2:20" s="1" customFormat="1" ht="19.899999999999999" customHeight="1" x14ac:dyDescent="0.25">
      <c r="B41" s="9">
        <v>13</v>
      </c>
      <c r="C41" s="336" t="s">
        <v>231</v>
      </c>
      <c r="D41" s="336"/>
      <c r="E41" s="337"/>
      <c r="G41" s="21"/>
      <c r="H41" s="22" t="s">
        <v>24</v>
      </c>
      <c r="I41" s="22" t="s">
        <v>756</v>
      </c>
      <c r="J41" s="23"/>
      <c r="L41" s="21"/>
      <c r="M41" s="22" t="s">
        <v>24</v>
      </c>
      <c r="N41" s="22" t="str">
        <f>I41</f>
        <v>1x90s</v>
      </c>
      <c r="O41" s="23"/>
      <c r="Q41" s="21"/>
      <c r="R41" s="22" t="s">
        <v>24</v>
      </c>
      <c r="S41" s="22" t="str">
        <f>N41</f>
        <v>1x90s</v>
      </c>
      <c r="T41" s="23"/>
    </row>
    <row r="42" spans="2:20" s="1" customFormat="1" ht="19.899999999999999" customHeight="1" x14ac:dyDescent="0.25">
      <c r="B42" s="3">
        <v>14</v>
      </c>
      <c r="C42" s="343" t="s">
        <v>547</v>
      </c>
      <c r="D42" s="343"/>
      <c r="E42" s="344"/>
      <c r="G42" s="27"/>
      <c r="H42" s="28" t="s">
        <v>24</v>
      </c>
      <c r="I42" s="28" t="s">
        <v>756</v>
      </c>
      <c r="J42" s="29"/>
      <c r="L42" s="27"/>
      <c r="M42" s="28" t="s">
        <v>24</v>
      </c>
      <c r="N42" s="28" t="str">
        <f>I42</f>
        <v>1x90s</v>
      </c>
      <c r="O42" s="29"/>
      <c r="Q42" s="27"/>
      <c r="R42" s="28" t="s">
        <v>24</v>
      </c>
      <c r="S42" s="28" t="str">
        <f>N42</f>
        <v>1x90s</v>
      </c>
      <c r="T42" s="29"/>
    </row>
    <row r="43" spans="2:20" s="1" customFormat="1" ht="19.899999999999999" customHeight="1" thickBot="1" x14ac:dyDescent="0.3">
      <c r="B43" s="4">
        <v>15</v>
      </c>
      <c r="C43" s="347" t="s">
        <v>384</v>
      </c>
      <c r="D43" s="347"/>
      <c r="E43" s="348"/>
      <c r="F43" s="67"/>
      <c r="G43" s="24"/>
      <c r="H43" s="25" t="s">
        <v>24</v>
      </c>
      <c r="I43" s="25" t="s">
        <v>756</v>
      </c>
      <c r="J43" s="26"/>
      <c r="K43" s="67"/>
      <c r="L43" s="24"/>
      <c r="M43" s="25" t="s">
        <v>24</v>
      </c>
      <c r="N43" s="25" t="str">
        <f>I43</f>
        <v>1x90s</v>
      </c>
      <c r="O43" s="26"/>
      <c r="P43" s="67"/>
      <c r="Q43" s="24"/>
      <c r="R43" s="25" t="s">
        <v>24</v>
      </c>
      <c r="S43" s="25" t="str">
        <f>N43</f>
        <v>1x90s</v>
      </c>
      <c r="T43" s="26"/>
    </row>
  </sheetData>
  <mergeCells count="44">
    <mergeCell ref="O2:T7"/>
    <mergeCell ref="M10:N10"/>
    <mergeCell ref="B12:T12"/>
    <mergeCell ref="B13:D13"/>
    <mergeCell ref="E13:F13"/>
    <mergeCell ref="G13:I13"/>
    <mergeCell ref="J13:M13"/>
    <mergeCell ref="N13:Q13"/>
    <mergeCell ref="R13:T13"/>
    <mergeCell ref="B17:E17"/>
    <mergeCell ref="B14:D14"/>
    <mergeCell ref="E14:F14"/>
    <mergeCell ref="G14:I14"/>
    <mergeCell ref="J14:M14"/>
    <mergeCell ref="B15:E16"/>
    <mergeCell ref="G15:T15"/>
    <mergeCell ref="H16:I16"/>
    <mergeCell ref="M16:N16"/>
    <mergeCell ref="R16:S16"/>
    <mergeCell ref="N14:Q14"/>
    <mergeCell ref="R14:T14"/>
    <mergeCell ref="G31:T31"/>
    <mergeCell ref="C18:E18"/>
    <mergeCell ref="C19:E19"/>
    <mergeCell ref="C20:E20"/>
    <mergeCell ref="B22:E22"/>
    <mergeCell ref="C23:E23"/>
    <mergeCell ref="C24:E24"/>
    <mergeCell ref="C38:E38"/>
    <mergeCell ref="C25:E25"/>
    <mergeCell ref="C27:E27"/>
    <mergeCell ref="C28:E28"/>
    <mergeCell ref="C29:E29"/>
    <mergeCell ref="B31:E31"/>
    <mergeCell ref="C32:E32"/>
    <mergeCell ref="C33:E33"/>
    <mergeCell ref="C34:E34"/>
    <mergeCell ref="C36:E36"/>
    <mergeCell ref="C37:E37"/>
    <mergeCell ref="B40:E40"/>
    <mergeCell ref="G40:T40"/>
    <mergeCell ref="C41:E41"/>
    <mergeCell ref="C42:E42"/>
    <mergeCell ref="C43:E43"/>
  </mergeCells>
  <dataValidations count="1">
    <dataValidation type="list" allowBlank="1" showInputMessage="1" showErrorMessage="1" sqref="H23:H25 M36:M39 R32:R34 R27:R30 R23:R25 H36:H39 M32:M34 M27:M30 M23:M25 H32:H34 H27:H30 H41:H43 M41:M43 R36:R39" xr:uid="{C099B2B8-D456-4E0F-B2FB-7B7C1B31FD72}">
      <formula1>$W$22:$W$24</formula1>
    </dataValidation>
  </dataValidation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5EFB8C7B-467B-4208-924C-68251922AB70}">
          <x14:formula1>
            <xm:f>' Unterkörper Progressionen '!$AA:$AA</xm:f>
          </x14:formula1>
          <xm:sqref>J19:J20</xm:sqref>
        </x14:dataValidation>
        <x14:dataValidation type="list" allowBlank="1" showInputMessage="1" showErrorMessage="1" xr:uid="{39AD2F7D-643F-4F50-B5F4-403CC5EF15AE}">
          <x14:formula1>
            <xm:f>' Unterkörper Progressionen '!$Z:$Z</xm:f>
          </x14:formula1>
          <xm:sqref>I41:I43 I23:I24 I27:I30 I32:I34 I36:I39</xm:sqref>
        </x14:dataValidation>
        <x14:dataValidation type="list" allowBlank="1" showInputMessage="1" showErrorMessage="1" xr:uid="{583F8F82-0406-483A-89D3-EAD43758BE8A}">
          <x14:formula1>
            <xm:f>' Unterkörper Progressionen '!$Z$2:$Z$17</xm:f>
          </x14:formula1>
          <xm:sqref>N28 S37 S33 N33 N37 S28</xm:sqref>
        </x14:dataValidation>
        <x14:dataValidation type="list" allowBlank="1" showInputMessage="1" showErrorMessage="1" xr:uid="{84B12E92-ED93-49B2-92D9-9AFD1D9A2F70}">
          <x14:formula1>
            <xm:f>'Oberkörper Progressionen '!$S:$S</xm:f>
          </x14:formula1>
          <xm:sqref>C43:E43</xm:sqref>
        </x14:dataValidation>
        <x14:dataValidation type="list" allowBlank="1" showInputMessage="1" showErrorMessage="1" xr:uid="{2E0EA590-52E5-4C52-9CE5-095CBEA78489}">
          <x14:formula1>
            <xm:f>'Oberkörper Progressionen '!$R:$R</xm:f>
          </x14:formula1>
          <xm:sqref>C41:E41</xm:sqref>
        </x14:dataValidation>
        <x14:dataValidation type="list" allowBlank="1" showInputMessage="1" showErrorMessage="1" xr:uid="{C976813F-4942-466B-B130-F85CA7CE18E3}">
          <x14:formula1>
            <xm:f>'Oberkörper Progressionen '!$K:$K</xm:f>
          </x14:formula1>
          <xm:sqref>C38:E39</xm:sqref>
        </x14:dataValidation>
        <x14:dataValidation type="list" allowBlank="1" showInputMessage="1" showErrorMessage="1" xr:uid="{80B5F4C2-C3FB-4D86-89FF-6222DA1637C6}">
          <x14:formula1>
            <xm:f>'Oberkörper Progressionen '!$P:$P</xm:f>
          </x14:formula1>
          <xm:sqref>C37:E37</xm:sqref>
        </x14:dataValidation>
        <x14:dataValidation type="list" allowBlank="1" showInputMessage="1" showErrorMessage="1" xr:uid="{FF18D4D8-FDEA-47E6-AD90-4B48416EE4F0}">
          <x14:formula1>
            <xm:f>'Oberkörper Progressionen '!$O:$O</xm:f>
          </x14:formula1>
          <xm:sqref>C36:E36</xm:sqref>
        </x14:dataValidation>
        <x14:dataValidation type="list" allowBlank="1" showInputMessage="1" showErrorMessage="1" xr:uid="{0D6A96AF-3377-40C1-8A10-9957AE2750EC}">
          <x14:formula1>
            <xm:f>'Oberkörper Progressionen '!$J:$J</xm:f>
          </x14:formula1>
          <xm:sqref>C34:E34</xm:sqref>
        </x14:dataValidation>
        <x14:dataValidation type="list" allowBlank="1" showInputMessage="1" showErrorMessage="1" xr:uid="{6E329172-05CB-4701-B71B-C514C7189D32}">
          <x14:formula1>
            <xm:f>'Oberkörper Progressionen '!$M:$M</xm:f>
          </x14:formula1>
          <xm:sqref>C33:E33</xm:sqref>
        </x14:dataValidation>
        <x14:dataValidation type="list" allowBlank="1" showInputMessage="1" showErrorMessage="1" xr:uid="{684121DD-8802-4051-9A49-9AB32514E739}">
          <x14:formula1>
            <xm:f>'Oberkörper Progressionen '!$L:$L</xm:f>
          </x14:formula1>
          <xm:sqref>C32:E32</xm:sqref>
        </x14:dataValidation>
        <x14:dataValidation type="list" allowBlank="1" showInputMessage="1" showErrorMessage="1" xr:uid="{EEA2BAAA-61B0-4EEA-BE92-A9700CC4C6CA}">
          <x14:formula1>
            <xm:f>'Oberkörper Progressionen '!$G:$G</xm:f>
          </x14:formula1>
          <xm:sqref>C29:E30</xm:sqref>
        </x14:dataValidation>
        <x14:dataValidation type="list" allowBlank="1" showInputMessage="1" showErrorMessage="1" xr:uid="{5598F3BA-A16A-44AC-8C63-EC2CAE576DA6}">
          <x14:formula1>
            <xm:f>'Oberkörper Progressionen '!$I:$I</xm:f>
          </x14:formula1>
          <xm:sqref>C28:E28</xm:sqref>
        </x14:dataValidation>
        <x14:dataValidation type="list" allowBlank="1" showInputMessage="1" showErrorMessage="1" xr:uid="{7AA1FC5D-4824-4FD6-AACD-E0F99C346647}">
          <x14:formula1>
            <xm:f>'Oberkörper Progressionen '!$H:$H</xm:f>
          </x14:formula1>
          <xm:sqref>C27:E27</xm:sqref>
        </x14:dataValidation>
        <x14:dataValidation type="list" allowBlank="1" showInputMessage="1" showErrorMessage="1" xr:uid="{40A9700E-0EDD-457B-A286-D8CB5084FD18}">
          <x14:formula1>
            <xm:f>'Oberkörper Progressionen '!$N:$N</xm:f>
          </x14:formula1>
          <xm:sqref>C25:E25</xm:sqref>
        </x14:dataValidation>
        <x14:dataValidation type="list" allowBlank="1" showInputMessage="1" showErrorMessage="1" xr:uid="{3A8C3A7F-1A82-44D7-A077-5D969DDEB4D7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EF6CB20F-1D30-4543-A6E8-E84161DDDC8B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BCB01409-6ED5-4F44-A5E8-F3D069891F9B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0C493872-F83D-4B6F-B823-C261C2E9B528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E725B30E-2C26-4DE9-A41C-D4041CE0475F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D02E911D-A03C-47E8-B5B0-A6F6BD70A242}">
          <x14:formula1>
            <xm:f>'Oberkörper Progressionen '!$Q:$Q</xm:f>
          </x14:formula1>
          <xm:sqref>C42:E42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B35E4-B2CE-4358-83F0-F3ACA13C51E8}">
  <sheetPr>
    <pageSetUpPr fitToPage="1"/>
  </sheetPr>
  <dimension ref="B1:X53"/>
  <sheetViews>
    <sheetView topLeftCell="A20" zoomScaleNormal="100" workbookViewId="0">
      <selection activeCell="I46" sqref="I46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V2" s="2"/>
      <c r="W2" s="2"/>
    </row>
    <row r="3" spans="2:23" x14ac:dyDescent="0.25">
      <c r="B3" s="7"/>
      <c r="C3" s="61" t="s">
        <v>318</v>
      </c>
      <c r="O3" s="343"/>
      <c r="P3" s="343"/>
      <c r="Q3" s="343"/>
      <c r="R3" s="343"/>
      <c r="S3" s="343"/>
      <c r="T3" s="344"/>
      <c r="U3" s="2"/>
      <c r="V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V4" s="2"/>
      <c r="W4" s="2"/>
    </row>
    <row r="5" spans="2:23" x14ac:dyDescent="0.25">
      <c r="B5" s="7"/>
      <c r="C5" s="60" t="s">
        <v>216</v>
      </c>
      <c r="I5" s="12"/>
      <c r="O5" s="343"/>
      <c r="P5" s="343"/>
      <c r="Q5" s="343"/>
      <c r="R5" s="343"/>
      <c r="S5" s="343"/>
      <c r="T5" s="344"/>
      <c r="U5" s="2"/>
      <c r="V5" s="2"/>
      <c r="W5" s="2"/>
    </row>
    <row r="6" spans="2:23" x14ac:dyDescent="0.25">
      <c r="B6" s="7"/>
      <c r="C6" s="60"/>
      <c r="E6" t="s">
        <v>2</v>
      </c>
      <c r="O6" s="343"/>
      <c r="P6" s="343"/>
      <c r="Q6" s="343"/>
      <c r="R6" s="343"/>
      <c r="S6" s="343"/>
      <c r="T6" s="344"/>
      <c r="U6" s="2"/>
      <c r="V6" s="2"/>
      <c r="W6" s="2"/>
    </row>
    <row r="7" spans="2:23" x14ac:dyDescent="0.25">
      <c r="B7" s="7"/>
      <c r="C7" s="60"/>
      <c r="O7" s="343"/>
      <c r="P7" s="343"/>
      <c r="Q7" s="343"/>
      <c r="R7" s="343"/>
      <c r="S7" s="343"/>
      <c r="T7" s="344"/>
      <c r="U7" s="2"/>
      <c r="V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V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V9" s="2"/>
      <c r="W9" s="2"/>
    </row>
    <row r="10" spans="2:23" ht="16.5" hidden="1" thickBot="1" x14ac:dyDescent="0.3">
      <c r="B10" s="7"/>
      <c r="C10" t="s">
        <v>12</v>
      </c>
      <c r="E10" s="378" t="s">
        <v>13</v>
      </c>
      <c r="F10" s="378"/>
      <c r="G10" s="378"/>
      <c r="I10" s="378" t="s">
        <v>14</v>
      </c>
      <c r="J10" s="378"/>
      <c r="K10" s="378"/>
      <c r="L10" s="378"/>
      <c r="N10" t="s">
        <v>15</v>
      </c>
      <c r="Q10" t="s">
        <v>16</v>
      </c>
      <c r="S1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">
        <v>215</v>
      </c>
      <c r="C13" s="330"/>
      <c r="D13" s="330"/>
      <c r="E13" s="388" t="s">
        <v>775</v>
      </c>
      <c r="F13" s="389"/>
      <c r="G13" s="330" t="s">
        <v>55</v>
      </c>
      <c r="H13" s="330"/>
      <c r="I13" s="330"/>
      <c r="J13" s="330" t="s">
        <v>37</v>
      </c>
      <c r="K13" s="330"/>
      <c r="L13" s="330"/>
      <c r="M13" s="330"/>
      <c r="N13" s="330" t="s">
        <v>778</v>
      </c>
      <c r="O13" s="330"/>
      <c r="P13" s="330"/>
      <c r="Q13" s="330"/>
      <c r="R13" s="330" t="s">
        <v>734</v>
      </c>
      <c r="S13" s="330"/>
      <c r="T13" s="331"/>
    </row>
    <row r="14" spans="2:23" s="34" customFormat="1" ht="20.100000000000001" customHeight="1" thickBot="1" x14ac:dyDescent="0.3">
      <c r="B14" s="361" t="s">
        <v>718</v>
      </c>
      <c r="C14" s="329"/>
      <c r="D14" s="329"/>
      <c r="E14" s="386" t="s">
        <v>353</v>
      </c>
      <c r="F14" s="387"/>
      <c r="G14" s="329" t="s">
        <v>330</v>
      </c>
      <c r="H14" s="329"/>
      <c r="I14" s="329"/>
      <c r="J14" s="329" t="s">
        <v>370</v>
      </c>
      <c r="K14" s="329"/>
      <c r="L14" s="329"/>
      <c r="M14" s="329"/>
      <c r="N14" s="329" t="s">
        <v>76</v>
      </c>
      <c r="O14" s="329"/>
      <c r="P14" s="329"/>
      <c r="Q14" s="329"/>
      <c r="R14" s="329" t="s">
        <v>180</v>
      </c>
      <c r="S14" s="329"/>
      <c r="T14" s="332"/>
    </row>
    <row r="15" spans="2:23" ht="4.9000000000000004" hidden="1" customHeight="1" thickBot="1" x14ac:dyDescent="0.3">
      <c r="B15" s="8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6"/>
    </row>
    <row r="16" spans="2:23" ht="18" customHeight="1" thickBot="1" x14ac:dyDescent="0.3">
      <c r="B16" s="380" t="s">
        <v>402</v>
      </c>
      <c r="C16" s="381"/>
      <c r="D16" s="381"/>
      <c r="E16" s="382"/>
      <c r="F16" s="1"/>
      <c r="G16" s="338" t="s">
        <v>132</v>
      </c>
      <c r="H16" s="339"/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39"/>
      <c r="T16" s="340"/>
    </row>
    <row r="17" spans="2:24" ht="21.6" customHeight="1" thickBot="1" x14ac:dyDescent="0.3">
      <c r="B17" s="383"/>
      <c r="C17" s="384"/>
      <c r="D17" s="384"/>
      <c r="E17" s="385"/>
      <c r="F17" s="1"/>
      <c r="G17" s="71" t="s">
        <v>162</v>
      </c>
      <c r="H17" s="358" t="s">
        <v>50</v>
      </c>
      <c r="I17" s="359"/>
      <c r="J17" s="72" t="s">
        <v>163</v>
      </c>
      <c r="K17" s="65"/>
      <c r="L17" s="71" t="s">
        <v>164</v>
      </c>
      <c r="M17" s="358" t="s">
        <v>49</v>
      </c>
      <c r="N17" s="359"/>
      <c r="O17" s="72" t="s">
        <v>166</v>
      </c>
      <c r="P17" s="65"/>
      <c r="Q17" s="72" t="s">
        <v>165</v>
      </c>
      <c r="R17" s="358" t="s">
        <v>51</v>
      </c>
      <c r="S17" s="359"/>
      <c r="T17" s="72" t="s">
        <v>167</v>
      </c>
      <c r="W17" s="36"/>
      <c r="X17" s="1"/>
    </row>
    <row r="18" spans="2:24" ht="18" customHeight="1" thickBot="1" x14ac:dyDescent="0.3">
      <c r="B18" s="338" t="s">
        <v>18</v>
      </c>
      <c r="C18" s="339"/>
      <c r="D18" s="339"/>
      <c r="E18" s="340"/>
      <c r="F18" s="73"/>
      <c r="G18" s="15" t="s">
        <v>19</v>
      </c>
      <c r="H18" s="16" t="s">
        <v>20</v>
      </c>
      <c r="I18" s="16" t="s">
        <v>21</v>
      </c>
      <c r="J18" s="17" t="s">
        <v>22</v>
      </c>
      <c r="K18" s="1"/>
      <c r="L18" s="15" t="s">
        <v>19</v>
      </c>
      <c r="M18" s="16" t="s">
        <v>20</v>
      </c>
      <c r="N18" s="16" t="s">
        <v>21</v>
      </c>
      <c r="O18" s="17" t="s">
        <v>22</v>
      </c>
      <c r="P18" s="1"/>
      <c r="Q18" s="41" t="s">
        <v>19</v>
      </c>
      <c r="R18" s="42" t="s">
        <v>20</v>
      </c>
      <c r="S18" s="42" t="s">
        <v>21</v>
      </c>
      <c r="T18" s="43" t="s">
        <v>22</v>
      </c>
      <c r="W18" s="37"/>
      <c r="X18" s="1"/>
    </row>
    <row r="19" spans="2:24" s="1" customFormat="1" ht="19.899999999999999" customHeight="1" x14ac:dyDescent="0.25">
      <c r="B19" s="9">
        <v>1</v>
      </c>
      <c r="C19" s="336" t="s">
        <v>791</v>
      </c>
      <c r="D19" s="336"/>
      <c r="E19" s="337"/>
      <c r="G19" s="18" t="s">
        <v>23</v>
      </c>
      <c r="H19" s="19"/>
      <c r="I19" s="19" t="s">
        <v>25</v>
      </c>
      <c r="J19" s="20" t="s">
        <v>27</v>
      </c>
      <c r="L19" s="18" t="s">
        <v>23</v>
      </c>
      <c r="M19" s="19"/>
      <c r="N19" s="19" t="s">
        <v>25</v>
      </c>
      <c r="O19" s="20" t="s">
        <v>27</v>
      </c>
      <c r="Q19" s="44" t="s">
        <v>23</v>
      </c>
      <c r="R19" s="45"/>
      <c r="S19" s="45" t="s">
        <v>25</v>
      </c>
      <c r="T19" s="46" t="s">
        <v>27</v>
      </c>
      <c r="W19" s="36"/>
    </row>
    <row r="20" spans="2:24" s="1" customFormat="1" ht="19.899999999999999" customHeight="1" x14ac:dyDescent="0.25">
      <c r="B20" s="3">
        <v>2</v>
      </c>
      <c r="C20" s="343" t="s">
        <v>799</v>
      </c>
      <c r="D20" s="343"/>
      <c r="E20" s="344"/>
      <c r="G20" s="68" t="s">
        <v>23</v>
      </c>
      <c r="H20" s="69"/>
      <c r="I20" s="69" t="s">
        <v>25</v>
      </c>
      <c r="J20" s="70" t="s">
        <v>744</v>
      </c>
      <c r="L20" s="68" t="s">
        <v>23</v>
      </c>
      <c r="M20" s="69"/>
      <c r="N20" s="69" t="s">
        <v>25</v>
      </c>
      <c r="O20" s="70" t="str">
        <f>J20</f>
        <v>1kg</v>
      </c>
      <c r="Q20" s="68" t="s">
        <v>23</v>
      </c>
      <c r="R20" s="69"/>
      <c r="S20" s="69" t="s">
        <v>25</v>
      </c>
      <c r="T20" s="70" t="str">
        <f>J20</f>
        <v>1kg</v>
      </c>
      <c r="W20" s="36"/>
    </row>
    <row r="21" spans="2:24" s="1" customFormat="1" ht="19.899999999999999" customHeight="1" thickBot="1" x14ac:dyDescent="0.3">
      <c r="B21" s="4">
        <v>3</v>
      </c>
      <c r="C21" s="341" t="s">
        <v>800</v>
      </c>
      <c r="D21" s="341"/>
      <c r="E21" s="342"/>
      <c r="G21" s="24" t="s">
        <v>23</v>
      </c>
      <c r="H21" s="25"/>
      <c r="I21" s="25" t="s">
        <v>25</v>
      </c>
      <c r="J21" s="26" t="s">
        <v>744</v>
      </c>
      <c r="L21" s="24" t="s">
        <v>23</v>
      </c>
      <c r="M21" s="25"/>
      <c r="N21" s="25" t="s">
        <v>25</v>
      </c>
      <c r="O21" s="26" t="str">
        <f>J21</f>
        <v>1kg</v>
      </c>
      <c r="Q21" s="47" t="s">
        <v>23</v>
      </c>
      <c r="R21" s="48"/>
      <c r="S21" s="48" t="s">
        <v>25</v>
      </c>
      <c r="T21" s="49" t="str">
        <f>J21</f>
        <v>1kg</v>
      </c>
    </row>
    <row r="22" spans="2:24" s="2" customFormat="1" ht="4.9000000000000004" customHeight="1" thickBot="1" x14ac:dyDescent="0.3">
      <c r="B22" s="74"/>
      <c r="J22" s="70"/>
      <c r="Q22" s="50"/>
      <c r="R22" s="50"/>
      <c r="S22" s="50"/>
      <c r="T22" s="75"/>
      <c r="X22" s="1"/>
    </row>
    <row r="23" spans="2:24" s="1" customFormat="1" ht="18" customHeight="1" thickBot="1" x14ac:dyDescent="0.3">
      <c r="B23" s="338" t="s">
        <v>379</v>
      </c>
      <c r="C23" s="339"/>
      <c r="D23" s="339"/>
      <c r="E23" s="340"/>
      <c r="G23" s="129" t="s">
        <v>22</v>
      </c>
      <c r="H23" s="130" t="s">
        <v>20</v>
      </c>
      <c r="I23" s="130" t="s">
        <v>21</v>
      </c>
      <c r="J23" s="131" t="s">
        <v>22</v>
      </c>
      <c r="L23" s="129" t="str">
        <f>G23</f>
        <v>WEIGHT</v>
      </c>
      <c r="M23" s="130" t="s">
        <v>20</v>
      </c>
      <c r="N23" s="130" t="s">
        <v>21</v>
      </c>
      <c r="O23" s="131" t="s">
        <v>22</v>
      </c>
      <c r="Q23" s="132" t="str">
        <f>L23</f>
        <v>WEIGHT</v>
      </c>
      <c r="R23" s="133" t="s">
        <v>20</v>
      </c>
      <c r="S23" s="133" t="s">
        <v>21</v>
      </c>
      <c r="T23" s="134" t="s">
        <v>22</v>
      </c>
    </row>
    <row r="24" spans="2:24" s="1" customFormat="1" ht="19.899999999999999" customHeight="1" x14ac:dyDescent="0.25">
      <c r="B24" s="9">
        <v>1</v>
      </c>
      <c r="C24" s="336" t="s">
        <v>688</v>
      </c>
      <c r="D24" s="336"/>
      <c r="E24" s="337"/>
      <c r="G24" s="21"/>
      <c r="H24" s="30" t="s">
        <v>24</v>
      </c>
      <c r="I24" s="22" t="s">
        <v>655</v>
      </c>
      <c r="J24" s="23"/>
      <c r="L24" s="21"/>
      <c r="M24" s="30" t="s">
        <v>24</v>
      </c>
      <c r="N24" s="22" t="str">
        <f>I24</f>
        <v>1x10</v>
      </c>
      <c r="O24" s="23"/>
      <c r="Q24" s="51"/>
      <c r="R24" s="52" t="s">
        <v>24</v>
      </c>
      <c r="S24" s="22" t="str">
        <f>N24</f>
        <v>1x10</v>
      </c>
      <c r="T24" s="54"/>
    </row>
    <row r="25" spans="2:24" s="1" customFormat="1" ht="19.899999999999999" customHeight="1" x14ac:dyDescent="0.25">
      <c r="B25" s="3">
        <v>2</v>
      </c>
      <c r="C25" s="343" t="s">
        <v>186</v>
      </c>
      <c r="D25" s="343"/>
      <c r="E25" s="344"/>
      <c r="G25" s="27"/>
      <c r="H25" s="31" t="s">
        <v>24</v>
      </c>
      <c r="I25" s="28" t="s">
        <v>655</v>
      </c>
      <c r="J25" s="29"/>
      <c r="L25" s="27"/>
      <c r="M25" s="31" t="s">
        <v>24</v>
      </c>
      <c r="N25" s="28" t="str">
        <f>I25</f>
        <v>1x10</v>
      </c>
      <c r="O25" s="29"/>
      <c r="Q25" s="55"/>
      <c r="R25" s="56" t="s">
        <v>24</v>
      </c>
      <c r="S25" s="28" t="str">
        <f>N25</f>
        <v>1x10</v>
      </c>
      <c r="T25" s="58"/>
    </row>
    <row r="26" spans="2:24" s="1" customFormat="1" ht="19.899999999999999" customHeight="1" thickBot="1" x14ac:dyDescent="0.3">
      <c r="B26" s="4">
        <v>3</v>
      </c>
      <c r="C26" s="341" t="s">
        <v>65</v>
      </c>
      <c r="D26" s="341"/>
      <c r="E26" s="342"/>
      <c r="G26" s="24"/>
      <c r="H26" s="32" t="s">
        <v>24</v>
      </c>
      <c r="I26" s="25" t="s">
        <v>25</v>
      </c>
      <c r="J26" s="26"/>
      <c r="L26" s="24"/>
      <c r="M26" s="32" t="s">
        <v>24</v>
      </c>
      <c r="N26" s="25" t="str">
        <f>I26</f>
        <v>3x5</v>
      </c>
      <c r="O26" s="26"/>
      <c r="Q26" s="47"/>
      <c r="R26" s="59" t="s">
        <v>24</v>
      </c>
      <c r="S26" s="25" t="str">
        <f>N26</f>
        <v>3x5</v>
      </c>
      <c r="T26" s="49"/>
    </row>
    <row r="27" spans="2:24" s="2" customFormat="1" ht="4.9000000000000004" customHeight="1" thickBot="1" x14ac:dyDescent="0.3">
      <c r="B27" s="74"/>
      <c r="Q27" s="50"/>
      <c r="R27" s="50"/>
      <c r="S27" s="50"/>
      <c r="T27" s="75"/>
    </row>
    <row r="28" spans="2:24" s="1" customFormat="1" ht="19.899999999999999" customHeight="1" x14ac:dyDescent="0.25">
      <c r="B28" s="9">
        <v>4</v>
      </c>
      <c r="C28" s="336" t="s">
        <v>90</v>
      </c>
      <c r="D28" s="336"/>
      <c r="E28" s="337"/>
      <c r="G28" s="21"/>
      <c r="H28" s="30" t="s">
        <v>24</v>
      </c>
      <c r="I28" s="22" t="s">
        <v>655</v>
      </c>
      <c r="J28" s="23"/>
      <c r="L28" s="21"/>
      <c r="M28" s="30" t="s">
        <v>24</v>
      </c>
      <c r="N28" s="22" t="str">
        <f>I28</f>
        <v>1x10</v>
      </c>
      <c r="O28" s="23"/>
      <c r="Q28" s="51"/>
      <c r="R28" s="52" t="s">
        <v>24</v>
      </c>
      <c r="S28" s="22" t="str">
        <f>N28</f>
        <v>1x10</v>
      </c>
      <c r="T28" s="54"/>
    </row>
    <row r="29" spans="2:24" s="1" customFormat="1" ht="19.899999999999999" customHeight="1" x14ac:dyDescent="0.25">
      <c r="B29" s="3">
        <v>5</v>
      </c>
      <c r="C29" s="343" t="s">
        <v>507</v>
      </c>
      <c r="D29" s="343"/>
      <c r="E29" s="344"/>
      <c r="G29" s="27"/>
      <c r="H29" s="31" t="s">
        <v>24</v>
      </c>
      <c r="I29" s="28" t="s">
        <v>655</v>
      </c>
      <c r="J29" s="29"/>
      <c r="L29" s="27"/>
      <c r="M29" s="31" t="s">
        <v>24</v>
      </c>
      <c r="N29" s="28" t="str">
        <f>I29</f>
        <v>1x10</v>
      </c>
      <c r="O29" s="29"/>
      <c r="Q29" s="55"/>
      <c r="R29" s="56" t="s">
        <v>24</v>
      </c>
      <c r="S29" s="28" t="str">
        <f>N29</f>
        <v>1x10</v>
      </c>
      <c r="T29" s="58"/>
    </row>
    <row r="30" spans="2:24" s="1" customFormat="1" ht="19.899999999999999" customHeight="1" thickBot="1" x14ac:dyDescent="0.3">
      <c r="B30" s="4">
        <v>6</v>
      </c>
      <c r="C30" s="341" t="s">
        <v>99</v>
      </c>
      <c r="D30" s="341"/>
      <c r="E30" s="342"/>
      <c r="G30" s="24"/>
      <c r="H30" s="32" t="s">
        <v>24</v>
      </c>
      <c r="I30" s="25" t="s">
        <v>749</v>
      </c>
      <c r="J30" s="26"/>
      <c r="L30" s="24"/>
      <c r="M30" s="32" t="s">
        <v>24</v>
      </c>
      <c r="N30" s="25" t="str">
        <f>I30</f>
        <v>3x10s ea</v>
      </c>
      <c r="O30" s="26"/>
      <c r="Q30" s="47"/>
      <c r="R30" s="59" t="s">
        <v>24</v>
      </c>
      <c r="S30" s="25" t="str">
        <f>N30</f>
        <v>3x10s ea</v>
      </c>
      <c r="T30" s="49"/>
    </row>
    <row r="31" spans="2:24" s="1" customFormat="1" ht="5.0999999999999996" customHeight="1" thickBot="1" x14ac:dyDescent="0.3">
      <c r="B31" s="4"/>
      <c r="C31" s="67"/>
      <c r="D31" s="67"/>
      <c r="E31" s="118"/>
      <c r="G31" s="4"/>
      <c r="H31" s="122"/>
      <c r="I31" s="67"/>
      <c r="J31" s="67"/>
      <c r="L31" s="67"/>
      <c r="M31" s="122"/>
      <c r="N31" s="67"/>
      <c r="O31" s="67"/>
      <c r="Q31" s="120"/>
      <c r="R31" s="123"/>
      <c r="S31" s="67"/>
      <c r="T31" s="121"/>
    </row>
    <row r="32" spans="2:24" s="2" customFormat="1" ht="18" customHeight="1" thickBot="1" x14ac:dyDescent="0.3">
      <c r="B32" s="338" t="s">
        <v>741</v>
      </c>
      <c r="C32" s="339"/>
      <c r="D32" s="339"/>
      <c r="E32" s="340"/>
      <c r="F32" s="119"/>
      <c r="G32" s="333"/>
      <c r="H32" s="334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5"/>
    </row>
    <row r="33" spans="2:22" s="1" customFormat="1" ht="19.899999999999999" customHeight="1" x14ac:dyDescent="0.25">
      <c r="B33" s="9">
        <v>7</v>
      </c>
      <c r="C33" s="336" t="s">
        <v>501</v>
      </c>
      <c r="D33" s="336"/>
      <c r="E33" s="337"/>
      <c r="G33" s="21"/>
      <c r="H33" s="30" t="s">
        <v>24</v>
      </c>
      <c r="I33" s="22" t="s">
        <v>655</v>
      </c>
      <c r="J33" s="23"/>
      <c r="L33" s="21"/>
      <c r="M33" s="30" t="s">
        <v>24</v>
      </c>
      <c r="N33" s="22" t="str">
        <f>I33</f>
        <v>1x10</v>
      </c>
      <c r="O33" s="23"/>
      <c r="Q33" s="51"/>
      <c r="R33" s="52" t="s">
        <v>24</v>
      </c>
      <c r="S33" s="22" t="str">
        <f>I33</f>
        <v>1x10</v>
      </c>
      <c r="T33" s="54"/>
    </row>
    <row r="34" spans="2:22" s="1" customFormat="1" ht="19.899999999999999" customHeight="1" x14ac:dyDescent="0.25">
      <c r="B34" s="3">
        <v>8</v>
      </c>
      <c r="C34" s="343" t="s">
        <v>459</v>
      </c>
      <c r="D34" s="343"/>
      <c r="E34" s="344"/>
      <c r="G34" s="27"/>
      <c r="H34" s="31" t="s">
        <v>24</v>
      </c>
      <c r="I34" s="28" t="s">
        <v>789</v>
      </c>
      <c r="J34" s="29"/>
      <c r="L34" s="27"/>
      <c r="M34" s="31" t="s">
        <v>24</v>
      </c>
      <c r="N34" s="28" t="str">
        <f>I34</f>
        <v>3x5 ea</v>
      </c>
      <c r="O34" s="29"/>
      <c r="Q34" s="55"/>
      <c r="R34" s="56" t="s">
        <v>24</v>
      </c>
      <c r="S34" s="28" t="str">
        <f>N34</f>
        <v>3x5 ea</v>
      </c>
      <c r="T34" s="58"/>
    </row>
    <row r="35" spans="2:22" s="1" customFormat="1" ht="19.899999999999999" customHeight="1" thickBot="1" x14ac:dyDescent="0.3">
      <c r="B35" s="4">
        <v>9</v>
      </c>
      <c r="C35" s="341" t="s">
        <v>805</v>
      </c>
      <c r="D35" s="341"/>
      <c r="E35" s="342"/>
      <c r="G35" s="24"/>
      <c r="H35" s="32" t="s">
        <v>24</v>
      </c>
      <c r="I35" s="25" t="s">
        <v>655</v>
      </c>
      <c r="J35" s="26"/>
      <c r="L35" s="24"/>
      <c r="M35" s="32" t="s">
        <v>24</v>
      </c>
      <c r="N35" s="25" t="str">
        <f>I35</f>
        <v>1x10</v>
      </c>
      <c r="O35" s="26"/>
      <c r="Q35" s="47"/>
      <c r="R35" s="59" t="s">
        <v>24</v>
      </c>
      <c r="S35" s="25" t="str">
        <f>N35</f>
        <v>1x10</v>
      </c>
      <c r="T35" s="49"/>
    </row>
    <row r="36" spans="2:22" s="2" customFormat="1" ht="4.9000000000000004" customHeight="1" thickBot="1" x14ac:dyDescent="0.3">
      <c r="B36" s="74"/>
      <c r="Q36" s="50"/>
      <c r="R36" s="50"/>
      <c r="S36" s="50"/>
      <c r="T36" s="75"/>
    </row>
    <row r="37" spans="2:22" s="1" customFormat="1" ht="19.899999999999999" customHeight="1" x14ac:dyDescent="0.25">
      <c r="B37" s="9">
        <v>10</v>
      </c>
      <c r="C37" s="336" t="s">
        <v>336</v>
      </c>
      <c r="D37" s="336"/>
      <c r="E37" s="337"/>
      <c r="G37" s="21"/>
      <c r="H37" s="30" t="s">
        <v>24</v>
      </c>
      <c r="I37" s="22" t="s">
        <v>655</v>
      </c>
      <c r="J37" s="23"/>
      <c r="L37" s="21"/>
      <c r="M37" s="30" t="s">
        <v>24</v>
      </c>
      <c r="N37" s="22" t="str">
        <f>I37</f>
        <v>1x10</v>
      </c>
      <c r="O37" s="23"/>
      <c r="Q37" s="51"/>
      <c r="R37" s="52" t="s">
        <v>24</v>
      </c>
      <c r="S37" s="22" t="str">
        <f>N37</f>
        <v>1x10</v>
      </c>
      <c r="T37" s="54"/>
    </row>
    <row r="38" spans="2:22" s="1" customFormat="1" ht="19.899999999999999" customHeight="1" x14ac:dyDescent="0.25">
      <c r="B38" s="3">
        <v>11</v>
      </c>
      <c r="C38" s="343" t="s">
        <v>807</v>
      </c>
      <c r="D38" s="343"/>
      <c r="E38" s="344"/>
      <c r="G38" s="27"/>
      <c r="H38" s="31" t="s">
        <v>24</v>
      </c>
      <c r="I38" s="28" t="s">
        <v>749</v>
      </c>
      <c r="J38" s="29"/>
      <c r="L38" s="27"/>
      <c r="M38" s="31" t="s">
        <v>24</v>
      </c>
      <c r="N38" s="28" t="str">
        <f>I38</f>
        <v>3x10s ea</v>
      </c>
      <c r="O38" s="29"/>
      <c r="Q38" s="55"/>
      <c r="R38" s="56" t="s">
        <v>24</v>
      </c>
      <c r="S38" s="28" t="str">
        <f>N38</f>
        <v>3x10s ea</v>
      </c>
      <c r="T38" s="58"/>
    </row>
    <row r="39" spans="2:22" s="1" customFormat="1" ht="19.899999999999999" customHeight="1" thickBot="1" x14ac:dyDescent="0.3">
      <c r="B39" s="4">
        <v>12</v>
      </c>
      <c r="C39" s="341" t="s">
        <v>810</v>
      </c>
      <c r="D39" s="341"/>
      <c r="E39" s="342"/>
      <c r="G39" s="24"/>
      <c r="H39" s="32" t="s">
        <v>24</v>
      </c>
      <c r="I39" s="25" t="s">
        <v>655</v>
      </c>
      <c r="J39" s="26"/>
      <c r="L39" s="24"/>
      <c r="M39" s="32" t="s">
        <v>24</v>
      </c>
      <c r="N39" s="25" t="str">
        <f>I39</f>
        <v>1x10</v>
      </c>
      <c r="O39" s="26"/>
      <c r="Q39" s="47"/>
      <c r="R39" s="59" t="s">
        <v>24</v>
      </c>
      <c r="S39" s="25" t="str">
        <f>N39</f>
        <v>1x10</v>
      </c>
      <c r="T39" s="49"/>
    </row>
    <row r="40" spans="2:22" s="1" customFormat="1" ht="5.0999999999999996" customHeight="1" thickBot="1" x14ac:dyDescent="0.3">
      <c r="B40" s="4"/>
      <c r="C40" s="67"/>
      <c r="D40" s="67"/>
      <c r="E40" s="118"/>
      <c r="G40" s="4"/>
      <c r="H40" s="122"/>
      <c r="I40" s="67"/>
      <c r="J40" s="67"/>
      <c r="L40" s="67"/>
      <c r="M40" s="122"/>
      <c r="N40" s="67"/>
      <c r="O40" s="67"/>
      <c r="Q40" s="120"/>
      <c r="R40" s="123"/>
      <c r="S40" s="67"/>
      <c r="T40" s="121"/>
    </row>
    <row r="41" spans="2:22" s="2" customFormat="1" ht="18" customHeight="1" thickBot="1" x14ac:dyDescent="0.3">
      <c r="B41" s="338" t="s">
        <v>383</v>
      </c>
      <c r="C41" s="339"/>
      <c r="D41" s="339"/>
      <c r="E41" s="340"/>
      <c r="G41" s="333"/>
      <c r="H41" s="334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5"/>
    </row>
    <row r="42" spans="2:22" s="1" customFormat="1" ht="19.899999999999999" customHeight="1" x14ac:dyDescent="0.25">
      <c r="B42" s="9">
        <v>13</v>
      </c>
      <c r="C42" s="336" t="s">
        <v>205</v>
      </c>
      <c r="D42" s="336"/>
      <c r="E42" s="337"/>
      <c r="G42" s="21"/>
      <c r="H42" s="30" t="s">
        <v>24</v>
      </c>
      <c r="I42" s="22" t="s">
        <v>757</v>
      </c>
      <c r="J42" s="23"/>
      <c r="L42" s="21"/>
      <c r="M42" s="30" t="s">
        <v>24</v>
      </c>
      <c r="N42" s="22" t="str">
        <f>I42</f>
        <v>2x90s</v>
      </c>
      <c r="O42" s="23"/>
      <c r="Q42" s="51"/>
      <c r="R42" s="52" t="s">
        <v>24</v>
      </c>
      <c r="S42" s="53" t="str">
        <f>N42</f>
        <v>2x90s</v>
      </c>
      <c r="T42" s="54"/>
    </row>
    <row r="43" spans="2:22" s="1" customFormat="1" ht="19.899999999999999" customHeight="1" x14ac:dyDescent="0.25">
      <c r="B43" s="3">
        <v>14</v>
      </c>
      <c r="C43" s="345" t="s">
        <v>47</v>
      </c>
      <c r="D43" s="345"/>
      <c r="E43" s="346"/>
      <c r="G43" s="27"/>
      <c r="H43" s="31" t="s">
        <v>24</v>
      </c>
      <c r="I43" s="28" t="s">
        <v>757</v>
      </c>
      <c r="J43" s="29"/>
      <c r="L43" s="27"/>
      <c r="M43" s="31" t="s">
        <v>24</v>
      </c>
      <c r="N43" s="28" t="str">
        <f>I43</f>
        <v>2x90s</v>
      </c>
      <c r="O43" s="29"/>
      <c r="Q43" s="55"/>
      <c r="R43" s="56" t="s">
        <v>24</v>
      </c>
      <c r="S43" s="57" t="str">
        <f>N43</f>
        <v>2x90s</v>
      </c>
      <c r="T43" s="58"/>
    </row>
    <row r="44" spans="2:22" s="1" customFormat="1" ht="19.899999999999999" customHeight="1" thickBot="1" x14ac:dyDescent="0.3">
      <c r="B44" s="4">
        <v>15</v>
      </c>
      <c r="C44" s="347" t="s">
        <v>365</v>
      </c>
      <c r="D44" s="347"/>
      <c r="E44" s="348"/>
      <c r="F44" s="67"/>
      <c r="G44" s="24"/>
      <c r="H44" s="32" t="s">
        <v>24</v>
      </c>
      <c r="I44" s="25" t="s">
        <v>757</v>
      </c>
      <c r="J44" s="26"/>
      <c r="K44" s="67"/>
      <c r="L44" s="24"/>
      <c r="M44" s="32" t="s">
        <v>24</v>
      </c>
      <c r="N44" s="25" t="str">
        <f>I44</f>
        <v>2x90s</v>
      </c>
      <c r="O44" s="26"/>
      <c r="P44" s="67"/>
      <c r="Q44" s="47"/>
      <c r="R44" s="59" t="s">
        <v>24</v>
      </c>
      <c r="S44" s="48" t="str">
        <f>N44</f>
        <v>2x90s</v>
      </c>
      <c r="T44" s="49"/>
    </row>
    <row r="45" spans="2:22" s="2" customFormat="1" ht="4.9000000000000004" customHeight="1" x14ac:dyDescent="0.25">
      <c r="Q45" s="50"/>
      <c r="R45" s="50"/>
      <c r="S45" s="50"/>
      <c r="T45" s="50"/>
    </row>
    <row r="46" spans="2:22" x14ac:dyDescent="0.25">
      <c r="V46" s="1"/>
    </row>
    <row r="47" spans="2:22" x14ac:dyDescent="0.25">
      <c r="V47" s="1"/>
    </row>
    <row r="48" spans="2:22" x14ac:dyDescent="0.25">
      <c r="V48" s="1"/>
    </row>
    <row r="49" spans="22:22" x14ac:dyDescent="0.25">
      <c r="V49" s="1"/>
    </row>
    <row r="50" spans="22:22" x14ac:dyDescent="0.25">
      <c r="V50" s="1"/>
    </row>
    <row r="51" spans="22:22" x14ac:dyDescent="0.25">
      <c r="V51" s="1"/>
    </row>
    <row r="52" spans="22:22" x14ac:dyDescent="0.25">
      <c r="V52" s="1"/>
    </row>
    <row r="53" spans="22:22" x14ac:dyDescent="0.25">
      <c r="V53" s="1"/>
    </row>
  </sheetData>
  <mergeCells count="45">
    <mergeCell ref="R14:T14"/>
    <mergeCell ref="O2:T7"/>
    <mergeCell ref="E10:G10"/>
    <mergeCell ref="I10:L10"/>
    <mergeCell ref="B12:T12"/>
    <mergeCell ref="B13:D13"/>
    <mergeCell ref="E13:F13"/>
    <mergeCell ref="G13:I13"/>
    <mergeCell ref="J13:M13"/>
    <mergeCell ref="N13:Q13"/>
    <mergeCell ref="R13:T13"/>
    <mergeCell ref="B14:D14"/>
    <mergeCell ref="E14:F14"/>
    <mergeCell ref="G14:I14"/>
    <mergeCell ref="J14:M14"/>
    <mergeCell ref="N14:Q14"/>
    <mergeCell ref="C25:E25"/>
    <mergeCell ref="B16:E17"/>
    <mergeCell ref="G16:T16"/>
    <mergeCell ref="H17:I17"/>
    <mergeCell ref="M17:N17"/>
    <mergeCell ref="R17:S17"/>
    <mergeCell ref="B18:E18"/>
    <mergeCell ref="C19:E19"/>
    <mergeCell ref="C20:E20"/>
    <mergeCell ref="C21:E21"/>
    <mergeCell ref="B23:E23"/>
    <mergeCell ref="C24:E24"/>
    <mergeCell ref="C26:E26"/>
    <mergeCell ref="C28:E28"/>
    <mergeCell ref="C29:E29"/>
    <mergeCell ref="C30:E30"/>
    <mergeCell ref="B32:E32"/>
    <mergeCell ref="G41:T41"/>
    <mergeCell ref="C42:E42"/>
    <mergeCell ref="C43:E43"/>
    <mergeCell ref="C44:E44"/>
    <mergeCell ref="G32:T32"/>
    <mergeCell ref="C34:E34"/>
    <mergeCell ref="C35:E35"/>
    <mergeCell ref="C37:E37"/>
    <mergeCell ref="C38:E38"/>
    <mergeCell ref="C39:E39"/>
    <mergeCell ref="B41:E41"/>
    <mergeCell ref="C33:E33"/>
  </mergeCell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1" showErrorMessage="1" xr:uid="{BE277701-2E2C-4685-AB8C-CF6BFD9FEF65}">
          <x14:formula1>
            <xm:f>'Warm Up'!$A:$A</xm:f>
          </x14:formula1>
          <xm:sqref>B16:E17</xm:sqref>
        </x14:dataValidation>
        <x14:dataValidation type="list" allowBlank="1" showInputMessage="1" showErrorMessage="1" xr:uid="{8057449C-51B6-44C9-8E49-342DFD87934D}">
          <x14:formula1>
            <xm:f>'Warm Up'!$B:$B</xm:f>
          </x14:formula1>
          <xm:sqref>B13:D13</xm:sqref>
        </x14:dataValidation>
        <x14:dataValidation type="list" allowBlank="1" showInputMessage="1" showErrorMessage="1" xr:uid="{CD430200-7D03-4641-A67D-86E064CA604F}">
          <x14:formula1>
            <xm:f>'Warm Up'!$C:$C</xm:f>
          </x14:formula1>
          <xm:sqref>E13</xm:sqref>
        </x14:dataValidation>
        <x14:dataValidation type="list" allowBlank="1" showInputMessage="1" showErrorMessage="1" xr:uid="{FFF544C8-991C-49BB-8F48-29B420CADBE6}">
          <x14:formula1>
            <xm:f>'Warm Up'!$G:$G</xm:f>
          </x14:formula1>
          <xm:sqref>R13:T13</xm:sqref>
        </x14:dataValidation>
        <x14:dataValidation type="list" allowBlank="1" showInputMessage="1" showErrorMessage="1" xr:uid="{8C65301B-8796-4647-A947-CD2576F0F5D6}">
          <x14:formula1>
            <xm:f>'Warm Up'!$H:$H</xm:f>
          </x14:formula1>
          <xm:sqref>B14:D14</xm:sqref>
        </x14:dataValidation>
        <x14:dataValidation type="list" allowBlank="1" showInputMessage="1" showErrorMessage="1" xr:uid="{1F4A5875-A246-4C6A-B61E-C68555202072}">
          <x14:formula1>
            <xm:f>'Warm Up'!$I:$I</xm:f>
          </x14:formula1>
          <xm:sqref>E14</xm:sqref>
        </x14:dataValidation>
        <x14:dataValidation type="list" allowBlank="1" showInputMessage="1" showErrorMessage="1" xr:uid="{297BA35E-9AFE-4FAC-AD7B-4D3F998FAC73}">
          <x14:formula1>
            <xm:f>'Warm Up'!$M:$M</xm:f>
          </x14:formula1>
          <xm:sqref>R14:T14</xm:sqref>
        </x14:dataValidation>
        <x14:dataValidation type="list" allowBlank="1" showInputMessage="1" showErrorMessage="1" xr:uid="{064A2BA9-E891-449C-BDF4-010F8FF5ED9F}">
          <x14:formula1>
            <xm:f>'Warm Up'!$D:$D</xm:f>
          </x14:formula1>
          <xm:sqref>G13</xm:sqref>
        </x14:dataValidation>
        <x14:dataValidation type="list" allowBlank="1" showInputMessage="1" showErrorMessage="1" xr:uid="{C4F5BA98-4881-4878-966D-2968B6305BBD}">
          <x14:formula1>
            <xm:f>'Warm Up'!$J:$J</xm:f>
          </x14:formula1>
          <xm:sqref>G14</xm:sqref>
        </x14:dataValidation>
        <x14:dataValidation type="list" allowBlank="1" showInputMessage="1" showErrorMessage="1" xr:uid="{52DE3CC0-3E8F-447A-AF1D-2D269E2ECEEF}">
          <x14:formula1>
            <xm:f>'Warm Up'!$E:$E</xm:f>
          </x14:formula1>
          <xm:sqref>J13</xm:sqref>
        </x14:dataValidation>
        <x14:dataValidation type="list" allowBlank="1" showInputMessage="1" showErrorMessage="1" xr:uid="{F68D2776-F9DF-4EF3-B304-B32F9E723988}">
          <x14:formula1>
            <xm:f>'Warm Up'!$K:$K</xm:f>
          </x14:formula1>
          <xm:sqref>J14</xm:sqref>
        </x14:dataValidation>
        <x14:dataValidation type="list" allowBlank="1" showInputMessage="1" showErrorMessage="1" xr:uid="{5F302B8C-4038-4141-8865-06A7BF1A864C}">
          <x14:formula1>
            <xm:f>'Warm Up'!$F:$F</xm:f>
          </x14:formula1>
          <xm:sqref>N13</xm:sqref>
        </x14:dataValidation>
        <x14:dataValidation type="list" allowBlank="1" showInputMessage="1" showErrorMessage="1" xr:uid="{E3803EA7-93FF-4EFF-9A93-5DA806468C88}">
          <x14:formula1>
            <xm:f>'Warm Up'!$L:$L</xm:f>
          </x14:formula1>
          <xm:sqref>N14</xm:sqref>
        </x14:dataValidation>
        <x14:dataValidation type="list" allowBlank="1" showInputMessage="1" showErrorMessage="1" xr:uid="{77B33557-D0CD-4369-904C-9A094CB45EE7}">
          <x14:formula1>
            <xm:f>' Unterkörper Progressionen '!$Z:$Z</xm:f>
          </x14:formula1>
          <xm:sqref>I42:I44 I24:I26 I28:I31 I37:I40 I33:I35</xm:sqref>
        </x14:dataValidation>
        <x14:dataValidation type="list" allowBlank="1" showInputMessage="1" showErrorMessage="1" xr:uid="{5BDB5C51-B662-4E2F-B15B-C262B5ECFE71}">
          <x14:formula1>
            <xm:f>' Unterkörper Progressionen '!$AA:$AA</xm:f>
          </x14:formula1>
          <xm:sqref>J20:J22</xm:sqref>
        </x14:dataValidation>
        <x14:dataValidation type="list" allowBlank="1" showInputMessage="1" showErrorMessage="1" xr:uid="{1815D45F-08E6-495A-9399-CEDFC7A9C33C}">
          <x14:formula1>
            <xm:f>' Unterkörper Progressionen '!$B:$B</xm:f>
          </x14:formula1>
          <xm:sqref>C19:E19</xm:sqref>
        </x14:dataValidation>
        <x14:dataValidation type="list" allowBlank="1" showInputMessage="1" showErrorMessage="1" xr:uid="{A1B80D29-4543-4A1A-A493-D5EB4D165CFE}">
          <x14:formula1>
            <xm:f>' Unterkörper Progressionen '!$C:$C</xm:f>
          </x14:formula1>
          <xm:sqref>C20:E20</xm:sqref>
        </x14:dataValidation>
        <x14:dataValidation type="list" allowBlank="1" showInputMessage="1" showErrorMessage="1" xr:uid="{BFB9B4A7-59B1-4A87-8371-6B7CFCF06909}">
          <x14:formula1>
            <xm:f>' Unterkörper Progressionen '!$D:$D</xm:f>
          </x14:formula1>
          <xm:sqref>C21:E21</xm:sqref>
        </x14:dataValidation>
        <x14:dataValidation type="list" allowBlank="1" showInputMessage="1" showErrorMessage="1" xr:uid="{CC5FB31E-9A6C-460E-9C10-1426F9D23F84}">
          <x14:formula1>
            <xm:f>' Unterkörper Progressionen '!$E:$E</xm:f>
          </x14:formula1>
          <xm:sqref>C24:E24</xm:sqref>
        </x14:dataValidation>
        <x14:dataValidation type="list" allowBlank="1" showInputMessage="1" showErrorMessage="1" xr:uid="{A786DC72-EC1E-471A-BB99-1918070744F0}">
          <x14:formula1>
            <xm:f>' Unterkörper Progressionen '!$F:$F</xm:f>
          </x14:formula1>
          <xm:sqref>C25:E25</xm:sqref>
        </x14:dataValidation>
        <x14:dataValidation type="list" allowBlank="1" showInputMessage="1" showErrorMessage="1" xr:uid="{A3FB7EF9-3F17-4E1E-BD3D-0CCF5AF22CB3}">
          <x14:formula1>
            <xm:f>' Unterkörper Progressionen '!$G:$G</xm:f>
          </x14:formula1>
          <xm:sqref>C26:E26</xm:sqref>
        </x14:dataValidation>
        <x14:dataValidation type="list" allowBlank="1" showInputMessage="1" showErrorMessage="1" xr:uid="{C64DDB88-DF18-47FB-B5BC-BE0F622182DD}">
          <x14:formula1>
            <xm:f>' Unterkörper Progressionen '!$H:$H</xm:f>
          </x14:formula1>
          <xm:sqref>C28:E28</xm:sqref>
        </x14:dataValidation>
        <x14:dataValidation type="list" allowBlank="1" showInputMessage="1" showErrorMessage="1" xr:uid="{BE29AC33-C36E-46AD-9B9B-14B1F253F5E5}">
          <x14:formula1>
            <xm:f>' Unterkörper Progressionen '!$I:$I</xm:f>
          </x14:formula1>
          <xm:sqref>C29:E29</xm:sqref>
        </x14:dataValidation>
        <x14:dataValidation type="list" allowBlank="1" showInputMessage="1" showErrorMessage="1" xr:uid="{70C4E4C9-7099-415B-B58C-187C21ADA74B}">
          <x14:formula1>
            <xm:f>' Unterkörper Progressionen '!$J:$J</xm:f>
          </x14:formula1>
          <xm:sqref>C30:E30</xm:sqref>
        </x14:dataValidation>
        <x14:dataValidation type="list" allowBlank="1" showInputMessage="1" showErrorMessage="1" xr:uid="{026EA263-034C-4F58-802B-C8AC75C36C54}">
          <x14:formula1>
            <xm:f>' Unterkörper Progressionen '!$L:$L</xm:f>
          </x14:formula1>
          <xm:sqref>C33:E33</xm:sqref>
        </x14:dataValidation>
        <x14:dataValidation type="list" allowBlank="1" showInputMessage="1" showErrorMessage="1" xr:uid="{E83245EA-52EF-4C65-9779-96A36C694865}">
          <x14:formula1>
            <xm:f>' Unterkörper Progressionen '!$M:$M</xm:f>
          </x14:formula1>
          <xm:sqref>C34:E34</xm:sqref>
        </x14:dataValidation>
        <x14:dataValidation type="list" allowBlank="1" showInputMessage="1" showErrorMessage="1" xr:uid="{8439DB45-EF70-4A02-B915-C1224CE46BF6}">
          <x14:formula1>
            <xm:f>' Unterkörper Progressionen '!$P:$P</xm:f>
          </x14:formula1>
          <xm:sqref>C35:E35</xm:sqref>
        </x14:dataValidation>
        <x14:dataValidation type="list" allowBlank="1" showInputMessage="1" showErrorMessage="1" xr:uid="{AB5C29D2-9E50-40CD-A4AA-B275AB58B90A}">
          <x14:formula1>
            <xm:f>' Unterkörper Progressionen '!$Q:$Q</xm:f>
          </x14:formula1>
          <xm:sqref>C37:E37</xm:sqref>
        </x14:dataValidation>
        <x14:dataValidation type="list" allowBlank="1" showInputMessage="1" showErrorMessage="1" xr:uid="{56D3DDBC-2655-4BEE-A168-BDAC396E5D45}">
          <x14:formula1>
            <xm:f>' Unterkörper Progressionen '!$R:$R</xm:f>
          </x14:formula1>
          <xm:sqref>C38:E38</xm:sqref>
        </x14:dataValidation>
        <x14:dataValidation type="list" allowBlank="1" showInputMessage="1" showErrorMessage="1" xr:uid="{84C633E5-553D-4603-8057-3B426ECF4582}">
          <x14:formula1>
            <xm:f>' Unterkörper Progressionen '!$S:$S</xm:f>
          </x14:formula1>
          <xm:sqref>C39:E39</xm:sqref>
        </x14:dataValidation>
        <x14:dataValidation type="list" allowBlank="1" showInputMessage="1" showErrorMessage="1" xr:uid="{A0412ECB-98E6-4D77-A000-9AB8413C7674}">
          <x14:formula1>
            <xm:f>' Unterkörper Progressionen '!$U:$U</xm:f>
          </x14:formula1>
          <xm:sqref>C42:E42</xm:sqref>
        </x14:dataValidation>
        <x14:dataValidation type="list" allowBlank="1" showInputMessage="1" showErrorMessage="1" xr:uid="{9A254A86-10F5-4199-9850-98821113856E}">
          <x14:formula1>
            <xm:f>' Unterkörper Progressionen '!$V:$V</xm:f>
          </x14:formula1>
          <xm:sqref>C43:E43</xm:sqref>
        </x14:dataValidation>
        <x14:dataValidation type="list" allowBlank="1" showInputMessage="1" showErrorMessage="1" xr:uid="{E202DA6F-8C55-43D3-BFDA-DE8116EEB874}">
          <x14:formula1>
            <xm:f>' Unterkörper Progressionen '!$W:$W</xm:f>
          </x14:formula1>
          <xm:sqref>C44:E44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9358-8162-413B-AB54-56E7F9510D12}">
  <sheetPr>
    <pageSetUpPr fitToPage="1"/>
  </sheetPr>
  <dimension ref="B1:W43"/>
  <sheetViews>
    <sheetView zoomScale="94" zoomScaleNormal="100" workbookViewId="0">
      <selection activeCell="I48" sqref="I48"/>
    </sheetView>
  </sheetViews>
  <sheetFormatPr baseColWidth="10" defaultRowHeight="15.75" x14ac:dyDescent="0.25"/>
  <cols>
    <col min="2" max="2" width="4.75" customWidth="1"/>
    <col min="5" max="5" width="26.25" customWidth="1"/>
    <col min="6" max="6" width="1.75" customWidth="1"/>
    <col min="11" max="11" width="1.75" customWidth="1"/>
    <col min="16" max="16" width="1.75" customWidth="1"/>
  </cols>
  <sheetData>
    <row r="1" spans="2:23" ht="16.5" thickBot="1" x14ac:dyDescent="0.3"/>
    <row r="2" spans="2:23" x14ac:dyDescent="0.25">
      <c r="B2" s="10"/>
      <c r="C2" s="11"/>
      <c r="D2" s="11"/>
      <c r="E2" s="127" t="s">
        <v>0</v>
      </c>
      <c r="F2" s="11"/>
      <c r="G2" s="11"/>
      <c r="H2" s="11"/>
      <c r="I2" s="11"/>
      <c r="J2" s="11"/>
      <c r="K2" s="11"/>
      <c r="L2" s="11"/>
      <c r="M2" s="11"/>
      <c r="N2" s="11"/>
      <c r="O2" s="336" t="s">
        <v>11</v>
      </c>
      <c r="P2" s="336"/>
      <c r="Q2" s="336"/>
      <c r="R2" s="336"/>
      <c r="S2" s="336"/>
      <c r="T2" s="337"/>
      <c r="U2" s="2"/>
      <c r="W2" s="2"/>
    </row>
    <row r="3" spans="2:23" x14ac:dyDescent="0.25">
      <c r="B3" s="7"/>
      <c r="C3" s="61" t="s">
        <v>319</v>
      </c>
      <c r="O3" s="343"/>
      <c r="P3" s="343"/>
      <c r="Q3" s="343"/>
      <c r="R3" s="343"/>
      <c r="S3" s="343"/>
      <c r="T3" s="344"/>
      <c r="U3" s="2"/>
      <c r="W3" s="2"/>
    </row>
    <row r="4" spans="2:23" x14ac:dyDescent="0.25">
      <c r="B4" s="7"/>
      <c r="E4" t="s">
        <v>1</v>
      </c>
      <c r="O4" s="343"/>
      <c r="P4" s="343"/>
      <c r="Q4" s="343"/>
      <c r="R4" s="343"/>
      <c r="S4" s="343"/>
      <c r="T4" s="344"/>
      <c r="U4" s="2"/>
      <c r="W4" s="2"/>
    </row>
    <row r="5" spans="2:23" x14ac:dyDescent="0.25">
      <c r="B5" s="7"/>
      <c r="C5" s="76" t="str">
        <f>[1]Unterkörperplan!C5</f>
        <v>NAME</v>
      </c>
      <c r="I5" s="12"/>
      <c r="O5" s="343"/>
      <c r="P5" s="343"/>
      <c r="Q5" s="343"/>
      <c r="R5" s="343"/>
      <c r="S5" s="343"/>
      <c r="T5" s="344"/>
      <c r="U5" s="2"/>
      <c r="W5" s="2"/>
    </row>
    <row r="6" spans="2:23" x14ac:dyDescent="0.25">
      <c r="B6" s="7"/>
      <c r="C6" s="76"/>
      <c r="E6" t="s">
        <v>2</v>
      </c>
      <c r="O6" s="343"/>
      <c r="P6" s="343"/>
      <c r="Q6" s="343"/>
      <c r="R6" s="343"/>
      <c r="S6" s="343"/>
      <c r="T6" s="344"/>
      <c r="U6" s="2"/>
      <c r="W6" s="2"/>
    </row>
    <row r="7" spans="2:23" x14ac:dyDescent="0.25">
      <c r="B7" s="7"/>
      <c r="C7" s="76"/>
      <c r="O7" s="343"/>
      <c r="P7" s="343"/>
      <c r="Q7" s="343"/>
      <c r="R7" s="343"/>
      <c r="S7" s="343"/>
      <c r="T7" s="344"/>
      <c r="U7" s="2"/>
      <c r="W7" s="2"/>
    </row>
    <row r="8" spans="2:23" ht="16.5" thickBot="1" x14ac:dyDescent="0.3">
      <c r="B8" s="8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3"/>
      <c r="T8" s="14"/>
      <c r="U8" s="2"/>
      <c r="W8" s="2"/>
    </row>
    <row r="9" spans="2:23" ht="16.5" hidden="1" thickBot="1" x14ac:dyDescent="0.3"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62"/>
      <c r="T9" s="63"/>
      <c r="U9" s="2"/>
      <c r="W9" s="2"/>
    </row>
    <row r="10" spans="2:23" ht="16.5" hidden="1" thickBot="1" x14ac:dyDescent="0.3">
      <c r="B10" s="7"/>
      <c r="C10" t="s">
        <v>12</v>
      </c>
      <c r="E10" s="80" t="s">
        <v>13</v>
      </c>
      <c r="I10" t="s">
        <v>14</v>
      </c>
      <c r="M10" s="343" t="s">
        <v>15</v>
      </c>
      <c r="N10" s="343"/>
      <c r="Q10" t="s">
        <v>16</v>
      </c>
      <c r="S10" s="80" t="s">
        <v>743</v>
      </c>
      <c r="T10" s="64"/>
    </row>
    <row r="11" spans="2:23" ht="16.5" hidden="1" thickBot="1" x14ac:dyDescent="0.3">
      <c r="B11" s="8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6"/>
    </row>
    <row r="12" spans="2:23" s="1" customFormat="1" ht="18" customHeight="1" thickBot="1" x14ac:dyDescent="0.3">
      <c r="B12" s="362" t="s">
        <v>748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363"/>
      <c r="T12" s="364"/>
    </row>
    <row r="13" spans="2:23" s="34" customFormat="1" ht="20.100000000000001" customHeight="1" x14ac:dyDescent="0.25">
      <c r="B13" s="360" t="str">
        <f>Unterkörper6!B13</f>
        <v>LOADED - TGU - 1/2-KN. TO STAND</v>
      </c>
      <c r="C13" s="330"/>
      <c r="D13" s="330"/>
      <c r="E13" s="388" t="str">
        <f>Unterkörper6!E13</f>
        <v>LOADED LATERAL PUSH UP CRAWL</v>
      </c>
      <c r="F13" s="389"/>
      <c r="G13" s="330" t="str">
        <f>Unterkörper6!G13</f>
        <v>1KB OVERHEAD CARRY</v>
      </c>
      <c r="H13" s="330"/>
      <c r="I13" s="330"/>
      <c r="J13" s="330" t="str">
        <f>Unterkörper6!J13</f>
        <v>KB/BW GOBLET SQUAT</v>
      </c>
      <c r="K13" s="330"/>
      <c r="L13" s="330"/>
      <c r="M13" s="330"/>
      <c r="N13" s="330" t="str">
        <f>Unterkörper6!N13</f>
        <v>DIFFERENT LOEDED TRAPBAR DEADLIFT</v>
      </c>
      <c r="O13" s="330"/>
      <c r="P13" s="330"/>
      <c r="Q13" s="330"/>
      <c r="R13" s="330" t="str">
        <f>Unterkörper6!R13</f>
        <v>2KB 1-LEG DEADLIFT</v>
      </c>
      <c r="S13" s="330"/>
      <c r="T13" s="331"/>
    </row>
    <row r="14" spans="2:23" s="34" customFormat="1" ht="20.100000000000001" customHeight="1" thickBot="1" x14ac:dyDescent="0.3">
      <c r="B14" s="361" t="str">
        <f>Unterkörper6!B14</f>
        <v>LOADED ANKLE ROCKER MOONWALK</v>
      </c>
      <c r="C14" s="329"/>
      <c r="D14" s="329"/>
      <c r="E14" s="386" t="str">
        <f>Unterkörper6!E14</f>
        <v>ANKLE POS. 3 45 SEC</v>
      </c>
      <c r="F14" s="387"/>
      <c r="G14" s="329" t="str">
        <f>Unterkörper6!G14</f>
        <v>LOADED LATERAL BOUND</v>
      </c>
      <c r="H14" s="329"/>
      <c r="I14" s="329"/>
      <c r="J14" s="329" t="str">
        <f>Unterkörper6!J14</f>
        <v>LOADED B-SKIP</v>
      </c>
      <c r="K14" s="329"/>
      <c r="L14" s="329"/>
      <c r="M14" s="329"/>
      <c r="N14" s="329" t="str">
        <f>Unterkörper6!N14</f>
        <v>1-LEG LATERAL HOP - TO BOX (CM)</v>
      </c>
      <c r="O14" s="329"/>
      <c r="P14" s="329"/>
      <c r="Q14" s="329"/>
      <c r="R14" s="329" t="str">
        <f>Unterkörper6!R14</f>
        <v>ASSISTENT  SQUAT JUMP</v>
      </c>
      <c r="S14" s="329"/>
      <c r="T14" s="332"/>
    </row>
    <row r="15" spans="2:23" ht="16.5" thickBot="1" x14ac:dyDescent="0.3">
      <c r="B15" s="380" t="str">
        <f>Unterkörper6!B16</f>
        <v>LEVEL 6</v>
      </c>
      <c r="C15" s="381"/>
      <c r="D15" s="381"/>
      <c r="E15" s="382"/>
      <c r="F15" s="1"/>
      <c r="G15" s="368" t="s">
        <v>380</v>
      </c>
      <c r="H15" s="369"/>
      <c r="I15" s="369"/>
      <c r="J15" s="369"/>
      <c r="K15" s="369"/>
      <c r="L15" s="369"/>
      <c r="M15" s="369"/>
      <c r="N15" s="369"/>
      <c r="O15" s="369"/>
      <c r="P15" s="369"/>
      <c r="Q15" s="369"/>
      <c r="R15" s="369"/>
      <c r="S15" s="369"/>
      <c r="T15" s="370"/>
    </row>
    <row r="16" spans="2:23" ht="21.6" customHeight="1" thickBot="1" x14ac:dyDescent="0.3">
      <c r="B16" s="383"/>
      <c r="C16" s="384"/>
      <c r="D16" s="384"/>
      <c r="E16" s="385"/>
      <c r="F16" s="1"/>
      <c r="G16" s="71" t="s">
        <v>162</v>
      </c>
      <c r="H16" s="358" t="s">
        <v>50</v>
      </c>
      <c r="I16" s="359"/>
      <c r="J16" s="72" t="s">
        <v>163</v>
      </c>
      <c r="K16" s="65"/>
      <c r="L16" s="71" t="s">
        <v>164</v>
      </c>
      <c r="M16" s="358" t="s">
        <v>49</v>
      </c>
      <c r="N16" s="359"/>
      <c r="O16" s="72" t="s">
        <v>166</v>
      </c>
      <c r="P16" s="65"/>
      <c r="Q16" s="71" t="s">
        <v>165</v>
      </c>
      <c r="R16" s="371" t="s">
        <v>51</v>
      </c>
      <c r="S16" s="372"/>
      <c r="T16" s="72" t="s">
        <v>167</v>
      </c>
    </row>
    <row r="17" spans="2:23" ht="18" customHeight="1" thickBot="1" x14ac:dyDescent="0.3">
      <c r="B17" s="365" t="s">
        <v>18</v>
      </c>
      <c r="C17" s="366"/>
      <c r="D17" s="366"/>
      <c r="E17" s="367"/>
      <c r="F17" s="73"/>
      <c r="G17" s="15" t="s">
        <v>19</v>
      </c>
      <c r="H17" s="16" t="s">
        <v>20</v>
      </c>
      <c r="I17" s="16" t="s">
        <v>21</v>
      </c>
      <c r="J17" s="17" t="s">
        <v>22</v>
      </c>
      <c r="K17" s="1"/>
      <c r="L17" s="15" t="s">
        <v>19</v>
      </c>
      <c r="M17" s="16" t="s">
        <v>20</v>
      </c>
      <c r="N17" s="16" t="s">
        <v>21</v>
      </c>
      <c r="O17" s="17" t="s">
        <v>22</v>
      </c>
      <c r="P17" s="1"/>
      <c r="Q17" s="41" t="s">
        <v>19</v>
      </c>
      <c r="R17" s="42" t="s">
        <v>20</v>
      </c>
      <c r="S17" s="42" t="s">
        <v>21</v>
      </c>
      <c r="T17" s="43" t="s">
        <v>22</v>
      </c>
    </row>
    <row r="18" spans="2:23" s="1" customFormat="1" ht="19.899999999999999" customHeight="1" x14ac:dyDescent="0.25">
      <c r="B18" s="9">
        <v>1</v>
      </c>
      <c r="C18" s="336" t="s">
        <v>282</v>
      </c>
      <c r="D18" s="336"/>
      <c r="E18" s="337"/>
      <c r="G18" s="18" t="s">
        <v>23</v>
      </c>
      <c r="H18" s="19"/>
      <c r="I18" s="19" t="s">
        <v>25</v>
      </c>
      <c r="J18" s="20" t="s">
        <v>27</v>
      </c>
      <c r="L18" s="18" t="s">
        <v>23</v>
      </c>
      <c r="M18" s="19"/>
      <c r="N18" s="19" t="s">
        <v>25</v>
      </c>
      <c r="O18" s="20" t="s">
        <v>27</v>
      </c>
      <c r="Q18" s="44" t="s">
        <v>23</v>
      </c>
      <c r="R18" s="45"/>
      <c r="S18" s="45" t="s">
        <v>25</v>
      </c>
      <c r="T18" s="46" t="s">
        <v>27</v>
      </c>
    </row>
    <row r="19" spans="2:23" s="1" customFormat="1" ht="19.899999999999999" customHeight="1" x14ac:dyDescent="0.25">
      <c r="B19" s="3">
        <v>2</v>
      </c>
      <c r="C19" s="343" t="s">
        <v>270</v>
      </c>
      <c r="D19" s="343"/>
      <c r="E19" s="344"/>
      <c r="G19" s="68" t="s">
        <v>23</v>
      </c>
      <c r="H19" s="69"/>
      <c r="I19" s="69" t="s">
        <v>25</v>
      </c>
      <c r="J19" s="70" t="s">
        <v>759</v>
      </c>
      <c r="L19" s="68" t="s">
        <v>23</v>
      </c>
      <c r="M19" s="69"/>
      <c r="N19" s="69" t="s">
        <v>25</v>
      </c>
      <c r="O19" s="70" t="str">
        <f>J19</f>
        <v>2kg</v>
      </c>
      <c r="Q19" s="77" t="s">
        <v>23</v>
      </c>
      <c r="R19" s="78"/>
      <c r="S19" s="78" t="s">
        <v>25</v>
      </c>
      <c r="T19" s="79" t="str">
        <f>J19</f>
        <v>2kg</v>
      </c>
    </row>
    <row r="20" spans="2:23" s="1" customFormat="1" ht="19.899999999999999" customHeight="1" thickBot="1" x14ac:dyDescent="0.3">
      <c r="B20" s="4">
        <v>3</v>
      </c>
      <c r="C20" s="341" t="s">
        <v>265</v>
      </c>
      <c r="D20" s="341"/>
      <c r="E20" s="342"/>
      <c r="G20" s="24" t="s">
        <v>23</v>
      </c>
      <c r="H20" s="25"/>
      <c r="I20" s="25" t="s">
        <v>25</v>
      </c>
      <c r="J20" s="26" t="s">
        <v>759</v>
      </c>
      <c r="L20" s="24" t="s">
        <v>23</v>
      </c>
      <c r="M20" s="25"/>
      <c r="N20" s="25" t="s">
        <v>25</v>
      </c>
      <c r="O20" s="26" t="str">
        <f>J20</f>
        <v>2kg</v>
      </c>
      <c r="Q20" s="47" t="s">
        <v>23</v>
      </c>
      <c r="R20" s="48"/>
      <c r="S20" s="48" t="s">
        <v>25</v>
      </c>
      <c r="T20" s="49" t="str">
        <f>J20</f>
        <v>2kg</v>
      </c>
    </row>
    <row r="21" spans="2:23" s="2" customFormat="1" ht="4.9000000000000004" customHeight="1" thickBot="1" x14ac:dyDescent="0.3">
      <c r="B21" s="74"/>
      <c r="Q21" s="50"/>
      <c r="R21" s="50"/>
      <c r="S21" s="50"/>
      <c r="T21" s="75"/>
    </row>
    <row r="22" spans="2:23" s="1" customFormat="1" ht="18" customHeight="1" thickBot="1" x14ac:dyDescent="0.3">
      <c r="B22" s="338" t="s">
        <v>381</v>
      </c>
      <c r="C22" s="339"/>
      <c r="D22" s="339"/>
      <c r="E22" s="340"/>
      <c r="G22" s="129" t="s">
        <v>22</v>
      </c>
      <c r="H22" s="130" t="s">
        <v>20</v>
      </c>
      <c r="I22" s="130" t="s">
        <v>21</v>
      </c>
      <c r="J22" s="131" t="s">
        <v>22</v>
      </c>
      <c r="L22" s="129" t="str">
        <f>G22</f>
        <v>WEIGHT</v>
      </c>
      <c r="M22" s="130" t="s">
        <v>20</v>
      </c>
      <c r="N22" s="130" t="s">
        <v>21</v>
      </c>
      <c r="O22" s="131" t="s">
        <v>22</v>
      </c>
      <c r="Q22" s="132" t="str">
        <f>L22</f>
        <v>WEIGHT</v>
      </c>
      <c r="R22" s="133" t="s">
        <v>20</v>
      </c>
      <c r="S22" s="133" t="s">
        <v>21</v>
      </c>
      <c r="T22" s="134" t="s">
        <v>22</v>
      </c>
      <c r="W22" s="36"/>
    </row>
    <row r="23" spans="2:23" s="1" customFormat="1" ht="19.899999999999999" customHeight="1" x14ac:dyDescent="0.25">
      <c r="B23" s="9">
        <v>1</v>
      </c>
      <c r="C23" s="336" t="s">
        <v>278</v>
      </c>
      <c r="D23" s="336"/>
      <c r="E23" s="337"/>
      <c r="G23" s="21"/>
      <c r="H23" s="22" t="s">
        <v>24</v>
      </c>
      <c r="I23" s="28" t="s">
        <v>655</v>
      </c>
      <c r="J23" s="23"/>
      <c r="L23" s="21"/>
      <c r="M23" s="22" t="s">
        <v>24</v>
      </c>
      <c r="N23" s="22" t="str">
        <f>I23</f>
        <v>1x10</v>
      </c>
      <c r="O23" s="23"/>
      <c r="Q23" s="51"/>
      <c r="R23" s="53" t="s">
        <v>24</v>
      </c>
      <c r="S23" s="53" t="str">
        <f>I23</f>
        <v>1x10</v>
      </c>
      <c r="T23" s="54"/>
      <c r="W23" s="36"/>
    </row>
    <row r="24" spans="2:23" s="1" customFormat="1" ht="19.899999999999999" customHeight="1" x14ac:dyDescent="0.25">
      <c r="B24" s="3">
        <v>2</v>
      </c>
      <c r="C24" s="343" t="s">
        <v>303</v>
      </c>
      <c r="D24" s="343"/>
      <c r="E24" s="344"/>
      <c r="G24" s="27"/>
      <c r="H24" s="28" t="s">
        <v>24</v>
      </c>
      <c r="I24" s="28" t="s">
        <v>655</v>
      </c>
      <c r="J24" s="29"/>
      <c r="L24" s="27"/>
      <c r="M24" s="28" t="s">
        <v>24</v>
      </c>
      <c r="N24" s="28" t="str">
        <f>I24</f>
        <v>1x10</v>
      </c>
      <c r="O24" s="29"/>
      <c r="Q24" s="55"/>
      <c r="R24" s="57" t="s">
        <v>24</v>
      </c>
      <c r="S24" s="57" t="str">
        <f>I24</f>
        <v>1x10</v>
      </c>
      <c r="T24" s="58"/>
      <c r="W24" s="36"/>
    </row>
    <row r="25" spans="2:23" s="1" customFormat="1" ht="19.899999999999999" customHeight="1" thickBot="1" x14ac:dyDescent="0.3">
      <c r="B25" s="4">
        <v>3</v>
      </c>
      <c r="C25" s="341" t="s">
        <v>775</v>
      </c>
      <c r="D25" s="341"/>
      <c r="E25" s="342"/>
      <c r="G25" s="24"/>
      <c r="H25" s="25" t="s">
        <v>24</v>
      </c>
      <c r="I25" s="25" t="s">
        <v>745</v>
      </c>
      <c r="J25" s="26"/>
      <c r="L25" s="24"/>
      <c r="M25" s="25" t="s">
        <v>24</v>
      </c>
      <c r="N25" s="25" t="str">
        <f>I25</f>
        <v>2x15m</v>
      </c>
      <c r="O25" s="26"/>
      <c r="Q25" s="47"/>
      <c r="R25" s="48" t="s">
        <v>24</v>
      </c>
      <c r="S25" s="48" t="str">
        <f>I25</f>
        <v>2x15m</v>
      </c>
      <c r="T25" s="49"/>
    </row>
    <row r="26" spans="2:23" s="2" customFormat="1" ht="4.9000000000000004" customHeight="1" thickBot="1" x14ac:dyDescent="0.3">
      <c r="B26" s="74"/>
      <c r="Q26" s="50"/>
      <c r="R26" s="50"/>
      <c r="S26" s="50"/>
      <c r="T26" s="75"/>
    </row>
    <row r="27" spans="2:23" s="1" customFormat="1" ht="19.899999999999999" customHeight="1" x14ac:dyDescent="0.25">
      <c r="B27" s="9">
        <v>4</v>
      </c>
      <c r="C27" s="336" t="s">
        <v>310</v>
      </c>
      <c r="D27" s="336"/>
      <c r="E27" s="337"/>
      <c r="G27" s="21"/>
      <c r="H27" s="22" t="s">
        <v>24</v>
      </c>
      <c r="I27" s="22" t="s">
        <v>655</v>
      </c>
      <c r="J27" s="23"/>
      <c r="L27" s="21"/>
      <c r="M27" s="22" t="s">
        <v>24</v>
      </c>
      <c r="N27" s="22" t="str">
        <f>I27</f>
        <v>1x10</v>
      </c>
      <c r="O27" s="23"/>
      <c r="Q27" s="51"/>
      <c r="R27" s="53" t="s">
        <v>24</v>
      </c>
      <c r="S27" s="53" t="str">
        <f>I27</f>
        <v>1x10</v>
      </c>
      <c r="T27" s="54"/>
    </row>
    <row r="28" spans="2:23" s="1" customFormat="1" ht="19.899999999999999" customHeight="1" x14ac:dyDescent="0.25">
      <c r="B28" s="3">
        <v>5</v>
      </c>
      <c r="C28" s="343" t="s">
        <v>811</v>
      </c>
      <c r="D28" s="343"/>
      <c r="E28" s="344"/>
      <c r="G28" s="27"/>
      <c r="H28" s="28" t="s">
        <v>24</v>
      </c>
      <c r="I28" s="28" t="s">
        <v>655</v>
      </c>
      <c r="J28" s="29"/>
      <c r="L28" s="27"/>
      <c r="M28" s="28" t="s">
        <v>24</v>
      </c>
      <c r="N28" s="28" t="str">
        <f>I28</f>
        <v>1x10</v>
      </c>
      <c r="O28" s="29"/>
      <c r="Q28" s="55"/>
      <c r="R28" s="57" t="s">
        <v>24</v>
      </c>
      <c r="S28" s="28" t="str">
        <f>I28</f>
        <v>1x10</v>
      </c>
      <c r="T28" s="58"/>
    </row>
    <row r="29" spans="2:23" s="1" customFormat="1" ht="19.899999999999999" customHeight="1" thickBot="1" x14ac:dyDescent="0.3">
      <c r="B29" s="4">
        <v>6</v>
      </c>
      <c r="C29" s="341" t="s">
        <v>65</v>
      </c>
      <c r="D29" s="341"/>
      <c r="E29" s="342"/>
      <c r="G29" s="24"/>
      <c r="H29" s="25" t="s">
        <v>24</v>
      </c>
      <c r="I29" s="25" t="s">
        <v>789</v>
      </c>
      <c r="J29" s="26"/>
      <c r="L29" s="24"/>
      <c r="M29" s="25" t="s">
        <v>24</v>
      </c>
      <c r="N29" s="25" t="str">
        <f>I29</f>
        <v>3x5 ea</v>
      </c>
      <c r="O29" s="26"/>
      <c r="Q29" s="47"/>
      <c r="R29" s="48" t="s">
        <v>24</v>
      </c>
      <c r="S29" s="48" t="str">
        <f>I29</f>
        <v>3x5 ea</v>
      </c>
      <c r="T29" s="49"/>
    </row>
    <row r="30" spans="2:23" s="1" customFormat="1" ht="5.0999999999999996" customHeight="1" thickBot="1" x14ac:dyDescent="0.3">
      <c r="B30" s="4"/>
      <c r="C30" s="67"/>
      <c r="D30" s="67"/>
      <c r="E30" s="118"/>
      <c r="G30" s="4"/>
      <c r="H30" s="67"/>
      <c r="I30" s="67"/>
      <c r="J30" s="67"/>
      <c r="L30" s="67"/>
      <c r="M30" s="67"/>
      <c r="N30" s="67"/>
      <c r="O30" s="67"/>
      <c r="Q30" s="120"/>
      <c r="R30" s="120"/>
      <c r="S30" s="120"/>
      <c r="T30" s="121"/>
    </row>
    <row r="31" spans="2:23" s="2" customFormat="1" ht="18" customHeight="1" thickBot="1" x14ac:dyDescent="0.3">
      <c r="B31" s="338" t="s">
        <v>746</v>
      </c>
      <c r="C31" s="339"/>
      <c r="D31" s="339"/>
      <c r="E31" s="340"/>
      <c r="F31" s="119"/>
      <c r="G31" s="333"/>
      <c r="H31" s="334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5"/>
    </row>
    <row r="32" spans="2:23" s="1" customFormat="1" ht="19.899999999999999" customHeight="1" x14ac:dyDescent="0.25">
      <c r="B32" s="9">
        <v>7</v>
      </c>
      <c r="C32" s="336" t="s">
        <v>285</v>
      </c>
      <c r="D32" s="336"/>
      <c r="E32" s="337"/>
      <c r="G32" s="21"/>
      <c r="H32" s="22" t="s">
        <v>24</v>
      </c>
      <c r="I32" s="22" t="s">
        <v>655</v>
      </c>
      <c r="J32" s="23"/>
      <c r="L32" s="21"/>
      <c r="M32" s="22" t="s">
        <v>24</v>
      </c>
      <c r="N32" s="22" t="str">
        <f>I32</f>
        <v>1x10</v>
      </c>
      <c r="O32" s="23"/>
      <c r="Q32" s="51"/>
      <c r="R32" s="53" t="s">
        <v>24</v>
      </c>
      <c r="S32" s="53" t="str">
        <f>I32</f>
        <v>1x10</v>
      </c>
      <c r="T32" s="54"/>
    </row>
    <row r="33" spans="2:20" s="1" customFormat="1" ht="19.899999999999999" customHeight="1" x14ac:dyDescent="0.25">
      <c r="B33" s="3">
        <v>8</v>
      </c>
      <c r="C33" s="343" t="s">
        <v>539</v>
      </c>
      <c r="D33" s="343"/>
      <c r="E33" s="344"/>
      <c r="G33" s="27"/>
      <c r="H33" s="28" t="s">
        <v>24</v>
      </c>
      <c r="I33" s="28" t="s">
        <v>655</v>
      </c>
      <c r="J33" s="29"/>
      <c r="L33" s="27"/>
      <c r="M33" s="28" t="s">
        <v>24</v>
      </c>
      <c r="N33" s="28" t="str">
        <f>I33</f>
        <v>1x10</v>
      </c>
      <c r="O33" s="29"/>
      <c r="Q33" s="55"/>
      <c r="R33" s="57" t="s">
        <v>24</v>
      </c>
      <c r="S33" s="28" t="str">
        <f>I33</f>
        <v>1x10</v>
      </c>
      <c r="T33" s="58"/>
    </row>
    <row r="34" spans="2:20" s="1" customFormat="1" ht="19.899999999999999" customHeight="1" thickBot="1" x14ac:dyDescent="0.3">
      <c r="B34" s="4">
        <v>9</v>
      </c>
      <c r="C34" s="341" t="s">
        <v>814</v>
      </c>
      <c r="D34" s="341"/>
      <c r="E34" s="342"/>
      <c r="G34" s="24"/>
      <c r="H34" s="25" t="s">
        <v>24</v>
      </c>
      <c r="I34" s="25" t="s">
        <v>749</v>
      </c>
      <c r="J34" s="26"/>
      <c r="L34" s="24"/>
      <c r="M34" s="25" t="s">
        <v>24</v>
      </c>
      <c r="N34" s="25" t="str">
        <f>I34</f>
        <v>3x10s ea</v>
      </c>
      <c r="O34" s="26"/>
      <c r="Q34" s="47"/>
      <c r="R34" s="48" t="s">
        <v>24</v>
      </c>
      <c r="S34" s="48" t="str">
        <f>I34</f>
        <v>3x10s ea</v>
      </c>
      <c r="T34" s="49"/>
    </row>
    <row r="35" spans="2:20" s="2" customFormat="1" ht="4.9000000000000004" customHeight="1" thickBot="1" x14ac:dyDescent="0.3">
      <c r="B35" s="74"/>
      <c r="Q35" s="50"/>
      <c r="R35" s="50"/>
      <c r="S35" s="50"/>
      <c r="T35" s="75"/>
    </row>
    <row r="36" spans="2:20" s="1" customFormat="1" ht="19.899999999999999" customHeight="1" x14ac:dyDescent="0.25">
      <c r="B36" s="9">
        <v>10</v>
      </c>
      <c r="C36" s="336" t="s">
        <v>286</v>
      </c>
      <c r="D36" s="336"/>
      <c r="E36" s="337"/>
      <c r="G36" s="21"/>
      <c r="H36" s="22" t="s">
        <v>24</v>
      </c>
      <c r="I36" s="22" t="s">
        <v>655</v>
      </c>
      <c r="J36" s="23"/>
      <c r="L36" s="21"/>
      <c r="M36" s="22" t="s">
        <v>24</v>
      </c>
      <c r="N36" s="22" t="str">
        <f>I36</f>
        <v>1x10</v>
      </c>
      <c r="O36" s="23"/>
      <c r="Q36" s="21"/>
      <c r="R36" s="22" t="s">
        <v>24</v>
      </c>
      <c r="S36" s="53" t="str">
        <f>I36</f>
        <v>1x10</v>
      </c>
      <c r="T36" s="23"/>
    </row>
    <row r="37" spans="2:20" s="1" customFormat="1" ht="19.899999999999999" customHeight="1" x14ac:dyDescent="0.25">
      <c r="B37" s="3">
        <v>11</v>
      </c>
      <c r="C37" s="343" t="s">
        <v>324</v>
      </c>
      <c r="D37" s="343"/>
      <c r="E37" s="344"/>
      <c r="G37" s="27"/>
      <c r="H37" s="28" t="s">
        <v>24</v>
      </c>
      <c r="I37" s="28" t="s">
        <v>655</v>
      </c>
      <c r="J37" s="29"/>
      <c r="L37" s="27"/>
      <c r="M37" s="28" t="s">
        <v>24</v>
      </c>
      <c r="N37" s="28" t="str">
        <f>I37</f>
        <v>1x10</v>
      </c>
      <c r="O37" s="29"/>
      <c r="Q37" s="27"/>
      <c r="R37" s="28" t="s">
        <v>24</v>
      </c>
      <c r="S37" s="28" t="str">
        <f>I37</f>
        <v>1x10</v>
      </c>
      <c r="T37" s="29"/>
    </row>
    <row r="38" spans="2:20" s="1" customFormat="1" ht="19.899999999999999" customHeight="1" thickBot="1" x14ac:dyDescent="0.3">
      <c r="B38" s="4">
        <v>12</v>
      </c>
      <c r="C38" s="341" t="s">
        <v>766</v>
      </c>
      <c r="D38" s="341"/>
      <c r="E38" s="342"/>
      <c r="G38" s="24"/>
      <c r="H38" s="25" t="s">
        <v>24</v>
      </c>
      <c r="I38" s="25" t="s">
        <v>655</v>
      </c>
      <c r="J38" s="26"/>
      <c r="L38" s="24"/>
      <c r="M38" s="25" t="s">
        <v>24</v>
      </c>
      <c r="N38" s="25" t="str">
        <f>I38</f>
        <v>1x10</v>
      </c>
      <c r="O38" s="26"/>
      <c r="Q38" s="47"/>
      <c r="R38" s="48" t="s">
        <v>24</v>
      </c>
      <c r="S38" s="48" t="str">
        <f>I38</f>
        <v>1x10</v>
      </c>
      <c r="T38" s="49"/>
    </row>
    <row r="39" spans="2:20" s="1" customFormat="1" ht="5.0999999999999996" customHeight="1" thickBot="1" x14ac:dyDescent="0.3">
      <c r="B39" s="4"/>
      <c r="C39" s="67"/>
      <c r="D39" s="67"/>
      <c r="E39" s="118"/>
      <c r="G39" s="4"/>
      <c r="H39" s="67"/>
      <c r="I39" s="67"/>
      <c r="J39" s="67"/>
      <c r="L39" s="67"/>
      <c r="M39" s="67"/>
      <c r="N39" s="67"/>
      <c r="O39" s="67"/>
      <c r="Q39" s="120"/>
      <c r="R39" s="120"/>
      <c r="S39" s="120"/>
      <c r="T39" s="121"/>
    </row>
    <row r="40" spans="2:20" s="2" customFormat="1" ht="18" customHeight="1" thickBot="1" x14ac:dyDescent="0.3">
      <c r="B40" s="338" t="s">
        <v>382</v>
      </c>
      <c r="C40" s="339"/>
      <c r="D40" s="339"/>
      <c r="E40" s="340"/>
      <c r="G40" s="333"/>
      <c r="H40" s="334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5"/>
    </row>
    <row r="41" spans="2:20" s="1" customFormat="1" ht="19.899999999999999" customHeight="1" x14ac:dyDescent="0.25">
      <c r="B41" s="9">
        <v>13</v>
      </c>
      <c r="C41" s="336" t="s">
        <v>231</v>
      </c>
      <c r="D41" s="336"/>
      <c r="E41" s="337"/>
      <c r="G41" s="21"/>
      <c r="H41" s="22" t="s">
        <v>24</v>
      </c>
      <c r="I41" s="22" t="s">
        <v>757</v>
      </c>
      <c r="J41" s="23"/>
      <c r="L41" s="21"/>
      <c r="M41" s="22" t="s">
        <v>24</v>
      </c>
      <c r="N41" s="22" t="str">
        <f>I41</f>
        <v>2x90s</v>
      </c>
      <c r="O41" s="23"/>
      <c r="Q41" s="21"/>
      <c r="R41" s="22" t="s">
        <v>24</v>
      </c>
      <c r="S41" s="22" t="str">
        <f>N41</f>
        <v>2x90s</v>
      </c>
      <c r="T41" s="23"/>
    </row>
    <row r="42" spans="2:20" s="1" customFormat="1" ht="19.899999999999999" customHeight="1" x14ac:dyDescent="0.25">
      <c r="B42" s="3">
        <v>14</v>
      </c>
      <c r="C42" s="343" t="s">
        <v>547</v>
      </c>
      <c r="D42" s="343"/>
      <c r="E42" s="344"/>
      <c r="G42" s="27"/>
      <c r="H42" s="28" t="s">
        <v>24</v>
      </c>
      <c r="I42" s="28" t="s">
        <v>757</v>
      </c>
      <c r="J42" s="29"/>
      <c r="L42" s="27"/>
      <c r="M42" s="28" t="s">
        <v>24</v>
      </c>
      <c r="N42" s="28" t="str">
        <f>I42</f>
        <v>2x90s</v>
      </c>
      <c r="O42" s="29"/>
      <c r="Q42" s="27"/>
      <c r="R42" s="28" t="s">
        <v>24</v>
      </c>
      <c r="S42" s="28" t="str">
        <f>N42</f>
        <v>2x90s</v>
      </c>
      <c r="T42" s="29"/>
    </row>
    <row r="43" spans="2:20" s="1" customFormat="1" ht="19.899999999999999" customHeight="1" thickBot="1" x14ac:dyDescent="0.3">
      <c r="B43" s="4">
        <v>15</v>
      </c>
      <c r="C43" s="347" t="s">
        <v>384</v>
      </c>
      <c r="D43" s="347"/>
      <c r="E43" s="348"/>
      <c r="F43" s="67"/>
      <c r="G43" s="24"/>
      <c r="H43" s="25" t="s">
        <v>24</v>
      </c>
      <c r="I43" s="25" t="s">
        <v>757</v>
      </c>
      <c r="J43" s="26"/>
      <c r="K43" s="67"/>
      <c r="L43" s="24"/>
      <c r="M43" s="25" t="s">
        <v>24</v>
      </c>
      <c r="N43" s="25" t="str">
        <f>I43</f>
        <v>2x90s</v>
      </c>
      <c r="O43" s="26"/>
      <c r="P43" s="67"/>
      <c r="Q43" s="24"/>
      <c r="R43" s="25" t="s">
        <v>24</v>
      </c>
      <c r="S43" s="25" t="str">
        <f>N43</f>
        <v>2x90s</v>
      </c>
      <c r="T43" s="26"/>
    </row>
  </sheetData>
  <mergeCells count="44">
    <mergeCell ref="O2:T7"/>
    <mergeCell ref="M10:N10"/>
    <mergeCell ref="B12:T12"/>
    <mergeCell ref="B13:D13"/>
    <mergeCell ref="E13:F13"/>
    <mergeCell ref="G13:I13"/>
    <mergeCell ref="J13:M13"/>
    <mergeCell ref="N13:Q13"/>
    <mergeCell ref="R13:T13"/>
    <mergeCell ref="B17:E17"/>
    <mergeCell ref="B14:D14"/>
    <mergeCell ref="E14:F14"/>
    <mergeCell ref="G14:I14"/>
    <mergeCell ref="J14:M14"/>
    <mergeCell ref="B15:E16"/>
    <mergeCell ref="G15:T15"/>
    <mergeCell ref="H16:I16"/>
    <mergeCell ref="M16:N16"/>
    <mergeCell ref="R16:S16"/>
    <mergeCell ref="N14:Q14"/>
    <mergeCell ref="R14:T14"/>
    <mergeCell ref="G31:T31"/>
    <mergeCell ref="C18:E18"/>
    <mergeCell ref="C19:E19"/>
    <mergeCell ref="C20:E20"/>
    <mergeCell ref="B22:E22"/>
    <mergeCell ref="C23:E23"/>
    <mergeCell ref="C24:E24"/>
    <mergeCell ref="C38:E38"/>
    <mergeCell ref="C25:E25"/>
    <mergeCell ref="C27:E27"/>
    <mergeCell ref="C28:E28"/>
    <mergeCell ref="C29:E29"/>
    <mergeCell ref="B31:E31"/>
    <mergeCell ref="C32:E32"/>
    <mergeCell ref="C33:E33"/>
    <mergeCell ref="C34:E34"/>
    <mergeCell ref="C36:E36"/>
    <mergeCell ref="C37:E37"/>
    <mergeCell ref="B40:E40"/>
    <mergeCell ref="G40:T40"/>
    <mergeCell ref="C41:E41"/>
    <mergeCell ref="C42:E42"/>
    <mergeCell ref="C43:E43"/>
  </mergeCells>
  <dataValidations count="1">
    <dataValidation type="list" allowBlank="1" showInputMessage="1" showErrorMessage="1" sqref="H23:H25 M36:M39 R32:R34 R27:R30 R23:R25 H36:H39 M32:M34 M27:M30 M23:M25 H32:H34 H27:H30 H41:H43 M41:M43 R36:R39" xr:uid="{B12692A3-CC19-4ECD-93E5-A8D4A5B9CA8E}">
      <formula1>$W$22:$W$24</formula1>
    </dataValidation>
  </dataValidations>
  <pageMargins left="0.25" right="0.25" top="0.75" bottom="0.75" header="0.3" footer="0.3"/>
  <pageSetup paperSize="9" scale="6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xr:uid="{B8B2A1E7-C749-46B8-9E68-792C6CD5A9F7}">
          <x14:formula1>
            <xm:f>'Oberkörper Progressionen '!$Q:$Q</xm:f>
          </x14:formula1>
          <xm:sqref>C42:E42</xm:sqref>
        </x14:dataValidation>
        <x14:dataValidation type="list" allowBlank="1" showInputMessage="1" showErrorMessage="1" xr:uid="{73CA0DDB-6C2F-40FE-A828-0D9CEC7CFBC1}">
          <x14:formula1>
            <xm:f>'Oberkörper Progressionen '!$B:$B</xm:f>
          </x14:formula1>
          <xm:sqref>C18:E18</xm:sqref>
        </x14:dataValidation>
        <x14:dataValidation type="list" allowBlank="1" showInputMessage="1" showErrorMessage="1" xr:uid="{E21134A5-5D12-436E-9A22-AE4BB32CC2C4}">
          <x14:formula1>
            <xm:f>'Oberkörper Progressionen '!$C:$C</xm:f>
          </x14:formula1>
          <xm:sqref>C19:E19</xm:sqref>
        </x14:dataValidation>
        <x14:dataValidation type="list" allowBlank="1" showInputMessage="1" showErrorMessage="1" xr:uid="{D4509AF4-C294-46CE-A720-6D9F049EAC6B}">
          <x14:formula1>
            <xm:f>'Oberkörper Progressionen '!$D:$D</xm:f>
          </x14:formula1>
          <xm:sqref>C20:E20</xm:sqref>
        </x14:dataValidation>
        <x14:dataValidation type="list" allowBlank="1" showInputMessage="1" showErrorMessage="1" xr:uid="{1D584C67-3C35-4838-93CD-5B139C11913F}">
          <x14:formula1>
            <xm:f>'Oberkörper Progressionen '!$E:$E</xm:f>
          </x14:formula1>
          <xm:sqref>C23:E23</xm:sqref>
        </x14:dataValidation>
        <x14:dataValidation type="list" allowBlank="1" showInputMessage="1" showErrorMessage="1" xr:uid="{03BDCE30-2A17-4467-9F1E-0A747C4F1672}">
          <x14:formula1>
            <xm:f>'Oberkörper Progressionen '!$F:$F</xm:f>
          </x14:formula1>
          <xm:sqref>C24:E24</xm:sqref>
        </x14:dataValidation>
        <x14:dataValidation type="list" allowBlank="1" showInputMessage="1" showErrorMessage="1" xr:uid="{3548998B-28FC-4109-9453-3F8AB8CD1783}">
          <x14:formula1>
            <xm:f>'Oberkörper Progressionen '!$N:$N</xm:f>
          </x14:formula1>
          <xm:sqref>C25:E25</xm:sqref>
        </x14:dataValidation>
        <x14:dataValidation type="list" allowBlank="1" showInputMessage="1" showErrorMessage="1" xr:uid="{57E8566D-9321-4FCB-892D-B0CFF4EFC6BD}">
          <x14:formula1>
            <xm:f>'Oberkörper Progressionen '!$H:$H</xm:f>
          </x14:formula1>
          <xm:sqref>C27:E27</xm:sqref>
        </x14:dataValidation>
        <x14:dataValidation type="list" allowBlank="1" showInputMessage="1" showErrorMessage="1" xr:uid="{FED37D38-530A-46AA-84CD-BF78AB53B079}">
          <x14:formula1>
            <xm:f>'Oberkörper Progressionen '!$I:$I</xm:f>
          </x14:formula1>
          <xm:sqref>C28:E28</xm:sqref>
        </x14:dataValidation>
        <x14:dataValidation type="list" allowBlank="1" showInputMessage="1" showErrorMessage="1" xr:uid="{96E7A0E2-CCC6-495C-8501-0A7F83BDC189}">
          <x14:formula1>
            <xm:f>'Oberkörper Progressionen '!$G:$G</xm:f>
          </x14:formula1>
          <xm:sqref>C29:E30</xm:sqref>
        </x14:dataValidation>
        <x14:dataValidation type="list" allowBlank="1" showInputMessage="1" showErrorMessage="1" xr:uid="{B9858C8B-8519-4BD9-8E08-6DD17FB68DD7}">
          <x14:formula1>
            <xm:f>'Oberkörper Progressionen '!$L:$L</xm:f>
          </x14:formula1>
          <xm:sqref>C32:E32</xm:sqref>
        </x14:dataValidation>
        <x14:dataValidation type="list" allowBlank="1" showInputMessage="1" showErrorMessage="1" xr:uid="{5D75702D-E040-475E-BED7-53087370B33D}">
          <x14:formula1>
            <xm:f>'Oberkörper Progressionen '!$M:$M</xm:f>
          </x14:formula1>
          <xm:sqref>C33:E33</xm:sqref>
        </x14:dataValidation>
        <x14:dataValidation type="list" allowBlank="1" showInputMessage="1" showErrorMessage="1" xr:uid="{EF5400C1-4729-49E1-8B35-299918061350}">
          <x14:formula1>
            <xm:f>'Oberkörper Progressionen '!$J:$J</xm:f>
          </x14:formula1>
          <xm:sqref>C34:E34</xm:sqref>
        </x14:dataValidation>
        <x14:dataValidation type="list" allowBlank="1" showInputMessage="1" showErrorMessage="1" xr:uid="{3F711CA8-FB99-4F05-A118-FFBDBB7D4FEC}">
          <x14:formula1>
            <xm:f>'Oberkörper Progressionen '!$O:$O</xm:f>
          </x14:formula1>
          <xm:sqref>C36:E36</xm:sqref>
        </x14:dataValidation>
        <x14:dataValidation type="list" allowBlank="1" showInputMessage="1" showErrorMessage="1" xr:uid="{DC35BFC8-C8A4-4010-A4C6-275087BC1CEF}">
          <x14:formula1>
            <xm:f>'Oberkörper Progressionen '!$P:$P</xm:f>
          </x14:formula1>
          <xm:sqref>C37:E37</xm:sqref>
        </x14:dataValidation>
        <x14:dataValidation type="list" allowBlank="1" showInputMessage="1" showErrorMessage="1" xr:uid="{362E2474-890E-4B9B-8620-694CE1C455AC}">
          <x14:formula1>
            <xm:f>'Oberkörper Progressionen '!$K:$K</xm:f>
          </x14:formula1>
          <xm:sqref>C38:E39</xm:sqref>
        </x14:dataValidation>
        <x14:dataValidation type="list" allowBlank="1" showInputMessage="1" showErrorMessage="1" xr:uid="{518D0011-96E5-46C7-8AD3-248FC1FD7E25}">
          <x14:formula1>
            <xm:f>'Oberkörper Progressionen '!$R:$R</xm:f>
          </x14:formula1>
          <xm:sqref>C41:E41</xm:sqref>
        </x14:dataValidation>
        <x14:dataValidation type="list" allowBlank="1" showInputMessage="1" showErrorMessage="1" xr:uid="{26044973-EF9C-4E0B-9359-D7504AA1B059}">
          <x14:formula1>
            <xm:f>'Oberkörper Progressionen '!$S:$S</xm:f>
          </x14:formula1>
          <xm:sqref>C43:E43</xm:sqref>
        </x14:dataValidation>
        <x14:dataValidation type="list" allowBlank="1" showInputMessage="1" showErrorMessage="1" xr:uid="{2A521917-6F9A-4B1A-A7A9-6F1DF222AAED}">
          <x14:formula1>
            <xm:f>' Unterkörper Progressionen '!$Z$2:$Z$17</xm:f>
          </x14:formula1>
          <xm:sqref>N28 S37 S33 N33 N37 S28</xm:sqref>
        </x14:dataValidation>
        <x14:dataValidation type="list" allowBlank="1" showInputMessage="1" showErrorMessage="1" xr:uid="{732E376F-6D7E-488F-9803-9B8A4D9AFB40}">
          <x14:formula1>
            <xm:f>' Unterkörper Progressionen '!$Z:$Z</xm:f>
          </x14:formula1>
          <xm:sqref>I41:I43 I23:I24 I27:I30 I32:I34 I36:I39</xm:sqref>
        </x14:dataValidation>
        <x14:dataValidation type="list" allowBlank="1" showInputMessage="1" showErrorMessage="1" xr:uid="{E6888FA2-1E17-47DF-8EBF-29ED8CB25A33}">
          <x14:formula1>
            <xm:f>' Unterkörper Progressionen '!$AA:$AA</xm:f>
          </x14:formula1>
          <xm:sqref>J19:J20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N25"/>
  <sheetViews>
    <sheetView topLeftCell="A9" zoomScale="73" workbookViewId="0">
      <selection activeCell="D11" sqref="D11"/>
    </sheetView>
  </sheetViews>
  <sheetFormatPr baseColWidth="10" defaultColWidth="11.25" defaultRowHeight="15.75" x14ac:dyDescent="0.25"/>
  <cols>
    <col min="1" max="1" width="11.25" style="102"/>
    <col min="2" max="4" width="11.25" style="38"/>
    <col min="5" max="5" width="11.25" style="39"/>
    <col min="6" max="14" width="11.25" style="38"/>
    <col min="15" max="16384" width="11.25" style="39"/>
  </cols>
  <sheetData>
    <row r="1" spans="1:14" s="102" customFormat="1" ht="79.900000000000006" customHeight="1" x14ac:dyDescent="0.25">
      <c r="A1" s="115"/>
      <c r="B1" s="116" t="s">
        <v>565</v>
      </c>
      <c r="C1" s="116" t="s">
        <v>566</v>
      </c>
      <c r="D1" s="116" t="s">
        <v>567</v>
      </c>
      <c r="E1" s="116" t="s">
        <v>557</v>
      </c>
      <c r="F1" s="116" t="s">
        <v>568</v>
      </c>
      <c r="G1" s="116" t="s">
        <v>569</v>
      </c>
      <c r="H1" s="116" t="s">
        <v>570</v>
      </c>
      <c r="I1" s="116" t="s">
        <v>571</v>
      </c>
      <c r="J1" s="116" t="s">
        <v>572</v>
      </c>
      <c r="K1" s="116" t="s">
        <v>573</v>
      </c>
      <c r="L1" s="116" t="s">
        <v>574</v>
      </c>
      <c r="M1" s="116" t="s">
        <v>575</v>
      </c>
      <c r="N1" s="101"/>
    </row>
    <row r="2" spans="1:14" ht="79.900000000000006" customHeight="1" x14ac:dyDescent="0.25">
      <c r="A2" s="115" t="s">
        <v>389</v>
      </c>
      <c r="B2" s="117" t="s">
        <v>30</v>
      </c>
      <c r="C2" s="117" t="s">
        <v>221</v>
      </c>
      <c r="D2" s="117" t="s">
        <v>31</v>
      </c>
      <c r="E2" s="117" t="s">
        <v>394</v>
      </c>
      <c r="F2" s="117" t="s">
        <v>415</v>
      </c>
      <c r="G2" s="117" t="s">
        <v>601</v>
      </c>
      <c r="H2" s="117" t="s">
        <v>32</v>
      </c>
      <c r="I2" s="117" t="s">
        <v>576</v>
      </c>
      <c r="J2" s="117" t="s">
        <v>134</v>
      </c>
      <c r="K2" s="117" t="s">
        <v>136</v>
      </c>
      <c r="L2" s="117" t="s">
        <v>133</v>
      </c>
      <c r="M2" s="117" t="s">
        <v>35</v>
      </c>
    </row>
    <row r="3" spans="1:14" ht="79.900000000000006" customHeight="1" x14ac:dyDescent="0.25">
      <c r="A3" s="115" t="s">
        <v>390</v>
      </c>
      <c r="B3" s="117" t="s">
        <v>157</v>
      </c>
      <c r="C3" s="117" t="s">
        <v>169</v>
      </c>
      <c r="D3" s="117" t="s">
        <v>52</v>
      </c>
      <c r="E3" s="117" t="s">
        <v>413</v>
      </c>
      <c r="F3" s="117" t="s">
        <v>598</v>
      </c>
      <c r="G3" s="117" t="s">
        <v>602</v>
      </c>
      <c r="H3" s="117" t="s">
        <v>597</v>
      </c>
      <c r="I3" s="117" t="s">
        <v>577</v>
      </c>
      <c r="J3" s="117" t="s">
        <v>33</v>
      </c>
      <c r="K3" s="117" t="s">
        <v>140</v>
      </c>
      <c r="L3" s="117" t="s">
        <v>34</v>
      </c>
      <c r="M3" s="117" t="s">
        <v>141</v>
      </c>
    </row>
    <row r="4" spans="1:14" ht="79.900000000000006" customHeight="1" x14ac:dyDescent="0.25">
      <c r="A4" s="115" t="s">
        <v>391</v>
      </c>
      <c r="B4" s="117" t="s">
        <v>137</v>
      </c>
      <c r="C4" s="117" t="s">
        <v>168</v>
      </c>
      <c r="D4" s="117" t="s">
        <v>53</v>
      </c>
      <c r="E4" s="117" t="s">
        <v>321</v>
      </c>
      <c r="F4" s="117" t="s">
        <v>721</v>
      </c>
      <c r="G4" s="117" t="s">
        <v>561</v>
      </c>
      <c r="H4" s="117" t="s">
        <v>138</v>
      </c>
      <c r="I4" s="117" t="s">
        <v>139</v>
      </c>
      <c r="J4" s="117" t="s">
        <v>145</v>
      </c>
      <c r="K4" s="117" t="s">
        <v>146</v>
      </c>
      <c r="L4" s="117" t="s">
        <v>709</v>
      </c>
      <c r="M4" s="117" t="s">
        <v>147</v>
      </c>
    </row>
    <row r="5" spans="1:14" ht="79.900000000000006" customHeight="1" x14ac:dyDescent="0.25">
      <c r="A5" s="115" t="s">
        <v>392</v>
      </c>
      <c r="B5" s="117" t="s">
        <v>142</v>
      </c>
      <c r="C5" s="117" t="s">
        <v>295</v>
      </c>
      <c r="D5" s="117" t="s">
        <v>579</v>
      </c>
      <c r="E5" s="117" t="s">
        <v>396</v>
      </c>
      <c r="F5" s="117" t="s">
        <v>600</v>
      </c>
      <c r="G5" s="117" t="s">
        <v>603</v>
      </c>
      <c r="H5" s="117" t="s">
        <v>143</v>
      </c>
      <c r="I5" s="117" t="s">
        <v>578</v>
      </c>
      <c r="J5" s="117" t="s">
        <v>149</v>
      </c>
      <c r="K5" s="117" t="s">
        <v>150</v>
      </c>
      <c r="L5" s="117" t="s">
        <v>710</v>
      </c>
      <c r="M5" s="117" t="s">
        <v>177</v>
      </c>
    </row>
    <row r="6" spans="1:14" ht="79.900000000000006" customHeight="1" x14ac:dyDescent="0.25">
      <c r="A6" s="115" t="s">
        <v>393</v>
      </c>
      <c r="B6" s="117" t="s">
        <v>158</v>
      </c>
      <c r="C6" s="117" t="s">
        <v>170</v>
      </c>
      <c r="D6" s="117" t="s">
        <v>54</v>
      </c>
      <c r="E6" s="117" t="s">
        <v>395</v>
      </c>
      <c r="F6" s="117" t="s">
        <v>427</v>
      </c>
      <c r="G6" s="117" t="s">
        <v>562</v>
      </c>
      <c r="H6" s="117" t="s">
        <v>148</v>
      </c>
      <c r="I6" s="117" t="s">
        <v>144</v>
      </c>
      <c r="J6" s="117" t="s">
        <v>151</v>
      </c>
      <c r="K6" s="117" t="s">
        <v>152</v>
      </c>
      <c r="L6" s="117" t="s">
        <v>711</v>
      </c>
      <c r="M6" s="117" t="s">
        <v>587</v>
      </c>
    </row>
    <row r="7" spans="1:14" ht="79.900000000000006" customHeight="1" x14ac:dyDescent="0.25">
      <c r="A7" s="115" t="s">
        <v>426</v>
      </c>
      <c r="B7" s="117" t="s">
        <v>159</v>
      </c>
      <c r="C7" s="117" t="s">
        <v>521</v>
      </c>
      <c r="D7" s="117" t="s">
        <v>55</v>
      </c>
      <c r="E7" s="117" t="s">
        <v>419</v>
      </c>
      <c r="F7" s="117" t="s">
        <v>418</v>
      </c>
      <c r="G7" s="117" t="s">
        <v>564</v>
      </c>
      <c r="H7" s="117" t="s">
        <v>181</v>
      </c>
      <c r="I7" s="117" t="s">
        <v>173</v>
      </c>
      <c r="J7" s="117" t="s">
        <v>176</v>
      </c>
      <c r="K7" s="117" t="s">
        <v>155</v>
      </c>
      <c r="L7" s="117" t="s">
        <v>80</v>
      </c>
      <c r="M7" s="117" t="s">
        <v>178</v>
      </c>
    </row>
    <row r="8" spans="1:14" ht="63" x14ac:dyDescent="0.25">
      <c r="A8" s="115" t="s">
        <v>397</v>
      </c>
      <c r="B8" s="117" t="s">
        <v>160</v>
      </c>
      <c r="C8" s="117" t="s">
        <v>322</v>
      </c>
      <c r="D8" s="117" t="s">
        <v>31</v>
      </c>
      <c r="E8" s="117" t="s">
        <v>37</v>
      </c>
      <c r="F8" s="117" t="s">
        <v>722</v>
      </c>
      <c r="G8" s="117" t="s">
        <v>373</v>
      </c>
      <c r="H8" s="117" t="s">
        <v>172</v>
      </c>
      <c r="I8" s="117" t="s">
        <v>174</v>
      </c>
      <c r="J8" s="117" t="s">
        <v>325</v>
      </c>
      <c r="K8" s="117" t="s">
        <v>154</v>
      </c>
      <c r="L8" s="117" t="s">
        <v>81</v>
      </c>
      <c r="M8" s="117" t="s">
        <v>783</v>
      </c>
    </row>
    <row r="9" spans="1:14" ht="63" x14ac:dyDescent="0.25">
      <c r="A9" s="115" t="s">
        <v>398</v>
      </c>
      <c r="B9" s="117" t="s">
        <v>161</v>
      </c>
      <c r="C9" s="117" t="s">
        <v>771</v>
      </c>
      <c r="D9" s="117" t="s">
        <v>52</v>
      </c>
      <c r="E9" s="117" t="s">
        <v>320</v>
      </c>
      <c r="F9" s="117" t="s">
        <v>723</v>
      </c>
      <c r="G9" s="117" t="s">
        <v>374</v>
      </c>
      <c r="H9" s="117" t="s">
        <v>714</v>
      </c>
      <c r="I9" s="117" t="s">
        <v>175</v>
      </c>
      <c r="J9" s="117" t="s">
        <v>326</v>
      </c>
      <c r="K9" s="117" t="s">
        <v>156</v>
      </c>
      <c r="L9" s="117" t="s">
        <v>82</v>
      </c>
      <c r="M9" s="117" t="s">
        <v>784</v>
      </c>
    </row>
    <row r="10" spans="1:14" ht="78.75" x14ac:dyDescent="0.25">
      <c r="A10" s="115" t="s">
        <v>399</v>
      </c>
      <c r="B10" s="117" t="s">
        <v>207</v>
      </c>
      <c r="C10" s="117" t="s">
        <v>772</v>
      </c>
      <c r="D10" s="117" t="s">
        <v>53</v>
      </c>
      <c r="E10" s="117" t="s">
        <v>321</v>
      </c>
      <c r="F10" s="117" t="s">
        <v>724</v>
      </c>
      <c r="G10" s="117" t="s">
        <v>375</v>
      </c>
      <c r="H10" s="117" t="s">
        <v>715</v>
      </c>
      <c r="I10" s="117" t="s">
        <v>350</v>
      </c>
      <c r="J10" s="117" t="s">
        <v>327</v>
      </c>
      <c r="K10" s="117" t="s">
        <v>367</v>
      </c>
      <c r="L10" s="117" t="s">
        <v>83</v>
      </c>
      <c r="M10" s="117" t="s">
        <v>781</v>
      </c>
    </row>
    <row r="11" spans="1:14" ht="78.75" x14ac:dyDescent="0.25">
      <c r="A11" s="115" t="s">
        <v>400</v>
      </c>
      <c r="B11" s="117" t="s">
        <v>208</v>
      </c>
      <c r="C11" s="117" t="s">
        <v>773</v>
      </c>
      <c r="D11" s="117" t="s">
        <v>54</v>
      </c>
      <c r="E11" s="117" t="s">
        <v>396</v>
      </c>
      <c r="F11" s="117" t="s">
        <v>725</v>
      </c>
      <c r="G11" s="117" t="s">
        <v>376</v>
      </c>
      <c r="H11" s="117" t="s">
        <v>716</v>
      </c>
      <c r="I11" s="117" t="s">
        <v>351</v>
      </c>
      <c r="J11" s="117" t="s">
        <v>328</v>
      </c>
      <c r="K11" s="117" t="s">
        <v>368</v>
      </c>
      <c r="L11" s="117" t="s">
        <v>75</v>
      </c>
      <c r="M11" s="117" t="s">
        <v>785</v>
      </c>
    </row>
    <row r="12" spans="1:14" ht="78.75" x14ac:dyDescent="0.25">
      <c r="A12" s="115" t="s">
        <v>401</v>
      </c>
      <c r="B12" s="117" t="s">
        <v>209</v>
      </c>
      <c r="C12" s="117" t="s">
        <v>774</v>
      </c>
      <c r="D12" s="117" t="s">
        <v>55</v>
      </c>
      <c r="E12" s="117" t="s">
        <v>84</v>
      </c>
      <c r="F12" s="117" t="s">
        <v>776</v>
      </c>
      <c r="G12" s="117" t="s">
        <v>377</v>
      </c>
      <c r="H12" s="117" t="s">
        <v>717</v>
      </c>
      <c r="I12" s="117" t="s">
        <v>352</v>
      </c>
      <c r="J12" s="117" t="s">
        <v>329</v>
      </c>
      <c r="K12" s="117" t="s">
        <v>369</v>
      </c>
      <c r="L12" s="117" t="s">
        <v>712</v>
      </c>
      <c r="M12" s="117" t="s">
        <v>786</v>
      </c>
    </row>
    <row r="13" spans="1:14" ht="63" x14ac:dyDescent="0.25">
      <c r="A13" s="115" t="s">
        <v>402</v>
      </c>
      <c r="B13" s="117" t="s">
        <v>210</v>
      </c>
      <c r="C13" s="117" t="s">
        <v>775</v>
      </c>
      <c r="D13" s="117" t="s">
        <v>56</v>
      </c>
      <c r="E13" s="117" t="s">
        <v>85</v>
      </c>
      <c r="F13" s="117" t="s">
        <v>777</v>
      </c>
      <c r="G13" s="117" t="s">
        <v>734</v>
      </c>
      <c r="H13" s="117" t="s">
        <v>718</v>
      </c>
      <c r="I13" s="117" t="s">
        <v>353</v>
      </c>
      <c r="J13" s="117" t="s">
        <v>330</v>
      </c>
      <c r="K13" s="117" t="s">
        <v>370</v>
      </c>
      <c r="L13" s="117" t="s">
        <v>76</v>
      </c>
      <c r="M13" s="117" t="s">
        <v>782</v>
      </c>
    </row>
    <row r="14" spans="1:14" ht="78.75" x14ac:dyDescent="0.25">
      <c r="A14" s="115" t="s">
        <v>403</v>
      </c>
      <c r="B14" s="117" t="s">
        <v>211</v>
      </c>
      <c r="C14" s="117" t="s">
        <v>355</v>
      </c>
      <c r="D14" s="117" t="s">
        <v>57</v>
      </c>
      <c r="E14" s="117" t="s">
        <v>86</v>
      </c>
      <c r="F14" s="117" t="s">
        <v>778</v>
      </c>
      <c r="G14" s="117"/>
      <c r="H14" s="117" t="s">
        <v>719</v>
      </c>
      <c r="I14" s="117" t="s">
        <v>779</v>
      </c>
      <c r="J14" s="117" t="s">
        <v>694</v>
      </c>
      <c r="K14" s="117" t="s">
        <v>371</v>
      </c>
      <c r="L14" s="117" t="s">
        <v>77</v>
      </c>
      <c r="M14" s="117" t="s">
        <v>179</v>
      </c>
    </row>
    <row r="15" spans="1:14" ht="78.75" x14ac:dyDescent="0.25">
      <c r="A15" s="115" t="s">
        <v>404</v>
      </c>
      <c r="B15" s="117" t="s">
        <v>212</v>
      </c>
      <c r="C15" s="117" t="s">
        <v>356</v>
      </c>
      <c r="D15" s="117" t="s">
        <v>58</v>
      </c>
      <c r="E15" s="117" t="s">
        <v>726</v>
      </c>
      <c r="F15" s="117"/>
      <c r="G15" s="117"/>
      <c r="H15" s="117"/>
      <c r="I15" s="117" t="s">
        <v>354</v>
      </c>
      <c r="J15" s="117" t="s">
        <v>695</v>
      </c>
      <c r="K15" s="117" t="s">
        <v>372</v>
      </c>
      <c r="L15" s="117" t="s">
        <v>713</v>
      </c>
      <c r="M15" s="117" t="s">
        <v>180</v>
      </c>
    </row>
    <row r="16" spans="1:14" ht="78.75" x14ac:dyDescent="0.25">
      <c r="A16" s="115" t="s">
        <v>405</v>
      </c>
      <c r="B16" s="117" t="s">
        <v>213</v>
      </c>
      <c r="C16" s="117" t="s">
        <v>357</v>
      </c>
      <c r="D16" s="117" t="s">
        <v>171</v>
      </c>
      <c r="E16" s="117" t="s">
        <v>436</v>
      </c>
      <c r="F16" s="117"/>
      <c r="G16" s="117"/>
      <c r="H16" s="117"/>
      <c r="I16" s="117" t="s">
        <v>780</v>
      </c>
      <c r="J16" s="117" t="s">
        <v>696</v>
      </c>
      <c r="K16" s="117" t="s">
        <v>704</v>
      </c>
      <c r="L16" s="117" t="s">
        <v>78</v>
      </c>
      <c r="M16" s="117"/>
    </row>
    <row r="17" spans="1:13" ht="94.5" x14ac:dyDescent="0.25">
      <c r="A17" s="115" t="s">
        <v>406</v>
      </c>
      <c r="B17" s="117" t="s">
        <v>214</v>
      </c>
      <c r="C17" s="117" t="s">
        <v>358</v>
      </c>
      <c r="D17" s="117" t="s">
        <v>59</v>
      </c>
      <c r="E17" s="117" t="s">
        <v>727</v>
      </c>
      <c r="F17" s="117"/>
      <c r="G17" s="117"/>
      <c r="H17" s="117"/>
      <c r="I17" s="117"/>
      <c r="J17" s="117" t="s">
        <v>697</v>
      </c>
      <c r="K17" s="117" t="s">
        <v>705</v>
      </c>
      <c r="L17" s="117" t="s">
        <v>79</v>
      </c>
      <c r="M17" s="117"/>
    </row>
    <row r="18" spans="1:13" ht="63" x14ac:dyDescent="0.25">
      <c r="A18" s="115" t="s">
        <v>407</v>
      </c>
      <c r="B18" s="117" t="s">
        <v>215</v>
      </c>
      <c r="C18" s="117" t="s">
        <v>359</v>
      </c>
      <c r="D18" s="117" t="s">
        <v>60</v>
      </c>
      <c r="E18" s="117" t="s">
        <v>720</v>
      </c>
      <c r="F18" s="117"/>
      <c r="G18" s="117"/>
      <c r="H18" s="117"/>
      <c r="I18" s="117"/>
      <c r="J18" s="117" t="s">
        <v>698</v>
      </c>
      <c r="K18" s="117" t="s">
        <v>706</v>
      </c>
      <c r="L18" s="117" t="s">
        <v>345</v>
      </c>
      <c r="M18" s="117"/>
    </row>
    <row r="19" spans="1:13" ht="78.75" x14ac:dyDescent="0.25">
      <c r="A19" s="115" t="s">
        <v>408</v>
      </c>
      <c r="B19" s="117"/>
      <c r="C19" s="117" t="s">
        <v>360</v>
      </c>
      <c r="D19" s="117" t="s">
        <v>61</v>
      </c>
      <c r="E19" s="117"/>
      <c r="F19" s="117"/>
      <c r="G19" s="117"/>
      <c r="H19" s="117"/>
      <c r="I19" s="117"/>
      <c r="J19" s="117" t="s">
        <v>699</v>
      </c>
      <c r="K19" s="117" t="s">
        <v>707</v>
      </c>
      <c r="L19" s="117" t="s">
        <v>346</v>
      </c>
      <c r="M19" s="117"/>
    </row>
    <row r="20" spans="1:13" ht="78.75" x14ac:dyDescent="0.25">
      <c r="A20" s="115" t="s">
        <v>409</v>
      </c>
      <c r="B20" s="117"/>
      <c r="C20" s="117" t="s">
        <v>361</v>
      </c>
      <c r="D20" s="117"/>
      <c r="E20" s="117"/>
      <c r="F20" s="117"/>
      <c r="G20" s="117"/>
      <c r="H20" s="117"/>
      <c r="I20" s="117"/>
      <c r="J20" s="117" t="s">
        <v>700</v>
      </c>
      <c r="K20" s="117" t="s">
        <v>708</v>
      </c>
      <c r="L20" s="117" t="s">
        <v>347</v>
      </c>
      <c r="M20" s="117"/>
    </row>
    <row r="21" spans="1:13" ht="94.5" x14ac:dyDescent="0.25">
      <c r="A21" s="115" t="s">
        <v>410</v>
      </c>
      <c r="B21" s="117"/>
      <c r="C21" s="117" t="s">
        <v>362</v>
      </c>
      <c r="D21" s="117"/>
      <c r="E21" s="117"/>
      <c r="F21" s="117"/>
      <c r="G21" s="117"/>
      <c r="H21" s="117"/>
      <c r="I21" s="117"/>
      <c r="J21" s="117" t="s">
        <v>701</v>
      </c>
      <c r="K21" s="117" t="s">
        <v>371</v>
      </c>
      <c r="L21" s="117" t="s">
        <v>348</v>
      </c>
      <c r="M21" s="117"/>
    </row>
    <row r="22" spans="1:13" ht="94.5" x14ac:dyDescent="0.25">
      <c r="A22" s="115" t="s">
        <v>411</v>
      </c>
      <c r="B22" s="117"/>
      <c r="C22" s="117" t="s">
        <v>363</v>
      </c>
      <c r="D22" s="117"/>
      <c r="E22" s="117"/>
      <c r="F22" s="117"/>
      <c r="G22" s="117"/>
      <c r="H22" s="117"/>
      <c r="I22" s="117"/>
      <c r="J22" s="117" t="s">
        <v>702</v>
      </c>
      <c r="K22" s="117" t="s">
        <v>372</v>
      </c>
      <c r="L22" s="117" t="s">
        <v>349</v>
      </c>
      <c r="M22" s="117"/>
    </row>
    <row r="23" spans="1:13" ht="94.5" x14ac:dyDescent="0.25">
      <c r="A23" s="115" t="s">
        <v>412</v>
      </c>
      <c r="B23" s="117"/>
      <c r="C23" s="117" t="s">
        <v>728</v>
      </c>
      <c r="D23" s="117"/>
      <c r="E23" s="117"/>
      <c r="F23" s="117"/>
      <c r="G23" s="117"/>
      <c r="H23" s="117"/>
      <c r="I23" s="117"/>
      <c r="J23" s="117" t="s">
        <v>703</v>
      </c>
      <c r="K23" s="117"/>
      <c r="L23" s="117" t="s">
        <v>349</v>
      </c>
      <c r="M23" s="117"/>
    </row>
    <row r="24" spans="1:13" ht="63" x14ac:dyDescent="0.25">
      <c r="A24" s="115" t="s">
        <v>671</v>
      </c>
      <c r="B24" s="117"/>
      <c r="C24" s="117" t="s">
        <v>729</v>
      </c>
      <c r="D24" s="117"/>
      <c r="E24" s="117"/>
      <c r="F24" s="117"/>
      <c r="G24" s="117"/>
      <c r="H24" s="117"/>
      <c r="I24" s="117"/>
      <c r="J24" s="117" t="s">
        <v>698</v>
      </c>
      <c r="K24" s="117"/>
      <c r="L24" s="117"/>
      <c r="M24" s="117"/>
    </row>
    <row r="25" spans="1:13" ht="63" x14ac:dyDescent="0.25">
      <c r="A25" s="115" t="s">
        <v>672</v>
      </c>
      <c r="B25" s="117"/>
      <c r="C25" s="117"/>
      <c r="D25" s="117"/>
      <c r="E25" s="117"/>
      <c r="F25" s="117"/>
      <c r="G25" s="117"/>
      <c r="H25" s="117"/>
      <c r="I25" s="117"/>
      <c r="J25" s="117" t="s">
        <v>699</v>
      </c>
      <c r="K25" s="117"/>
      <c r="L25" s="117"/>
      <c r="M25" s="117"/>
    </row>
  </sheetData>
  <phoneticPr fontId="4" type="noConversion"/>
  <pageMargins left="0.7" right="0.7" top="0.78740157499999996" bottom="0.78740157499999996" header="0.3" footer="0.3"/>
  <pageSetup paperSize="9" scale="2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AA43"/>
  <sheetViews>
    <sheetView zoomScale="63" workbookViewId="0">
      <selection activeCell="G13" sqref="G13"/>
    </sheetView>
  </sheetViews>
  <sheetFormatPr baseColWidth="10" defaultColWidth="11.25" defaultRowHeight="15.75" x14ac:dyDescent="0.25"/>
  <cols>
    <col min="1" max="1" width="11.25" style="38"/>
    <col min="2" max="3" width="15.75" style="40" customWidth="1"/>
    <col min="4" max="13" width="15.75" style="38" customWidth="1"/>
    <col min="14" max="14" width="15.75" style="39" customWidth="1"/>
    <col min="15" max="23" width="15.75" style="38" customWidth="1"/>
    <col min="24" max="24" width="11.25" style="38"/>
    <col min="25" max="26" width="11" customWidth="1"/>
    <col min="27" max="16384" width="11.25" style="39"/>
  </cols>
  <sheetData>
    <row r="1" spans="1:27" s="65" customFormat="1" ht="32.25" thickBot="1" x14ac:dyDescent="0.3">
      <c r="A1" s="96"/>
      <c r="B1" s="106" t="s">
        <v>449</v>
      </c>
      <c r="C1" s="107" t="s">
        <v>620</v>
      </c>
      <c r="D1" s="108" t="s">
        <v>619</v>
      </c>
      <c r="E1" s="96" t="s">
        <v>339</v>
      </c>
      <c r="F1" s="98" t="s">
        <v>558</v>
      </c>
      <c r="G1" s="97" t="s">
        <v>341</v>
      </c>
      <c r="H1" s="96" t="s">
        <v>340</v>
      </c>
      <c r="I1" s="98" t="s">
        <v>450</v>
      </c>
      <c r="J1" s="98" t="s">
        <v>342</v>
      </c>
      <c r="K1" s="106" t="s">
        <v>496</v>
      </c>
      <c r="L1" s="107" t="s">
        <v>343</v>
      </c>
      <c r="M1" s="107" t="s">
        <v>344</v>
      </c>
      <c r="N1" s="96" t="s">
        <v>503</v>
      </c>
      <c r="O1" s="98" t="s">
        <v>451</v>
      </c>
      <c r="P1" s="97" t="s">
        <v>452</v>
      </c>
      <c r="Q1" s="98" t="s">
        <v>453</v>
      </c>
      <c r="R1" s="98" t="s">
        <v>454</v>
      </c>
      <c r="S1" s="98" t="s">
        <v>470</v>
      </c>
      <c r="T1" s="97" t="s">
        <v>467</v>
      </c>
      <c r="U1" s="96" t="s">
        <v>474</v>
      </c>
      <c r="V1" s="98" t="s">
        <v>475</v>
      </c>
      <c r="W1" s="97" t="s">
        <v>476</v>
      </c>
      <c r="X1" s="114"/>
    </row>
    <row r="2" spans="1:27" ht="87.6" customHeight="1" x14ac:dyDescent="0.25">
      <c r="A2" s="111" t="s">
        <v>389</v>
      </c>
      <c r="B2" s="104" t="s">
        <v>385</v>
      </c>
      <c r="C2" s="109" t="s">
        <v>608</v>
      </c>
      <c r="D2" s="105" t="s">
        <v>618</v>
      </c>
      <c r="E2" s="38" t="s">
        <v>394</v>
      </c>
      <c r="F2" s="38" t="s">
        <v>559</v>
      </c>
      <c r="G2" s="90" t="s">
        <v>421</v>
      </c>
      <c r="H2" s="110" t="s">
        <v>415</v>
      </c>
      <c r="I2" s="109" t="s">
        <v>422</v>
      </c>
      <c r="J2" s="109" t="s">
        <v>41</v>
      </c>
      <c r="K2" s="110" t="s">
        <v>497</v>
      </c>
      <c r="L2" s="109" t="s">
        <v>443</v>
      </c>
      <c r="M2" s="105" t="s">
        <v>43</v>
      </c>
      <c r="N2" s="38" t="s">
        <v>664</v>
      </c>
      <c r="O2" s="38" t="s">
        <v>40</v>
      </c>
      <c r="P2" s="90" t="s">
        <v>197</v>
      </c>
      <c r="Q2" s="110" t="s">
        <v>44</v>
      </c>
      <c r="R2" s="109" t="s">
        <v>45</v>
      </c>
      <c r="S2" s="109" t="s">
        <v>663</v>
      </c>
      <c r="T2" s="105" t="s">
        <v>468</v>
      </c>
      <c r="U2" s="91" t="s">
        <v>204</v>
      </c>
      <c r="V2" s="38" t="s">
        <v>47</v>
      </c>
      <c r="W2" s="90" t="s">
        <v>637</v>
      </c>
      <c r="X2" s="111" t="s">
        <v>689</v>
      </c>
      <c r="Z2" s="1" t="s">
        <v>313</v>
      </c>
      <c r="AA2" s="1" t="s">
        <v>760</v>
      </c>
    </row>
    <row r="3" spans="1:27" ht="88.9" customHeight="1" x14ac:dyDescent="0.25">
      <c r="A3" s="112" t="s">
        <v>390</v>
      </c>
      <c r="B3" s="89" t="s">
        <v>386</v>
      </c>
      <c r="C3" s="38" t="s">
        <v>609</v>
      </c>
      <c r="D3" s="90" t="s">
        <v>617</v>
      </c>
      <c r="E3" s="38" t="s">
        <v>320</v>
      </c>
      <c r="F3" s="38" t="s">
        <v>560</v>
      </c>
      <c r="G3" s="90" t="s">
        <v>38</v>
      </c>
      <c r="H3" s="91" t="s">
        <v>416</v>
      </c>
      <c r="I3" s="38" t="s">
        <v>604</v>
      </c>
      <c r="J3" s="38" t="s">
        <v>91</v>
      </c>
      <c r="K3" s="91" t="s">
        <v>498</v>
      </c>
      <c r="L3" s="38" t="s">
        <v>444</v>
      </c>
      <c r="M3" s="90" t="s">
        <v>105</v>
      </c>
      <c r="N3" s="38" t="s">
        <v>665</v>
      </c>
      <c r="O3" s="38" t="s">
        <v>429</v>
      </c>
      <c r="P3" s="90" t="s">
        <v>441</v>
      </c>
      <c r="Q3" s="91" t="s">
        <v>199</v>
      </c>
      <c r="R3" s="38" t="s">
        <v>116</v>
      </c>
      <c r="S3" s="38" t="s">
        <v>471</v>
      </c>
      <c r="T3" s="90" t="s">
        <v>469</v>
      </c>
      <c r="U3" s="91" t="s">
        <v>205</v>
      </c>
      <c r="V3" s="38" t="s">
        <v>477</v>
      </c>
      <c r="W3" s="90" t="s">
        <v>638</v>
      </c>
      <c r="X3" s="112" t="s">
        <v>690</v>
      </c>
      <c r="Z3" s="1" t="s">
        <v>28</v>
      </c>
      <c r="AA3" s="1" t="s">
        <v>761</v>
      </c>
    </row>
    <row r="4" spans="1:27" ht="109.9" customHeight="1" x14ac:dyDescent="0.25">
      <c r="A4" s="112" t="s">
        <v>391</v>
      </c>
      <c r="B4" s="91" t="s">
        <v>387</v>
      </c>
      <c r="C4" s="38" t="s">
        <v>414</v>
      </c>
      <c r="D4" s="90" t="s">
        <v>616</v>
      </c>
      <c r="E4" s="38" t="s">
        <v>321</v>
      </c>
      <c r="F4" s="38" t="s">
        <v>561</v>
      </c>
      <c r="G4" s="90" t="s">
        <v>194</v>
      </c>
      <c r="H4" s="91" t="s">
        <v>417</v>
      </c>
      <c r="I4" s="38" t="s">
        <v>423</v>
      </c>
      <c r="J4" s="38" t="s">
        <v>434</v>
      </c>
      <c r="K4" s="91" t="s">
        <v>788</v>
      </c>
      <c r="L4" s="38" t="s">
        <v>42</v>
      </c>
      <c r="M4" s="90" t="s">
        <v>458</v>
      </c>
      <c r="N4" s="38" t="s">
        <v>506</v>
      </c>
      <c r="O4" s="38" t="s">
        <v>182</v>
      </c>
      <c r="P4" s="90" t="s">
        <v>198</v>
      </c>
      <c r="Q4" s="91" t="s">
        <v>445</v>
      </c>
      <c r="R4" s="38" t="s">
        <v>334</v>
      </c>
      <c r="S4" s="38" t="s">
        <v>472</v>
      </c>
      <c r="T4" s="90" t="s">
        <v>473</v>
      </c>
      <c r="U4" s="91" t="s">
        <v>646</v>
      </c>
      <c r="W4" s="90" t="s">
        <v>639</v>
      </c>
      <c r="X4" s="112" t="s">
        <v>691</v>
      </c>
      <c r="Z4" s="1" t="s">
        <v>29</v>
      </c>
      <c r="AA4" s="1" t="s">
        <v>744</v>
      </c>
    </row>
    <row r="5" spans="1:27" ht="108" customHeight="1" x14ac:dyDescent="0.25">
      <c r="A5" s="112" t="s">
        <v>392</v>
      </c>
      <c r="B5" s="91" t="s">
        <v>388</v>
      </c>
      <c r="C5" s="38" t="s">
        <v>621</v>
      </c>
      <c r="D5" s="90" t="s">
        <v>622</v>
      </c>
      <c r="E5" s="38" t="s">
        <v>396</v>
      </c>
      <c r="F5" s="38" t="s">
        <v>563</v>
      </c>
      <c r="G5" s="90" t="s">
        <v>62</v>
      </c>
      <c r="H5" s="91" t="s">
        <v>428</v>
      </c>
      <c r="I5" s="38" t="s">
        <v>39</v>
      </c>
      <c r="J5" s="38" t="s">
        <v>92</v>
      </c>
      <c r="K5" s="91" t="s">
        <v>499</v>
      </c>
      <c r="L5" s="38" t="s">
        <v>187</v>
      </c>
      <c r="M5" s="90" t="s">
        <v>106</v>
      </c>
      <c r="N5" s="38" t="s">
        <v>507</v>
      </c>
      <c r="O5" s="38" t="s">
        <v>430</v>
      </c>
      <c r="P5" s="90" t="s">
        <v>662</v>
      </c>
      <c r="Q5" s="91" t="s">
        <v>446</v>
      </c>
      <c r="R5" s="38" t="s">
        <v>335</v>
      </c>
      <c r="S5" s="38" t="s">
        <v>808</v>
      </c>
      <c r="T5" s="90" t="s">
        <v>649</v>
      </c>
      <c r="U5" s="91" t="s">
        <v>647</v>
      </c>
      <c r="W5" s="90" t="s">
        <v>640</v>
      </c>
      <c r="X5" s="112" t="s">
        <v>692</v>
      </c>
      <c r="Z5" s="1" t="s">
        <v>26</v>
      </c>
      <c r="AA5" s="1" t="s">
        <v>759</v>
      </c>
    </row>
    <row r="6" spans="1:27" ht="95.45" customHeight="1" x14ac:dyDescent="0.25">
      <c r="A6" s="112" t="s">
        <v>393</v>
      </c>
      <c r="B6" s="89" t="s">
        <v>36</v>
      </c>
      <c r="C6" s="38" t="s">
        <v>613</v>
      </c>
      <c r="D6" s="90" t="s">
        <v>614</v>
      </c>
      <c r="E6" s="38" t="s">
        <v>395</v>
      </c>
      <c r="F6" s="38" t="s">
        <v>562</v>
      </c>
      <c r="G6" s="90" t="s">
        <v>420</v>
      </c>
      <c r="H6" s="91" t="s">
        <v>427</v>
      </c>
      <c r="I6" s="38" t="s">
        <v>425</v>
      </c>
      <c r="J6" s="38" t="s">
        <v>440</v>
      </c>
      <c r="K6" s="91" t="s">
        <v>500</v>
      </c>
      <c r="L6" s="38" t="s">
        <v>188</v>
      </c>
      <c r="M6" s="90" t="s">
        <v>107</v>
      </c>
      <c r="N6" s="38" t="s">
        <v>508</v>
      </c>
      <c r="O6" s="38" t="s">
        <v>431</v>
      </c>
      <c r="P6" s="90" t="s">
        <v>442</v>
      </c>
      <c r="Q6" s="91" t="s">
        <v>447</v>
      </c>
      <c r="R6" s="38" t="s">
        <v>455</v>
      </c>
      <c r="S6" s="38" t="s">
        <v>809</v>
      </c>
      <c r="T6" s="90" t="s">
        <v>649</v>
      </c>
      <c r="U6" s="91"/>
      <c r="W6" s="90"/>
      <c r="X6" s="112" t="s">
        <v>693</v>
      </c>
      <c r="Z6" s="1" t="s">
        <v>232</v>
      </c>
      <c r="AA6" s="1" t="s">
        <v>762</v>
      </c>
    </row>
    <row r="7" spans="1:27" ht="105.6" customHeight="1" thickBot="1" x14ac:dyDescent="0.3">
      <c r="A7" s="113" t="s">
        <v>426</v>
      </c>
      <c r="B7" s="92" t="s">
        <v>109</v>
      </c>
      <c r="C7" s="95" t="s">
        <v>612</v>
      </c>
      <c r="D7" s="93" t="s">
        <v>615</v>
      </c>
      <c r="E7" s="95" t="s">
        <v>419</v>
      </c>
      <c r="F7" s="95" t="s">
        <v>564</v>
      </c>
      <c r="G7" s="93" t="s">
        <v>64</v>
      </c>
      <c r="H7" s="94" t="s">
        <v>418</v>
      </c>
      <c r="I7" s="95" t="s">
        <v>424</v>
      </c>
      <c r="J7" s="95" t="s">
        <v>433</v>
      </c>
      <c r="K7" s="94" t="s">
        <v>501</v>
      </c>
      <c r="L7" s="95" t="s">
        <v>189</v>
      </c>
      <c r="M7" s="93" t="s">
        <v>459</v>
      </c>
      <c r="N7" s="95" t="s">
        <v>509</v>
      </c>
      <c r="O7" s="95" t="s">
        <v>432</v>
      </c>
      <c r="P7" s="93" t="s">
        <v>206</v>
      </c>
      <c r="Q7" s="94" t="s">
        <v>448</v>
      </c>
      <c r="R7" s="95" t="s">
        <v>456</v>
      </c>
      <c r="S7" s="95" t="s">
        <v>810</v>
      </c>
      <c r="T7" s="93" t="s">
        <v>649</v>
      </c>
      <c r="U7" s="94"/>
      <c r="V7" s="95"/>
      <c r="W7" s="93"/>
      <c r="X7" s="113"/>
      <c r="Z7" s="1" t="s">
        <v>233</v>
      </c>
      <c r="AA7" s="1" t="s">
        <v>763</v>
      </c>
    </row>
    <row r="8" spans="1:27" ht="75.599999999999994" customHeight="1" x14ac:dyDescent="0.25">
      <c r="A8" s="38" t="s">
        <v>397</v>
      </c>
      <c r="B8" s="40" t="s">
        <v>110</v>
      </c>
      <c r="C8" s="38" t="s">
        <v>611</v>
      </c>
      <c r="D8" s="38" t="s">
        <v>414</v>
      </c>
      <c r="E8" s="38" t="s">
        <v>84</v>
      </c>
      <c r="F8" s="38" t="s">
        <v>373</v>
      </c>
      <c r="G8" s="38" t="s">
        <v>63</v>
      </c>
      <c r="H8" s="38" t="s">
        <v>87</v>
      </c>
      <c r="I8" s="38" t="s">
        <v>195</v>
      </c>
      <c r="J8" s="38" t="s">
        <v>787</v>
      </c>
      <c r="K8" s="38" t="s">
        <v>502</v>
      </c>
      <c r="L8" s="38" t="s">
        <v>190</v>
      </c>
      <c r="M8" s="38" t="s">
        <v>43</v>
      </c>
      <c r="N8" s="38" t="s">
        <v>739</v>
      </c>
      <c r="O8" s="38" t="s">
        <v>289</v>
      </c>
      <c r="P8" s="38" t="s">
        <v>197</v>
      </c>
      <c r="Q8" s="38" t="s">
        <v>44</v>
      </c>
      <c r="R8" s="38" t="s">
        <v>806</v>
      </c>
      <c r="S8" s="109" t="s">
        <v>663</v>
      </c>
      <c r="U8" s="38" t="s">
        <v>204</v>
      </c>
      <c r="V8" s="38" t="s">
        <v>47</v>
      </c>
      <c r="W8" s="38" t="s">
        <v>291</v>
      </c>
      <c r="Z8" s="1" t="s">
        <v>755</v>
      </c>
      <c r="AA8" s="1" t="s">
        <v>764</v>
      </c>
    </row>
    <row r="9" spans="1:27" ht="63" x14ac:dyDescent="0.25">
      <c r="A9" s="38" t="s">
        <v>398</v>
      </c>
      <c r="B9" s="40" t="s">
        <v>111</v>
      </c>
      <c r="C9" s="38" t="s">
        <v>125</v>
      </c>
      <c r="D9" s="38" t="s">
        <v>610</v>
      </c>
      <c r="E9" s="38" t="s">
        <v>85</v>
      </c>
      <c r="F9" s="38" t="s">
        <v>374</v>
      </c>
      <c r="G9" s="38" t="s">
        <v>686</v>
      </c>
      <c r="H9" s="38" t="s">
        <v>88</v>
      </c>
      <c r="I9" s="38" t="s">
        <v>331</v>
      </c>
      <c r="J9" s="38" t="s">
        <v>93</v>
      </c>
      <c r="K9" s="38" t="s">
        <v>736</v>
      </c>
      <c r="L9" s="38" t="s">
        <v>191</v>
      </c>
      <c r="M9" s="38" t="s">
        <v>105</v>
      </c>
      <c r="N9" s="38"/>
      <c r="O9" s="38" t="s">
        <v>290</v>
      </c>
      <c r="P9" s="38" t="s">
        <v>198</v>
      </c>
      <c r="Q9" s="38" t="s">
        <v>199</v>
      </c>
      <c r="R9" s="38" t="s">
        <v>807</v>
      </c>
      <c r="S9" s="38" t="s">
        <v>471</v>
      </c>
      <c r="U9" s="38" t="s">
        <v>205</v>
      </c>
      <c r="V9" s="38" t="s">
        <v>201</v>
      </c>
      <c r="W9" s="38" t="s">
        <v>292</v>
      </c>
      <c r="Z9" s="1" t="s">
        <v>756</v>
      </c>
    </row>
    <row r="10" spans="1:27" ht="78.75" x14ac:dyDescent="0.25">
      <c r="A10" s="38" t="s">
        <v>399</v>
      </c>
      <c r="B10" s="40" t="s">
        <v>112</v>
      </c>
      <c r="C10" s="38" t="s">
        <v>117</v>
      </c>
      <c r="D10" s="38" t="s">
        <v>611</v>
      </c>
      <c r="E10" s="38" t="s">
        <v>86</v>
      </c>
      <c r="F10" s="38" t="s">
        <v>375</v>
      </c>
      <c r="G10" s="38" t="s">
        <v>687</v>
      </c>
      <c r="H10" s="38" t="s">
        <v>89</v>
      </c>
      <c r="I10" s="38" t="s">
        <v>196</v>
      </c>
      <c r="J10" s="38" t="s">
        <v>94</v>
      </c>
      <c r="K10" s="38" t="s">
        <v>737</v>
      </c>
      <c r="L10" s="38" t="s">
        <v>192</v>
      </c>
      <c r="M10" s="38" t="s">
        <v>458</v>
      </c>
      <c r="N10" s="38"/>
      <c r="O10" s="38" t="s">
        <v>183</v>
      </c>
      <c r="P10" s="38" t="s">
        <v>206</v>
      </c>
      <c r="Q10" s="38" t="s">
        <v>200</v>
      </c>
      <c r="R10" s="38" t="s">
        <v>457</v>
      </c>
      <c r="S10" s="38" t="s">
        <v>472</v>
      </c>
      <c r="V10" s="38" t="s">
        <v>202</v>
      </c>
      <c r="W10" s="38" t="s">
        <v>293</v>
      </c>
      <c r="Z10" s="1" t="s">
        <v>757</v>
      </c>
    </row>
    <row r="11" spans="1:27" ht="81.75" customHeight="1" x14ac:dyDescent="0.25">
      <c r="A11" s="38" t="s">
        <v>400</v>
      </c>
      <c r="B11" s="40" t="s">
        <v>113</v>
      </c>
      <c r="C11" s="38" t="s">
        <v>126</v>
      </c>
      <c r="D11" s="38" t="s">
        <v>125</v>
      </c>
      <c r="E11" s="38" t="s">
        <v>436</v>
      </c>
      <c r="F11" s="38" t="s">
        <v>376</v>
      </c>
      <c r="G11" s="38" t="s">
        <v>73</v>
      </c>
      <c r="H11" s="38" t="s">
        <v>90</v>
      </c>
      <c r="I11" s="38" t="s">
        <v>664</v>
      </c>
      <c r="J11" s="38" t="s">
        <v>95</v>
      </c>
      <c r="K11" s="38" t="s">
        <v>738</v>
      </c>
      <c r="L11" s="38" t="s">
        <v>193</v>
      </c>
      <c r="M11" s="38" t="s">
        <v>106</v>
      </c>
      <c r="N11" s="38"/>
      <c r="O11" s="38" t="s">
        <v>184</v>
      </c>
      <c r="P11" s="38" t="s">
        <v>804</v>
      </c>
      <c r="Q11" s="38" t="s">
        <v>336</v>
      </c>
      <c r="S11" s="38" t="s">
        <v>808</v>
      </c>
      <c r="V11" s="38" t="s">
        <v>203</v>
      </c>
      <c r="W11" s="38" t="s">
        <v>294</v>
      </c>
      <c r="Z11" s="1" t="s">
        <v>17</v>
      </c>
    </row>
    <row r="12" spans="1:27" ht="83.25" customHeight="1" x14ac:dyDescent="0.25">
      <c r="A12" s="38" t="s">
        <v>401</v>
      </c>
      <c r="B12" s="40" t="s">
        <v>114</v>
      </c>
      <c r="C12" s="38" t="s">
        <v>118</v>
      </c>
      <c r="D12" s="38" t="s">
        <v>124</v>
      </c>
      <c r="E12" s="38" t="s">
        <v>438</v>
      </c>
      <c r="F12" s="38" t="s">
        <v>733</v>
      </c>
      <c r="G12" s="38" t="s">
        <v>685</v>
      </c>
      <c r="I12" s="38" t="s">
        <v>665</v>
      </c>
      <c r="J12" s="38" t="s">
        <v>96</v>
      </c>
      <c r="L12" s="38" t="s">
        <v>332</v>
      </c>
      <c r="M12" s="38" t="s">
        <v>107</v>
      </c>
      <c r="N12" s="38"/>
      <c r="O12" s="38" t="s">
        <v>185</v>
      </c>
      <c r="P12" s="38" t="s">
        <v>803</v>
      </c>
      <c r="S12" s="38" t="s">
        <v>809</v>
      </c>
      <c r="W12" s="38" t="s">
        <v>365</v>
      </c>
      <c r="Z12" s="1" t="s">
        <v>753</v>
      </c>
    </row>
    <row r="13" spans="1:27" ht="113.25" customHeight="1" thickBot="1" x14ac:dyDescent="0.3">
      <c r="A13" s="38" t="s">
        <v>402</v>
      </c>
      <c r="B13" s="40" t="s">
        <v>115</v>
      </c>
      <c r="C13" s="38" t="s">
        <v>127</v>
      </c>
      <c r="D13" s="38" t="s">
        <v>117</v>
      </c>
      <c r="E13" s="38" t="s">
        <v>437</v>
      </c>
      <c r="F13" s="38" t="s">
        <v>377</v>
      </c>
      <c r="G13" s="38" t="s">
        <v>74</v>
      </c>
      <c r="I13" s="38" t="s">
        <v>506</v>
      </c>
      <c r="J13" s="38" t="s">
        <v>97</v>
      </c>
      <c r="L13" s="38" t="s">
        <v>333</v>
      </c>
      <c r="M13" s="38" t="s">
        <v>459</v>
      </c>
      <c r="N13" s="38"/>
      <c r="O13" s="38" t="s">
        <v>186</v>
      </c>
      <c r="P13" s="38" t="s">
        <v>805</v>
      </c>
      <c r="S13" s="95" t="s">
        <v>810</v>
      </c>
      <c r="W13" s="38" t="s">
        <v>366</v>
      </c>
      <c r="Z13" s="1" t="s">
        <v>655</v>
      </c>
    </row>
    <row r="14" spans="1:27" ht="63" x14ac:dyDescent="0.25">
      <c r="A14" s="38" t="s">
        <v>403</v>
      </c>
      <c r="B14" s="40" t="s">
        <v>790</v>
      </c>
      <c r="C14" s="38" t="s">
        <v>119</v>
      </c>
      <c r="D14" s="38" t="s">
        <v>126</v>
      </c>
      <c r="E14" s="38" t="s">
        <v>688</v>
      </c>
      <c r="F14" s="38" t="s">
        <v>734</v>
      </c>
      <c r="G14" s="38" t="s">
        <v>65</v>
      </c>
      <c r="I14" s="38" t="s">
        <v>507</v>
      </c>
      <c r="J14" s="38" t="s">
        <v>98</v>
      </c>
      <c r="L14" s="38" t="s">
        <v>497</v>
      </c>
      <c r="M14" s="38" t="s">
        <v>461</v>
      </c>
      <c r="N14" s="38"/>
      <c r="Z14" s="1" t="s">
        <v>743</v>
      </c>
    </row>
    <row r="15" spans="1:27" ht="63" x14ac:dyDescent="0.25">
      <c r="A15" s="38" t="s">
        <v>404</v>
      </c>
      <c r="B15" s="40" t="s">
        <v>791</v>
      </c>
      <c r="C15" s="38" t="s">
        <v>130</v>
      </c>
      <c r="D15" s="38" t="s">
        <v>118</v>
      </c>
      <c r="E15" s="38" t="s">
        <v>435</v>
      </c>
      <c r="F15" s="38" t="s">
        <v>735</v>
      </c>
      <c r="G15" s="38" t="s">
        <v>66</v>
      </c>
      <c r="I15" s="38" t="s">
        <v>508</v>
      </c>
      <c r="J15" s="38" t="s">
        <v>99</v>
      </c>
      <c r="L15" s="38" t="s">
        <v>498</v>
      </c>
      <c r="M15" s="38" t="s">
        <v>462</v>
      </c>
      <c r="N15" s="38"/>
      <c r="Z15" s="1" t="s">
        <v>754</v>
      </c>
    </row>
    <row r="16" spans="1:27" ht="63" x14ac:dyDescent="0.25">
      <c r="A16" s="38" t="s">
        <v>405</v>
      </c>
      <c r="B16" s="40" t="s">
        <v>792</v>
      </c>
      <c r="C16" s="38" t="s">
        <v>122</v>
      </c>
      <c r="D16" s="38" t="s">
        <v>127</v>
      </c>
      <c r="E16" s="38" t="s">
        <v>439</v>
      </c>
      <c r="F16" s="38" t="s">
        <v>40</v>
      </c>
      <c r="G16" s="38" t="s">
        <v>67</v>
      </c>
      <c r="I16" s="38" t="s">
        <v>509</v>
      </c>
      <c r="J16" s="38" t="s">
        <v>100</v>
      </c>
      <c r="L16" s="38" t="s">
        <v>788</v>
      </c>
      <c r="M16" s="38" t="s">
        <v>463</v>
      </c>
      <c r="N16" s="38"/>
      <c r="Z16" s="1" t="s">
        <v>740</v>
      </c>
    </row>
    <row r="17" spans="1:26" ht="47.25" x14ac:dyDescent="0.25">
      <c r="A17" s="38" t="s">
        <v>406</v>
      </c>
      <c r="B17" s="40" t="s">
        <v>793</v>
      </c>
      <c r="C17" s="38" t="s">
        <v>131</v>
      </c>
      <c r="D17" s="38" t="s">
        <v>119</v>
      </c>
      <c r="F17" s="38" t="s">
        <v>429</v>
      </c>
      <c r="G17" s="38" t="s">
        <v>68</v>
      </c>
      <c r="I17" s="38" t="s">
        <v>739</v>
      </c>
      <c r="J17" s="38" t="s">
        <v>101</v>
      </c>
      <c r="L17" s="38" t="s">
        <v>499</v>
      </c>
      <c r="M17" s="38" t="s">
        <v>108</v>
      </c>
      <c r="N17" s="38"/>
      <c r="Z17" s="1" t="s">
        <v>25</v>
      </c>
    </row>
    <row r="18" spans="1:26" ht="63" x14ac:dyDescent="0.25">
      <c r="A18" s="38" t="s">
        <v>407</v>
      </c>
      <c r="B18" s="40" t="s">
        <v>794</v>
      </c>
      <c r="C18" s="38" t="s">
        <v>123</v>
      </c>
      <c r="D18" s="38" t="s">
        <v>130</v>
      </c>
      <c r="F18" s="38" t="s">
        <v>182</v>
      </c>
      <c r="G18" s="38" t="s">
        <v>69</v>
      </c>
      <c r="J18" s="38" t="s">
        <v>102</v>
      </c>
      <c r="L18" s="38" t="s">
        <v>500</v>
      </c>
      <c r="M18" s="38" t="s">
        <v>460</v>
      </c>
      <c r="N18" s="38"/>
      <c r="Z18" s="1" t="s">
        <v>758</v>
      </c>
    </row>
    <row r="19" spans="1:26" ht="77.45" customHeight="1" x14ac:dyDescent="0.25">
      <c r="A19" s="38" t="s">
        <v>408</v>
      </c>
      <c r="B19" s="38"/>
      <c r="C19" s="38" t="s">
        <v>128</v>
      </c>
      <c r="D19" s="38" t="s">
        <v>122</v>
      </c>
      <c r="F19" s="38" t="s">
        <v>430</v>
      </c>
      <c r="J19" s="38" t="s">
        <v>103</v>
      </c>
      <c r="L19" s="38" t="s">
        <v>501</v>
      </c>
      <c r="M19" s="38" t="s">
        <v>464</v>
      </c>
      <c r="N19" s="38"/>
      <c r="Z19" s="1" t="s">
        <v>742</v>
      </c>
    </row>
    <row r="20" spans="1:26" ht="63" x14ac:dyDescent="0.25">
      <c r="A20" s="38" t="s">
        <v>409</v>
      </c>
      <c r="C20" s="38" t="s">
        <v>121</v>
      </c>
      <c r="D20" s="38" t="s">
        <v>131</v>
      </c>
      <c r="F20" s="38" t="s">
        <v>431</v>
      </c>
      <c r="J20" s="38" t="s">
        <v>104</v>
      </c>
      <c r="L20" s="38" t="s">
        <v>502</v>
      </c>
      <c r="M20" s="38" t="s">
        <v>465</v>
      </c>
      <c r="N20" s="38"/>
      <c r="Z20" s="1" t="s">
        <v>747</v>
      </c>
    </row>
    <row r="21" spans="1:26" ht="97.9" customHeight="1" x14ac:dyDescent="0.25">
      <c r="A21" s="38" t="s">
        <v>410</v>
      </c>
      <c r="C21" s="38" t="s">
        <v>129</v>
      </c>
      <c r="D21" s="38" t="s">
        <v>123</v>
      </c>
      <c r="F21" s="38" t="s">
        <v>432</v>
      </c>
      <c r="L21" s="38" t="s">
        <v>736</v>
      </c>
      <c r="M21" s="38" t="s">
        <v>466</v>
      </c>
      <c r="N21" s="38"/>
      <c r="Z21" s="1" t="s">
        <v>749</v>
      </c>
    </row>
    <row r="22" spans="1:26" ht="63" x14ac:dyDescent="0.25">
      <c r="A22" s="38" t="s">
        <v>411</v>
      </c>
      <c r="C22" s="38" t="s">
        <v>120</v>
      </c>
      <c r="D22" s="38" t="s">
        <v>128</v>
      </c>
      <c r="F22" s="38" t="s">
        <v>289</v>
      </c>
      <c r="L22" s="38" t="s">
        <v>737</v>
      </c>
      <c r="N22" s="38"/>
      <c r="Z22" s="1" t="s">
        <v>750</v>
      </c>
    </row>
    <row r="23" spans="1:26" ht="47.25" x14ac:dyDescent="0.25">
      <c r="A23" s="38" t="s">
        <v>412</v>
      </c>
      <c r="C23" s="40" t="s">
        <v>795</v>
      </c>
      <c r="D23" s="38" t="s">
        <v>121</v>
      </c>
      <c r="F23" s="38" t="s">
        <v>290</v>
      </c>
      <c r="L23" s="38" t="s">
        <v>738</v>
      </c>
      <c r="N23" s="38"/>
      <c r="Z23" s="1" t="s">
        <v>751</v>
      </c>
    </row>
    <row r="24" spans="1:26" ht="63" x14ac:dyDescent="0.25">
      <c r="A24" s="38" t="s">
        <v>671</v>
      </c>
      <c r="C24" s="40" t="s">
        <v>796</v>
      </c>
      <c r="D24" s="38" t="s">
        <v>129</v>
      </c>
      <c r="F24" s="38" t="s">
        <v>183</v>
      </c>
      <c r="N24" s="38"/>
      <c r="Z24" s="1" t="s">
        <v>752</v>
      </c>
    </row>
    <row r="25" spans="1:26" ht="63" x14ac:dyDescent="0.25">
      <c r="A25" s="38" t="s">
        <v>672</v>
      </c>
      <c r="C25" s="40" t="s">
        <v>798</v>
      </c>
      <c r="D25" s="38" t="s">
        <v>120</v>
      </c>
      <c r="F25" s="38" t="s">
        <v>184</v>
      </c>
      <c r="N25" s="38"/>
      <c r="Z25" s="1" t="s">
        <v>789</v>
      </c>
    </row>
    <row r="26" spans="1:26" ht="63.75" customHeight="1" x14ac:dyDescent="0.25">
      <c r="A26" s="38" t="s">
        <v>673</v>
      </c>
      <c r="C26" s="40" t="s">
        <v>799</v>
      </c>
      <c r="D26" s="38" t="s">
        <v>797</v>
      </c>
      <c r="F26" s="38" t="s">
        <v>185</v>
      </c>
      <c r="N26" s="38"/>
    </row>
    <row r="27" spans="1:26" ht="81.75" customHeight="1" x14ac:dyDescent="0.25">
      <c r="A27" s="38" t="s">
        <v>674</v>
      </c>
      <c r="C27" s="40" t="s">
        <v>801</v>
      </c>
      <c r="D27" s="40" t="s">
        <v>800</v>
      </c>
      <c r="F27" s="38" t="s">
        <v>186</v>
      </c>
      <c r="N27" s="38"/>
    </row>
    <row r="28" spans="1:26" ht="79.5" customHeight="1" x14ac:dyDescent="0.25">
      <c r="A28" s="38" t="s">
        <v>675</v>
      </c>
      <c r="C28" s="40" t="s">
        <v>802</v>
      </c>
      <c r="N28" s="38"/>
    </row>
    <row r="29" spans="1:26" x14ac:dyDescent="0.25">
      <c r="A29" s="38" t="s">
        <v>676</v>
      </c>
      <c r="N29" s="38"/>
    </row>
    <row r="30" spans="1:26" x14ac:dyDescent="0.25">
      <c r="A30" s="38" t="s">
        <v>677</v>
      </c>
      <c r="B30" s="38"/>
      <c r="C30" s="38"/>
      <c r="N30" s="38"/>
    </row>
    <row r="31" spans="1:26" x14ac:dyDescent="0.25">
      <c r="A31" s="38" t="s">
        <v>678</v>
      </c>
      <c r="N31" s="38"/>
    </row>
    <row r="32" spans="1:26" x14ac:dyDescent="0.25">
      <c r="A32" s="38" t="s">
        <v>679</v>
      </c>
      <c r="N32" s="38"/>
    </row>
    <row r="33" spans="1:14" x14ac:dyDescent="0.25">
      <c r="A33" s="38" t="s">
        <v>680</v>
      </c>
      <c r="N33" s="38"/>
    </row>
    <row r="34" spans="1:14" x14ac:dyDescent="0.25">
      <c r="A34" s="38" t="s">
        <v>681</v>
      </c>
      <c r="N34" s="38"/>
    </row>
    <row r="35" spans="1:14" x14ac:dyDescent="0.25">
      <c r="A35" s="38" t="s">
        <v>682</v>
      </c>
      <c r="N35" s="38"/>
    </row>
    <row r="36" spans="1:14" x14ac:dyDescent="0.25">
      <c r="A36" s="38" t="s">
        <v>683</v>
      </c>
      <c r="N36" s="38"/>
    </row>
    <row r="37" spans="1:14" x14ac:dyDescent="0.25">
      <c r="A37" s="38" t="s">
        <v>684</v>
      </c>
      <c r="N37" s="38"/>
    </row>
    <row r="38" spans="1:14" x14ac:dyDescent="0.25">
      <c r="N38" s="38"/>
    </row>
    <row r="39" spans="1:14" x14ac:dyDescent="0.25">
      <c r="N39" s="38"/>
    </row>
    <row r="40" spans="1:14" x14ac:dyDescent="0.25">
      <c r="N40" s="38"/>
    </row>
    <row r="41" spans="1:14" x14ac:dyDescent="0.25">
      <c r="N41" s="38"/>
    </row>
    <row r="42" spans="1:14" x14ac:dyDescent="0.25">
      <c r="N42" s="38"/>
    </row>
    <row r="43" spans="1:14" x14ac:dyDescent="0.25">
      <c r="N43" s="38"/>
    </row>
  </sheetData>
  <pageMargins left="0.7" right="0.7" top="0.78740157499999996" bottom="0.78740157499999996" header="0.3" footer="0.3"/>
  <pageSetup paperSize="9" scale="16" fitToWidth="0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W27"/>
  <sheetViews>
    <sheetView topLeftCell="A9" zoomScale="58" workbookViewId="0">
      <selection activeCell="J18" sqref="J18"/>
    </sheetView>
  </sheetViews>
  <sheetFormatPr baseColWidth="10" defaultColWidth="11.25" defaultRowHeight="15.75" x14ac:dyDescent="0.25"/>
  <cols>
    <col min="1" max="1" width="11.25" style="39"/>
    <col min="2" max="4" width="15.75" style="39" customWidth="1"/>
    <col min="5" max="6" width="15.75" style="38" customWidth="1"/>
    <col min="7" max="13" width="15.75" style="39" customWidth="1"/>
    <col min="14" max="14" width="15.75" style="38" customWidth="1"/>
    <col min="15" max="16" width="15.75" style="39" customWidth="1"/>
    <col min="17" max="17" width="15.75" style="38" customWidth="1"/>
    <col min="18" max="20" width="15.75" style="39" customWidth="1"/>
    <col min="21" max="22" width="11.25" style="39"/>
    <col min="23" max="23" width="11" customWidth="1"/>
    <col min="24" max="16384" width="11.25" style="39"/>
  </cols>
  <sheetData>
    <row r="1" spans="1:20" s="65" customFormat="1" ht="79.900000000000006" customHeight="1" thickBot="1" x14ac:dyDescent="0.3">
      <c r="A1" s="99"/>
      <c r="B1" s="96" t="s">
        <v>478</v>
      </c>
      <c r="C1" s="98" t="s">
        <v>479</v>
      </c>
      <c r="D1" s="97" t="s">
        <v>480</v>
      </c>
      <c r="E1" s="96" t="s">
        <v>481</v>
      </c>
      <c r="F1" s="98" t="s">
        <v>484</v>
      </c>
      <c r="G1" s="97" t="s">
        <v>341</v>
      </c>
      <c r="H1" s="96" t="s">
        <v>482</v>
      </c>
      <c r="I1" s="98" t="s">
        <v>495</v>
      </c>
      <c r="J1" s="97" t="s">
        <v>488</v>
      </c>
      <c r="K1" s="96" t="s">
        <v>485</v>
      </c>
      <c r="L1" s="98" t="s">
        <v>486</v>
      </c>
      <c r="M1" s="97" t="s">
        <v>487</v>
      </c>
      <c r="N1" s="128" t="s">
        <v>483</v>
      </c>
      <c r="O1" s="107" t="s">
        <v>489</v>
      </c>
      <c r="P1" s="108" t="s">
        <v>490</v>
      </c>
      <c r="Q1" s="96" t="s">
        <v>491</v>
      </c>
      <c r="R1" s="98" t="s">
        <v>492</v>
      </c>
      <c r="S1" s="98" t="s">
        <v>493</v>
      </c>
      <c r="T1" s="97" t="s">
        <v>494</v>
      </c>
    </row>
    <row r="2" spans="1:20" ht="94.9" customHeight="1" x14ac:dyDescent="0.25">
      <c r="A2" s="38" t="s">
        <v>389</v>
      </c>
      <c r="B2" s="91" t="s">
        <v>234</v>
      </c>
      <c r="C2" s="38" t="s">
        <v>627</v>
      </c>
      <c r="D2" s="90" t="s">
        <v>632</v>
      </c>
      <c r="E2" s="91" t="s">
        <v>219</v>
      </c>
      <c r="F2" s="38" t="s">
        <v>519</v>
      </c>
      <c r="G2" s="90" t="s">
        <v>421</v>
      </c>
      <c r="H2" s="91" t="s">
        <v>525</v>
      </c>
      <c r="I2" s="38" t="s">
        <v>529</v>
      </c>
      <c r="J2" s="90" t="s">
        <v>41</v>
      </c>
      <c r="K2" s="91" t="s">
        <v>224</v>
      </c>
      <c r="L2" s="38" t="s">
        <v>225</v>
      </c>
      <c r="M2" s="38" t="s">
        <v>226</v>
      </c>
      <c r="N2" s="110" t="s">
        <v>221</v>
      </c>
      <c r="O2" s="109" t="s">
        <v>540</v>
      </c>
      <c r="P2" s="105" t="s">
        <v>543</v>
      </c>
      <c r="Q2" s="38" t="s">
        <v>547</v>
      </c>
      <c r="R2" s="38" t="s">
        <v>554</v>
      </c>
      <c r="S2" s="38" t="s">
        <v>641</v>
      </c>
      <c r="T2" s="90" t="s">
        <v>555</v>
      </c>
    </row>
    <row r="3" spans="1:20" ht="79.900000000000006" customHeight="1" x14ac:dyDescent="0.25">
      <c r="A3" s="38" t="s">
        <v>390</v>
      </c>
      <c r="B3" s="91" t="s">
        <v>241</v>
      </c>
      <c r="C3" s="38" t="s">
        <v>628</v>
      </c>
      <c r="D3" s="90" t="s">
        <v>633</v>
      </c>
      <c r="E3" s="91" t="s">
        <v>515</v>
      </c>
      <c r="F3" s="38" t="s">
        <v>520</v>
      </c>
      <c r="G3" s="90" t="s">
        <v>38</v>
      </c>
      <c r="H3" s="91" t="s">
        <v>522</v>
      </c>
      <c r="I3" s="38" t="s">
        <v>530</v>
      </c>
      <c r="J3" s="90" t="s">
        <v>91</v>
      </c>
      <c r="K3" s="91" t="s">
        <v>287</v>
      </c>
      <c r="L3" s="38" t="s">
        <v>538</v>
      </c>
      <c r="M3" s="38" t="s">
        <v>539</v>
      </c>
      <c r="N3" s="91" t="s">
        <v>169</v>
      </c>
      <c r="O3" s="38" t="s">
        <v>228</v>
      </c>
      <c r="P3" s="90" t="s">
        <v>544</v>
      </c>
      <c r="Q3" s="38" t="s">
        <v>548</v>
      </c>
      <c r="R3" s="38" t="s">
        <v>554</v>
      </c>
      <c r="S3" s="38" t="s">
        <v>641</v>
      </c>
      <c r="T3" s="90" t="s">
        <v>555</v>
      </c>
    </row>
    <row r="4" spans="1:20" ht="79.900000000000006" customHeight="1" x14ac:dyDescent="0.25">
      <c r="A4" s="38" t="s">
        <v>391</v>
      </c>
      <c r="B4" s="91" t="s">
        <v>235</v>
      </c>
      <c r="C4" s="38" t="s">
        <v>629</v>
      </c>
      <c r="D4" s="90" t="s">
        <v>634</v>
      </c>
      <c r="E4" s="91" t="s">
        <v>516</v>
      </c>
      <c r="F4" s="38" t="s">
        <v>273</v>
      </c>
      <c r="G4" s="90" t="s">
        <v>194</v>
      </c>
      <c r="H4" s="91" t="s">
        <v>528</v>
      </c>
      <c r="I4" s="38" t="s">
        <v>531</v>
      </c>
      <c r="J4" s="90" t="s">
        <v>434</v>
      </c>
      <c r="K4" s="91" t="s">
        <v>534</v>
      </c>
      <c r="L4" s="38" t="s">
        <v>285</v>
      </c>
      <c r="M4" s="38" t="s">
        <v>288</v>
      </c>
      <c r="N4" s="91" t="s">
        <v>168</v>
      </c>
      <c r="O4" s="38" t="s">
        <v>286</v>
      </c>
      <c r="P4" s="90" t="s">
        <v>542</v>
      </c>
      <c r="Q4" s="38" t="s">
        <v>549</v>
      </c>
      <c r="R4" s="38" t="s">
        <v>554</v>
      </c>
      <c r="S4" s="38" t="s">
        <v>641</v>
      </c>
      <c r="T4" s="90" t="s">
        <v>555</v>
      </c>
    </row>
    <row r="5" spans="1:20" ht="79.900000000000006" customHeight="1" x14ac:dyDescent="0.25">
      <c r="A5" s="38" t="s">
        <v>392</v>
      </c>
      <c r="B5" s="91" t="s">
        <v>238</v>
      </c>
      <c r="C5" s="38" t="s">
        <v>630</v>
      </c>
      <c r="D5" s="90" t="s">
        <v>635</v>
      </c>
      <c r="E5" s="91" t="s">
        <v>517</v>
      </c>
      <c r="F5" s="38" t="s">
        <v>275</v>
      </c>
      <c r="G5" s="90" t="s">
        <v>62</v>
      </c>
      <c r="H5" s="91" t="s">
        <v>523</v>
      </c>
      <c r="I5" s="38" t="s">
        <v>532</v>
      </c>
      <c r="J5" s="90" t="s">
        <v>92</v>
      </c>
      <c r="K5" s="91" t="s">
        <v>535</v>
      </c>
      <c r="L5" s="38" t="s">
        <v>285</v>
      </c>
      <c r="M5" s="38" t="s">
        <v>732</v>
      </c>
      <c r="N5" s="91" t="s">
        <v>295</v>
      </c>
      <c r="O5" s="38" t="s">
        <v>286</v>
      </c>
      <c r="P5" s="90" t="s">
        <v>541</v>
      </c>
      <c r="Q5" s="38" t="s">
        <v>550</v>
      </c>
      <c r="R5" s="38" t="s">
        <v>553</v>
      </c>
      <c r="S5" s="38" t="s">
        <v>641</v>
      </c>
      <c r="T5" s="90" t="s">
        <v>556</v>
      </c>
    </row>
    <row r="6" spans="1:20" ht="79.900000000000006" customHeight="1" x14ac:dyDescent="0.25">
      <c r="A6" s="38" t="s">
        <v>393</v>
      </c>
      <c r="B6" s="91" t="s">
        <v>177</v>
      </c>
      <c r="C6" s="38" t="s">
        <v>631</v>
      </c>
      <c r="D6" s="90" t="s">
        <v>636</v>
      </c>
      <c r="E6" s="91" t="s">
        <v>667</v>
      </c>
      <c r="F6" s="38" t="s">
        <v>276</v>
      </c>
      <c r="G6" s="90" t="s">
        <v>420</v>
      </c>
      <c r="H6" s="91" t="s">
        <v>524</v>
      </c>
      <c r="I6" s="38" t="s">
        <v>527</v>
      </c>
      <c r="J6" s="90" t="s">
        <v>440</v>
      </c>
      <c r="K6" s="91" t="s">
        <v>536</v>
      </c>
      <c r="L6" s="38" t="s">
        <v>285</v>
      </c>
      <c r="M6" s="38" t="s">
        <v>323</v>
      </c>
      <c r="N6" s="91" t="s">
        <v>170</v>
      </c>
      <c r="O6" s="38" t="s">
        <v>286</v>
      </c>
      <c r="P6" s="90" t="s">
        <v>545</v>
      </c>
      <c r="Q6" s="38" t="s">
        <v>551</v>
      </c>
      <c r="R6" s="38" t="s">
        <v>553</v>
      </c>
      <c r="S6" s="38" t="s">
        <v>641</v>
      </c>
      <c r="T6" s="90" t="s">
        <v>556</v>
      </c>
    </row>
    <row r="7" spans="1:20" ht="79.900000000000006" customHeight="1" thickBot="1" x14ac:dyDescent="0.3">
      <c r="A7" s="88" t="s">
        <v>426</v>
      </c>
      <c r="B7" s="94" t="s">
        <v>510</v>
      </c>
      <c r="C7" s="95" t="s">
        <v>653</v>
      </c>
      <c r="D7" s="93" t="s">
        <v>652</v>
      </c>
      <c r="E7" s="94" t="s">
        <v>277</v>
      </c>
      <c r="F7" s="95" t="s">
        <v>303</v>
      </c>
      <c r="G7" s="93" t="s">
        <v>64</v>
      </c>
      <c r="H7" s="94" t="s">
        <v>526</v>
      </c>
      <c r="I7" s="95" t="s">
        <v>533</v>
      </c>
      <c r="J7" s="93" t="s">
        <v>433</v>
      </c>
      <c r="K7" s="94" t="s">
        <v>537</v>
      </c>
      <c r="L7" s="95" t="s">
        <v>285</v>
      </c>
      <c r="M7" s="95" t="s">
        <v>323</v>
      </c>
      <c r="N7" s="94" t="s">
        <v>521</v>
      </c>
      <c r="O7" s="95" t="s">
        <v>286</v>
      </c>
      <c r="P7" s="93" t="s">
        <v>546</v>
      </c>
      <c r="Q7" s="95" t="s">
        <v>552</v>
      </c>
      <c r="R7" s="95" t="s">
        <v>553</v>
      </c>
      <c r="S7" s="95" t="s">
        <v>641</v>
      </c>
      <c r="T7" s="93" t="s">
        <v>556</v>
      </c>
    </row>
    <row r="8" spans="1:20" ht="79.900000000000006" customHeight="1" thickTop="1" x14ac:dyDescent="0.25">
      <c r="A8" s="38" t="s">
        <v>397</v>
      </c>
      <c r="B8" s="38" t="s">
        <v>246</v>
      </c>
      <c r="C8" s="38" t="s">
        <v>217</v>
      </c>
      <c r="D8" s="38" t="s">
        <v>218</v>
      </c>
      <c r="E8" s="38" t="s">
        <v>219</v>
      </c>
      <c r="F8" s="38" t="s">
        <v>220</v>
      </c>
      <c r="G8" s="38" t="s">
        <v>63</v>
      </c>
      <c r="H8" s="38" t="s">
        <v>222</v>
      </c>
      <c r="I8" s="38" t="s">
        <v>811</v>
      </c>
      <c r="J8" s="38" t="s">
        <v>227</v>
      </c>
      <c r="K8" s="38" t="s">
        <v>730</v>
      </c>
      <c r="L8" s="38" t="s">
        <v>225</v>
      </c>
      <c r="M8" s="38" t="s">
        <v>226</v>
      </c>
      <c r="N8" s="38" t="s">
        <v>322</v>
      </c>
      <c r="O8" s="38" t="s">
        <v>228</v>
      </c>
      <c r="P8" s="38" t="s">
        <v>229</v>
      </c>
      <c r="Q8" s="38" t="s">
        <v>230</v>
      </c>
      <c r="R8" s="38" t="s">
        <v>231</v>
      </c>
      <c r="S8" s="38" t="s">
        <v>384</v>
      </c>
      <c r="T8" s="38" t="s">
        <v>378</v>
      </c>
    </row>
    <row r="9" spans="1:20" ht="79.900000000000006" customHeight="1" x14ac:dyDescent="0.25">
      <c r="A9" s="38" t="s">
        <v>398</v>
      </c>
      <c r="B9" s="38" t="s">
        <v>249</v>
      </c>
      <c r="C9" s="38" t="s">
        <v>236</v>
      </c>
      <c r="D9" s="38" t="s">
        <v>237</v>
      </c>
      <c r="E9" s="38" t="s">
        <v>274</v>
      </c>
      <c r="F9" s="38" t="s">
        <v>273</v>
      </c>
      <c r="G9" s="38" t="s">
        <v>685</v>
      </c>
      <c r="H9" s="38" t="s">
        <v>283</v>
      </c>
      <c r="I9" s="38"/>
      <c r="J9" s="38" t="s">
        <v>92</v>
      </c>
      <c r="K9" s="38" t="s">
        <v>731</v>
      </c>
      <c r="L9" s="38" t="s">
        <v>285</v>
      </c>
      <c r="M9" s="38" t="s">
        <v>288</v>
      </c>
      <c r="N9" s="38" t="s">
        <v>771</v>
      </c>
      <c r="O9" s="38" t="s">
        <v>286</v>
      </c>
      <c r="P9" s="38" t="s">
        <v>324</v>
      </c>
      <c r="Q9" s="38" t="s">
        <v>297</v>
      </c>
      <c r="R9" s="38"/>
      <c r="S9" s="38"/>
      <c r="T9" s="38"/>
    </row>
    <row r="10" spans="1:20" ht="79.900000000000006" customHeight="1" x14ac:dyDescent="0.25">
      <c r="A10" s="38" t="s">
        <v>399</v>
      </c>
      <c r="B10" s="38" t="s">
        <v>279</v>
      </c>
      <c r="C10" s="38" t="s">
        <v>239</v>
      </c>
      <c r="D10" s="38" t="s">
        <v>240</v>
      </c>
      <c r="E10" s="38" t="s">
        <v>277</v>
      </c>
      <c r="F10" s="38" t="s">
        <v>275</v>
      </c>
      <c r="G10" s="38" t="s">
        <v>686</v>
      </c>
      <c r="H10" s="38" t="s">
        <v>284</v>
      </c>
      <c r="I10" s="38"/>
      <c r="J10" s="38" t="s">
        <v>93</v>
      </c>
      <c r="K10" s="38" t="s">
        <v>765</v>
      </c>
      <c r="L10" s="38"/>
      <c r="M10" s="38" t="s">
        <v>323</v>
      </c>
      <c r="N10" s="38" t="s">
        <v>772</v>
      </c>
      <c r="O10" s="38"/>
      <c r="P10" s="38"/>
      <c r="Q10" s="38" t="s">
        <v>298</v>
      </c>
      <c r="R10" s="38"/>
      <c r="S10" s="38"/>
      <c r="T10" s="38"/>
    </row>
    <row r="11" spans="1:20" ht="79.900000000000006" customHeight="1" x14ac:dyDescent="0.25">
      <c r="A11" s="38" t="s">
        <v>400</v>
      </c>
      <c r="B11" s="38" t="s">
        <v>280</v>
      </c>
      <c r="C11" s="38" t="s">
        <v>242</v>
      </c>
      <c r="D11" s="38" t="s">
        <v>243</v>
      </c>
      <c r="E11" s="38" t="s">
        <v>278</v>
      </c>
      <c r="F11" s="38" t="s">
        <v>276</v>
      </c>
      <c r="G11" s="38" t="s">
        <v>687</v>
      </c>
      <c r="H11" s="38" t="s">
        <v>305</v>
      </c>
      <c r="I11" s="38"/>
      <c r="J11" s="38" t="s">
        <v>94</v>
      </c>
      <c r="K11" s="38" t="s">
        <v>766</v>
      </c>
      <c r="L11" s="38"/>
      <c r="M11" s="38"/>
      <c r="N11" s="38" t="s">
        <v>773</v>
      </c>
      <c r="O11" s="38"/>
      <c r="P11" s="38"/>
      <c r="R11" s="38"/>
      <c r="S11" s="38"/>
      <c r="T11" s="38"/>
    </row>
    <row r="12" spans="1:20" ht="79.900000000000006" customHeight="1" x14ac:dyDescent="0.25">
      <c r="A12" s="38" t="s">
        <v>401</v>
      </c>
      <c r="B12" s="38" t="s">
        <v>281</v>
      </c>
      <c r="C12" s="38" t="s">
        <v>244</v>
      </c>
      <c r="D12" s="38" t="s">
        <v>245</v>
      </c>
      <c r="E12" s="38" t="s">
        <v>299</v>
      </c>
      <c r="F12" s="38" t="s">
        <v>303</v>
      </c>
      <c r="G12" s="38" t="s">
        <v>73</v>
      </c>
      <c r="H12" s="38" t="s">
        <v>306</v>
      </c>
      <c r="I12" s="38"/>
      <c r="J12" s="38" t="s">
        <v>95</v>
      </c>
      <c r="K12" s="38" t="s">
        <v>767</v>
      </c>
      <c r="L12" s="38"/>
      <c r="M12" s="38"/>
      <c r="N12" s="38" t="s">
        <v>774</v>
      </c>
      <c r="O12" s="38"/>
      <c r="P12" s="38"/>
      <c r="R12" s="38"/>
      <c r="S12" s="38"/>
      <c r="T12" s="38"/>
    </row>
    <row r="13" spans="1:20" ht="79.900000000000006" customHeight="1" x14ac:dyDescent="0.25">
      <c r="A13" s="38" t="s">
        <v>402</v>
      </c>
      <c r="B13" s="38" t="s">
        <v>282</v>
      </c>
      <c r="C13" s="38" t="s">
        <v>247</v>
      </c>
      <c r="D13" s="38" t="s">
        <v>248</v>
      </c>
      <c r="E13" s="38" t="s">
        <v>300</v>
      </c>
      <c r="F13" s="38" t="s">
        <v>302</v>
      </c>
      <c r="G13" s="38" t="s">
        <v>74</v>
      </c>
      <c r="H13" s="38" t="s">
        <v>307</v>
      </c>
      <c r="I13" s="38"/>
      <c r="J13" s="38" t="s">
        <v>812</v>
      </c>
      <c r="K13" s="38" t="s">
        <v>768</v>
      </c>
      <c r="L13" s="38"/>
      <c r="M13" s="38"/>
      <c r="N13" s="38" t="s">
        <v>775</v>
      </c>
      <c r="O13" s="38"/>
      <c r="P13" s="38"/>
      <c r="R13" s="38"/>
      <c r="S13" s="38"/>
      <c r="T13" s="38"/>
    </row>
    <row r="14" spans="1:20" ht="79.900000000000006" customHeight="1" x14ac:dyDescent="0.25">
      <c r="A14" s="38" t="s">
        <v>403</v>
      </c>
      <c r="C14" s="38" t="s">
        <v>250</v>
      </c>
      <c r="D14" s="38" t="s">
        <v>251</v>
      </c>
      <c r="E14" s="38" t="s">
        <v>301</v>
      </c>
      <c r="F14" s="38" t="s">
        <v>304</v>
      </c>
      <c r="G14" s="38" t="s">
        <v>65</v>
      </c>
      <c r="H14" s="38" t="s">
        <v>308</v>
      </c>
      <c r="I14" s="38"/>
      <c r="J14" s="38" t="s">
        <v>813</v>
      </c>
      <c r="K14" s="38" t="s">
        <v>769</v>
      </c>
      <c r="L14" s="38"/>
      <c r="M14" s="38"/>
      <c r="N14" s="38" t="s">
        <v>355</v>
      </c>
      <c r="O14" s="38"/>
      <c r="P14" s="38"/>
      <c r="R14" s="38"/>
      <c r="S14" s="38"/>
      <c r="T14" s="38"/>
    </row>
    <row r="15" spans="1:20" ht="79.900000000000006" customHeight="1" x14ac:dyDescent="0.25">
      <c r="A15" s="38" t="s">
        <v>404</v>
      </c>
      <c r="C15" s="38" t="s">
        <v>252</v>
      </c>
      <c r="D15" s="38" t="s">
        <v>253</v>
      </c>
      <c r="G15" s="38" t="s">
        <v>66</v>
      </c>
      <c r="H15" s="38" t="s">
        <v>309</v>
      </c>
      <c r="I15" s="38"/>
      <c r="J15" s="38" t="s">
        <v>814</v>
      </c>
      <c r="K15" s="38" t="s">
        <v>770</v>
      </c>
      <c r="L15" s="38"/>
      <c r="M15" s="38"/>
      <c r="N15" s="38" t="s">
        <v>356</v>
      </c>
      <c r="O15" s="38"/>
      <c r="P15" s="38"/>
      <c r="R15" s="38"/>
      <c r="S15" s="38"/>
      <c r="T15" s="38"/>
    </row>
    <row r="16" spans="1:20" ht="79.900000000000006" customHeight="1" x14ac:dyDescent="0.25">
      <c r="A16" s="38" t="s">
        <v>405</v>
      </c>
      <c r="C16" s="38" t="s">
        <v>254</v>
      </c>
      <c r="D16" s="38" t="s">
        <v>255</v>
      </c>
      <c r="G16" s="38" t="s">
        <v>67</v>
      </c>
      <c r="H16" s="38" t="s">
        <v>310</v>
      </c>
      <c r="I16" s="38"/>
      <c r="J16" s="38"/>
      <c r="K16" s="38"/>
      <c r="L16" s="38"/>
      <c r="M16" s="38"/>
      <c r="N16" s="38" t="s">
        <v>357</v>
      </c>
      <c r="O16" s="38"/>
      <c r="P16" s="38"/>
      <c r="R16" s="38"/>
      <c r="S16" s="38"/>
      <c r="T16" s="38"/>
    </row>
    <row r="17" spans="1:20" ht="79.900000000000006" customHeight="1" x14ac:dyDescent="0.25">
      <c r="A17" s="38" t="s">
        <v>406</v>
      </c>
      <c r="C17" s="38" t="s">
        <v>256</v>
      </c>
      <c r="D17" s="38" t="s">
        <v>257</v>
      </c>
      <c r="G17" s="38" t="s">
        <v>68</v>
      </c>
      <c r="H17" s="38"/>
      <c r="I17" s="38"/>
      <c r="J17" s="38"/>
      <c r="K17" s="38"/>
      <c r="L17" s="38"/>
      <c r="M17" s="38"/>
      <c r="N17" s="38" t="s">
        <v>358</v>
      </c>
      <c r="O17" s="38"/>
      <c r="P17" s="38"/>
      <c r="R17" s="38"/>
      <c r="S17" s="38"/>
      <c r="T17" s="38"/>
    </row>
    <row r="18" spans="1:20" ht="79.900000000000006" customHeight="1" x14ac:dyDescent="0.25">
      <c r="A18" s="38" t="s">
        <v>407</v>
      </c>
      <c r="C18" s="38" t="s">
        <v>258</v>
      </c>
      <c r="D18" s="38" t="s">
        <v>259</v>
      </c>
      <c r="G18" s="38" t="s">
        <v>69</v>
      </c>
      <c r="H18" s="38"/>
      <c r="I18" s="38"/>
      <c r="J18" s="38"/>
      <c r="K18" s="38"/>
      <c r="L18" s="38"/>
      <c r="M18" s="38"/>
      <c r="N18" s="38" t="s">
        <v>359</v>
      </c>
      <c r="O18" s="38"/>
      <c r="P18" s="38"/>
      <c r="R18" s="38"/>
      <c r="S18" s="38"/>
      <c r="T18" s="38"/>
    </row>
    <row r="19" spans="1:20" ht="79.900000000000006" customHeight="1" x14ac:dyDescent="0.25">
      <c r="A19" s="38" t="s">
        <v>408</v>
      </c>
      <c r="B19" s="38"/>
      <c r="C19" s="38" t="s">
        <v>260</v>
      </c>
      <c r="D19" s="38" t="s">
        <v>261</v>
      </c>
      <c r="G19" s="38" t="s">
        <v>70</v>
      </c>
      <c r="H19" s="38"/>
      <c r="I19" s="38"/>
      <c r="J19" s="38"/>
      <c r="K19" s="38"/>
      <c r="L19" s="38"/>
      <c r="M19" s="38"/>
      <c r="N19" s="38" t="s">
        <v>360</v>
      </c>
      <c r="O19" s="38"/>
      <c r="P19" s="38"/>
      <c r="R19" s="38"/>
      <c r="S19" s="38"/>
      <c r="T19" s="38"/>
    </row>
    <row r="20" spans="1:20" ht="79.900000000000006" customHeight="1" x14ac:dyDescent="0.25">
      <c r="A20" s="38" t="s">
        <v>409</v>
      </c>
      <c r="B20" s="38"/>
      <c r="C20" s="38" t="s">
        <v>262</v>
      </c>
      <c r="D20" s="38" t="s">
        <v>263</v>
      </c>
      <c r="G20" s="38" t="s">
        <v>71</v>
      </c>
      <c r="H20" s="38"/>
      <c r="I20" s="38"/>
      <c r="J20" s="38"/>
      <c r="K20" s="38"/>
      <c r="L20" s="38"/>
      <c r="M20" s="38"/>
      <c r="N20" s="38" t="s">
        <v>361</v>
      </c>
      <c r="O20" s="38"/>
      <c r="P20" s="38"/>
      <c r="R20" s="38"/>
      <c r="S20" s="38"/>
      <c r="T20" s="38"/>
    </row>
    <row r="21" spans="1:20" ht="79.900000000000006" customHeight="1" x14ac:dyDescent="0.25">
      <c r="A21" s="38" t="s">
        <v>410</v>
      </c>
      <c r="B21" s="38"/>
      <c r="C21" s="38" t="s">
        <v>264</v>
      </c>
      <c r="D21" s="38" t="s">
        <v>265</v>
      </c>
      <c r="G21" s="38" t="s">
        <v>72</v>
      </c>
      <c r="H21" s="38"/>
      <c r="I21" s="38"/>
      <c r="J21" s="38"/>
      <c r="K21" s="38"/>
      <c r="L21" s="38"/>
      <c r="M21" s="38"/>
      <c r="N21" s="38" t="s">
        <v>362</v>
      </c>
      <c r="O21" s="38"/>
      <c r="P21" s="38"/>
      <c r="R21" s="38"/>
      <c r="S21" s="38"/>
      <c r="T21" s="38"/>
    </row>
    <row r="22" spans="1:20" ht="79.900000000000006" customHeight="1" x14ac:dyDescent="0.25">
      <c r="A22" s="38" t="s">
        <v>411</v>
      </c>
      <c r="B22" s="38"/>
      <c r="C22" s="38" t="s">
        <v>266</v>
      </c>
      <c r="D22" s="38" t="s">
        <v>267</v>
      </c>
      <c r="G22" s="38"/>
      <c r="H22" s="38"/>
      <c r="I22" s="38"/>
      <c r="J22" s="38"/>
      <c r="K22" s="38"/>
      <c r="L22" s="38"/>
      <c r="M22" s="38"/>
      <c r="N22" s="38" t="s">
        <v>363</v>
      </c>
      <c r="O22" s="38"/>
      <c r="P22" s="38"/>
      <c r="R22" s="38"/>
      <c r="S22" s="38"/>
      <c r="T22" s="38"/>
    </row>
    <row r="23" spans="1:20" ht="79.900000000000006" customHeight="1" x14ac:dyDescent="0.25">
      <c r="A23" s="38" t="s">
        <v>412</v>
      </c>
      <c r="B23" s="38"/>
      <c r="C23" s="38" t="s">
        <v>268</v>
      </c>
      <c r="D23" s="38"/>
      <c r="G23" s="38"/>
      <c r="H23" s="38"/>
      <c r="I23" s="38"/>
      <c r="J23" s="38"/>
      <c r="K23" s="38"/>
      <c r="L23" s="38"/>
      <c r="M23" s="38"/>
      <c r="N23" s="38" t="s">
        <v>728</v>
      </c>
      <c r="O23" s="38"/>
      <c r="P23" s="38"/>
      <c r="R23" s="38"/>
      <c r="S23" s="38"/>
      <c r="T23" s="38"/>
    </row>
    <row r="24" spans="1:20" ht="31.5" x14ac:dyDescent="0.25">
      <c r="A24" s="38"/>
      <c r="B24" s="38"/>
      <c r="C24" s="38" t="s">
        <v>269</v>
      </c>
      <c r="D24" s="38"/>
      <c r="G24" s="38"/>
      <c r="H24" s="38"/>
      <c r="I24" s="38"/>
      <c r="J24" s="38"/>
      <c r="K24" s="38"/>
      <c r="L24" s="38"/>
      <c r="M24" s="38"/>
      <c r="N24" s="38" t="s">
        <v>729</v>
      </c>
      <c r="O24" s="38"/>
      <c r="P24" s="38"/>
      <c r="R24" s="38"/>
      <c r="S24" s="38"/>
      <c r="T24" s="38"/>
    </row>
    <row r="25" spans="1:20" ht="31.5" x14ac:dyDescent="0.25">
      <c r="A25" s="38"/>
      <c r="B25" s="38"/>
      <c r="C25" s="38" t="s">
        <v>270</v>
      </c>
      <c r="D25" s="38"/>
      <c r="G25" s="38"/>
      <c r="H25" s="38"/>
      <c r="I25" s="38"/>
      <c r="J25" s="38"/>
      <c r="K25" s="38"/>
      <c r="L25" s="38"/>
      <c r="M25" s="38"/>
      <c r="O25" s="38"/>
      <c r="P25" s="38"/>
      <c r="R25" s="38"/>
      <c r="S25" s="38"/>
      <c r="T25" s="38"/>
    </row>
    <row r="26" spans="1:20" ht="31.5" x14ac:dyDescent="0.25">
      <c r="A26" s="38"/>
      <c r="B26" s="38"/>
      <c r="C26" s="38" t="s">
        <v>271</v>
      </c>
      <c r="D26" s="38"/>
      <c r="G26" s="38"/>
      <c r="H26" s="38"/>
      <c r="I26" s="38"/>
      <c r="J26" s="38"/>
      <c r="K26" s="38"/>
      <c r="L26" s="38"/>
      <c r="M26" s="38"/>
      <c r="O26" s="38"/>
      <c r="P26" s="38"/>
      <c r="R26" s="38"/>
      <c r="S26" s="38"/>
      <c r="T26" s="38"/>
    </row>
    <row r="27" spans="1:20" ht="31.5" x14ac:dyDescent="0.25">
      <c r="A27" s="38"/>
      <c r="B27" s="38"/>
      <c r="C27" s="38" t="s">
        <v>272</v>
      </c>
      <c r="D27" s="38"/>
      <c r="G27" s="38"/>
      <c r="H27" s="38"/>
      <c r="I27" s="38"/>
      <c r="J27" s="38"/>
      <c r="K27" s="38"/>
      <c r="L27" s="38"/>
      <c r="M27" s="38"/>
      <c r="O27" s="38"/>
      <c r="P27" s="38"/>
      <c r="R27" s="38"/>
      <c r="S27" s="38"/>
      <c r="T27" s="38"/>
    </row>
  </sheetData>
  <pageMargins left="0.7" right="0.7" top="0.78740157499999996" bottom="0.78740157499999996" header="0.3" footer="0.3"/>
  <pageSetup paperSize="9" scale="23" fitToWidth="0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D840-897A-4933-B6E3-4D75A937DB77}">
  <sheetPr>
    <pageSetUpPr fitToPage="1"/>
  </sheetPr>
  <dimension ref="A1:BL68"/>
  <sheetViews>
    <sheetView zoomScale="70" zoomScaleNormal="70" workbookViewId="0">
      <selection sqref="A1:AT49"/>
    </sheetView>
  </sheetViews>
  <sheetFormatPr baseColWidth="10" defaultRowHeight="15" x14ac:dyDescent="0.25"/>
  <cols>
    <col min="1" max="4" width="11" style="135"/>
    <col min="5" max="6" width="0" style="135" hidden="1" customWidth="1"/>
    <col min="7" max="7" width="11" style="135"/>
    <col min="8" max="9" width="0" style="135" hidden="1" customWidth="1"/>
    <col min="10" max="10" width="11" style="135"/>
    <col min="11" max="12" width="0" style="135" hidden="1" customWidth="1"/>
    <col min="13" max="13" width="11" style="135"/>
    <col min="14" max="15" width="0" style="135" hidden="1" customWidth="1"/>
    <col min="16" max="16" width="11" style="135"/>
    <col min="17" max="18" width="0" style="135" hidden="1" customWidth="1"/>
    <col min="19" max="45" width="11" style="135"/>
    <col min="46" max="46" width="11" style="136"/>
    <col min="47" max="16384" width="11" style="135"/>
  </cols>
  <sheetData>
    <row r="1" spans="1:64" ht="15.75" thickBot="1" x14ac:dyDescent="0.3"/>
    <row r="2" spans="1:64" ht="49.5" customHeight="1" thickBot="1" x14ac:dyDescent="0.3">
      <c r="A2" s="393" t="s">
        <v>815</v>
      </c>
      <c r="B2" s="137" t="s">
        <v>816</v>
      </c>
      <c r="C2" s="138" t="s">
        <v>817</v>
      </c>
      <c r="D2" s="396" t="s">
        <v>818</v>
      </c>
      <c r="E2" s="397"/>
      <c r="F2" s="398"/>
      <c r="G2" s="396" t="s">
        <v>819</v>
      </c>
      <c r="H2" s="397"/>
      <c r="I2" s="398"/>
      <c r="J2" s="396" t="s">
        <v>820</v>
      </c>
      <c r="K2" s="397"/>
      <c r="L2" s="398"/>
      <c r="M2" s="396" t="s">
        <v>821</v>
      </c>
      <c r="N2" s="397"/>
      <c r="O2" s="398"/>
      <c r="P2" s="396" t="s">
        <v>822</v>
      </c>
      <c r="Q2" s="397"/>
      <c r="R2" s="398"/>
      <c r="S2" s="141" t="s">
        <v>816</v>
      </c>
      <c r="T2" s="142" t="s">
        <v>817</v>
      </c>
      <c r="V2" s="393" t="s">
        <v>815</v>
      </c>
      <c r="W2" s="137" t="s">
        <v>816</v>
      </c>
      <c r="X2" s="138" t="s">
        <v>817</v>
      </c>
      <c r="Y2" s="396" t="s">
        <v>818</v>
      </c>
      <c r="Z2" s="397"/>
      <c r="AA2" s="398"/>
      <c r="AB2" s="396" t="s">
        <v>819</v>
      </c>
      <c r="AC2" s="397"/>
      <c r="AD2" s="398"/>
      <c r="AE2" s="396" t="s">
        <v>820</v>
      </c>
      <c r="AF2" s="397"/>
      <c r="AG2" s="398"/>
      <c r="AH2" s="396" t="s">
        <v>821</v>
      </c>
      <c r="AI2" s="397"/>
      <c r="AJ2" s="398"/>
      <c r="AK2" s="396" t="s">
        <v>822</v>
      </c>
      <c r="AL2" s="397"/>
      <c r="AM2" s="398"/>
      <c r="AN2" s="141" t="s">
        <v>816</v>
      </c>
      <c r="AO2" s="142" t="s">
        <v>817</v>
      </c>
    </row>
    <row r="3" spans="1:64" ht="26.25" customHeight="1" thickBot="1" x14ac:dyDescent="0.3">
      <c r="A3" s="394"/>
      <c r="B3" s="137"/>
      <c r="C3" s="138"/>
      <c r="D3" s="396" t="s">
        <v>823</v>
      </c>
      <c r="E3" s="397"/>
      <c r="F3" s="398"/>
      <c r="G3" s="396" t="s">
        <v>823</v>
      </c>
      <c r="H3" s="397"/>
      <c r="I3" s="398"/>
      <c r="J3" s="396" t="s">
        <v>823</v>
      </c>
      <c r="K3" s="397"/>
      <c r="L3" s="398"/>
      <c r="M3" s="396" t="s">
        <v>823</v>
      </c>
      <c r="N3" s="397"/>
      <c r="O3" s="398"/>
      <c r="P3" s="396" t="s">
        <v>823</v>
      </c>
      <c r="Q3" s="397"/>
      <c r="R3" s="398"/>
      <c r="S3" s="141"/>
      <c r="T3" s="140"/>
      <c r="V3" s="394"/>
      <c r="W3" s="137"/>
      <c r="X3" s="138"/>
      <c r="Y3" s="390" t="s">
        <v>824</v>
      </c>
      <c r="Z3" s="391"/>
      <c r="AA3" s="392"/>
      <c r="AB3" s="390" t="s">
        <v>825</v>
      </c>
      <c r="AC3" s="391"/>
      <c r="AD3" s="392"/>
      <c r="AE3" s="390" t="s">
        <v>823</v>
      </c>
      <c r="AF3" s="391"/>
      <c r="AG3" s="392"/>
      <c r="AH3" s="390" t="s">
        <v>826</v>
      </c>
      <c r="AI3" s="391"/>
      <c r="AJ3" s="392"/>
      <c r="AK3" s="390" t="s">
        <v>827</v>
      </c>
      <c r="AL3" s="391"/>
      <c r="AM3" s="392"/>
      <c r="AN3" s="141"/>
      <c r="AO3" s="140"/>
      <c r="AR3" s="145" t="s">
        <v>828</v>
      </c>
      <c r="AS3" s="146" t="s">
        <v>20</v>
      </c>
      <c r="AT3" s="147" t="s">
        <v>829</v>
      </c>
    </row>
    <row r="4" spans="1:64" ht="50.1" customHeight="1" x14ac:dyDescent="0.25">
      <c r="A4" s="394"/>
      <c r="B4" s="399" t="s">
        <v>830</v>
      </c>
      <c r="C4" s="402" t="s">
        <v>831</v>
      </c>
      <c r="D4" s="148" t="s">
        <v>832</v>
      </c>
      <c r="E4" s="149">
        <v>5</v>
      </c>
      <c r="F4" s="150">
        <v>30</v>
      </c>
      <c r="G4" s="151" t="s">
        <v>833</v>
      </c>
      <c r="H4" s="152">
        <v>3</v>
      </c>
      <c r="I4" s="153">
        <v>10</v>
      </c>
      <c r="J4" s="154" t="s">
        <v>834</v>
      </c>
      <c r="K4" s="155">
        <v>1</v>
      </c>
      <c r="L4" s="156">
        <v>10</v>
      </c>
      <c r="M4" s="148" t="s">
        <v>832</v>
      </c>
      <c r="N4" s="149">
        <v>5</v>
      </c>
      <c r="O4" s="150">
        <v>30</v>
      </c>
      <c r="P4" s="157" t="s">
        <v>835</v>
      </c>
      <c r="Q4" s="158">
        <v>3</v>
      </c>
      <c r="R4" s="159">
        <v>10</v>
      </c>
      <c r="S4" s="405" t="s">
        <v>830</v>
      </c>
      <c r="T4" s="408" t="s">
        <v>831</v>
      </c>
      <c r="U4" s="136"/>
      <c r="V4" s="394"/>
      <c r="W4" s="411" t="s">
        <v>836</v>
      </c>
      <c r="X4" s="402" t="s">
        <v>831</v>
      </c>
      <c r="Y4" s="160" t="s">
        <v>837</v>
      </c>
      <c r="Z4" s="161">
        <v>2</v>
      </c>
      <c r="AA4" s="162">
        <v>10</v>
      </c>
      <c r="AB4" s="163" t="s">
        <v>832</v>
      </c>
      <c r="AC4" s="164">
        <v>5</v>
      </c>
      <c r="AD4" s="165">
        <v>30</v>
      </c>
      <c r="AE4" s="166" t="s">
        <v>834</v>
      </c>
      <c r="AF4" s="167">
        <v>1</v>
      </c>
      <c r="AG4" s="168">
        <v>10</v>
      </c>
      <c r="AH4" s="163" t="s">
        <v>832</v>
      </c>
      <c r="AI4" s="164">
        <v>5</v>
      </c>
      <c r="AJ4" s="165">
        <v>30</v>
      </c>
      <c r="AK4" s="169" t="s">
        <v>833</v>
      </c>
      <c r="AL4" s="170">
        <v>3</v>
      </c>
      <c r="AM4" s="171">
        <v>10</v>
      </c>
      <c r="AN4" s="414" t="s">
        <v>830</v>
      </c>
      <c r="AO4" s="417" t="s">
        <v>836</v>
      </c>
      <c r="AR4" s="172" t="s">
        <v>838</v>
      </c>
      <c r="AS4" s="173">
        <v>6</v>
      </c>
      <c r="AT4" s="174">
        <v>20</v>
      </c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</row>
    <row r="5" spans="1:64" ht="49.5" customHeight="1" x14ac:dyDescent="0.25">
      <c r="A5" s="394"/>
      <c r="B5" s="400"/>
      <c r="C5" s="403"/>
      <c r="D5" s="177" t="s">
        <v>839</v>
      </c>
      <c r="E5" s="178">
        <v>4</v>
      </c>
      <c r="F5" s="179">
        <v>10</v>
      </c>
      <c r="G5" s="180" t="s">
        <v>840</v>
      </c>
      <c r="H5" s="181">
        <v>4</v>
      </c>
      <c r="I5" s="182">
        <v>10</v>
      </c>
      <c r="J5" s="183" t="s">
        <v>832</v>
      </c>
      <c r="K5" s="184">
        <v>5</v>
      </c>
      <c r="L5" s="185">
        <v>30</v>
      </c>
      <c r="M5" s="177" t="s">
        <v>839</v>
      </c>
      <c r="N5" s="178">
        <v>4</v>
      </c>
      <c r="O5" s="179">
        <v>10</v>
      </c>
      <c r="P5" s="180" t="s">
        <v>840</v>
      </c>
      <c r="Q5" s="181">
        <v>4</v>
      </c>
      <c r="R5" s="182">
        <v>10</v>
      </c>
      <c r="S5" s="406"/>
      <c r="T5" s="409"/>
      <c r="U5" s="136"/>
      <c r="V5" s="394"/>
      <c r="W5" s="412"/>
      <c r="X5" s="403"/>
      <c r="Y5" s="186" t="s">
        <v>835</v>
      </c>
      <c r="Z5" s="187">
        <v>3</v>
      </c>
      <c r="AA5" s="188">
        <v>10</v>
      </c>
      <c r="AB5" s="177" t="s">
        <v>839</v>
      </c>
      <c r="AC5" s="178">
        <v>4</v>
      </c>
      <c r="AD5" s="179">
        <v>10</v>
      </c>
      <c r="AE5" s="189" t="s">
        <v>837</v>
      </c>
      <c r="AF5" s="190">
        <v>2</v>
      </c>
      <c r="AG5" s="191">
        <v>10</v>
      </c>
      <c r="AH5" s="177" t="s">
        <v>839</v>
      </c>
      <c r="AI5" s="178">
        <v>4</v>
      </c>
      <c r="AJ5" s="179">
        <v>10</v>
      </c>
      <c r="AK5" s="180" t="s">
        <v>840</v>
      </c>
      <c r="AL5" s="181">
        <v>4</v>
      </c>
      <c r="AM5" s="182">
        <v>10</v>
      </c>
      <c r="AN5" s="415"/>
      <c r="AO5" s="418"/>
      <c r="AR5" s="192" t="s">
        <v>841</v>
      </c>
      <c r="AS5" s="193">
        <v>4</v>
      </c>
      <c r="AT5" s="194">
        <v>20</v>
      </c>
      <c r="AZ5" s="175"/>
      <c r="BA5" s="175"/>
      <c r="BB5" s="175"/>
      <c r="BC5" s="175"/>
      <c r="BD5" s="175"/>
      <c r="BE5" s="175"/>
      <c r="BF5" s="175"/>
      <c r="BG5" s="175"/>
      <c r="BH5" s="175"/>
      <c r="BI5" s="175"/>
      <c r="BJ5" s="175"/>
      <c r="BK5" s="175"/>
      <c r="BL5" s="175"/>
    </row>
    <row r="6" spans="1:64" ht="50.1" customHeight="1" x14ac:dyDescent="0.25">
      <c r="A6" s="394"/>
      <c r="B6" s="400"/>
      <c r="C6" s="403"/>
      <c r="D6" s="195" t="s">
        <v>842</v>
      </c>
      <c r="E6" s="196">
        <v>6</v>
      </c>
      <c r="F6" s="197">
        <v>20</v>
      </c>
      <c r="G6" s="198" t="s">
        <v>838</v>
      </c>
      <c r="H6" s="199">
        <v>6</v>
      </c>
      <c r="I6" s="200">
        <v>20</v>
      </c>
      <c r="J6" s="201" t="s">
        <v>843</v>
      </c>
      <c r="K6" s="202">
        <v>2</v>
      </c>
      <c r="L6" s="203">
        <v>10</v>
      </c>
      <c r="M6" s="195" t="s">
        <v>842</v>
      </c>
      <c r="N6" s="196">
        <v>6</v>
      </c>
      <c r="O6" s="197">
        <v>20</v>
      </c>
      <c r="P6" s="198" t="s">
        <v>838</v>
      </c>
      <c r="Q6" s="199">
        <v>6</v>
      </c>
      <c r="R6" s="200">
        <v>20</v>
      </c>
      <c r="S6" s="406"/>
      <c r="T6" s="409"/>
      <c r="U6" s="136"/>
      <c r="V6" s="394"/>
      <c r="W6" s="412"/>
      <c r="X6" s="403"/>
      <c r="Y6" s="180" t="s">
        <v>840</v>
      </c>
      <c r="Z6" s="181">
        <v>4</v>
      </c>
      <c r="AA6" s="182">
        <v>10</v>
      </c>
      <c r="AB6" s="195" t="s">
        <v>842</v>
      </c>
      <c r="AC6" s="196">
        <v>6</v>
      </c>
      <c r="AD6" s="197">
        <v>20</v>
      </c>
      <c r="AE6" s="186" t="s">
        <v>835</v>
      </c>
      <c r="AF6" s="187">
        <v>3</v>
      </c>
      <c r="AG6" s="188">
        <v>10</v>
      </c>
      <c r="AH6" s="195" t="s">
        <v>842</v>
      </c>
      <c r="AI6" s="196">
        <v>6</v>
      </c>
      <c r="AJ6" s="197">
        <v>20</v>
      </c>
      <c r="AK6" s="204" t="s">
        <v>844</v>
      </c>
      <c r="AL6" s="205">
        <v>4</v>
      </c>
      <c r="AM6" s="206">
        <v>15</v>
      </c>
      <c r="AN6" s="415"/>
      <c r="AO6" s="418"/>
      <c r="AR6" s="180" t="s">
        <v>840</v>
      </c>
      <c r="AS6" s="193">
        <v>4</v>
      </c>
      <c r="AT6" s="194">
        <v>10</v>
      </c>
      <c r="AZ6" s="175"/>
      <c r="BA6" s="175"/>
      <c r="BB6" s="175"/>
      <c r="BC6" s="175"/>
      <c r="BD6" s="175"/>
      <c r="BE6" s="175"/>
      <c r="BF6" s="175"/>
      <c r="BG6" s="175"/>
    </row>
    <row r="7" spans="1:64" ht="50.1" customHeight="1" x14ac:dyDescent="0.25">
      <c r="A7" s="394"/>
      <c r="B7" s="400"/>
      <c r="C7" s="403"/>
      <c r="D7" s="204" t="s">
        <v>844</v>
      </c>
      <c r="E7" s="205">
        <v>4</v>
      </c>
      <c r="F7" s="206">
        <v>15</v>
      </c>
      <c r="G7" s="192" t="s">
        <v>841</v>
      </c>
      <c r="H7" s="207">
        <v>4</v>
      </c>
      <c r="I7" s="208">
        <v>15</v>
      </c>
      <c r="J7" s="209"/>
      <c r="K7" s="210"/>
      <c r="L7" s="211"/>
      <c r="M7" s="192" t="s">
        <v>841</v>
      </c>
      <c r="N7" s="207">
        <v>4</v>
      </c>
      <c r="O7" s="208">
        <v>15</v>
      </c>
      <c r="P7" s="204" t="s">
        <v>844</v>
      </c>
      <c r="Q7" s="205">
        <v>4</v>
      </c>
      <c r="R7" s="206">
        <v>15</v>
      </c>
      <c r="S7" s="406"/>
      <c r="T7" s="409"/>
      <c r="U7" s="136"/>
      <c r="V7" s="394"/>
      <c r="W7" s="412"/>
      <c r="X7" s="403"/>
      <c r="Y7" s="198" t="s">
        <v>838</v>
      </c>
      <c r="Z7" s="199">
        <v>6</v>
      </c>
      <c r="AA7" s="200">
        <v>20</v>
      </c>
      <c r="AB7" s="204" t="s">
        <v>844</v>
      </c>
      <c r="AC7" s="205">
        <v>4</v>
      </c>
      <c r="AD7" s="206">
        <v>15</v>
      </c>
      <c r="AE7" s="201" t="s">
        <v>843</v>
      </c>
      <c r="AF7" s="202">
        <v>2</v>
      </c>
      <c r="AG7" s="203">
        <v>10</v>
      </c>
      <c r="AH7" s="192" t="s">
        <v>841</v>
      </c>
      <c r="AI7" s="207">
        <v>4</v>
      </c>
      <c r="AJ7" s="208">
        <v>15</v>
      </c>
      <c r="AK7" s="212" t="s">
        <v>845</v>
      </c>
      <c r="AL7" s="213">
        <v>4</v>
      </c>
      <c r="AM7" s="214">
        <v>10</v>
      </c>
      <c r="AN7" s="415"/>
      <c r="AO7" s="418"/>
      <c r="AR7" s="212" t="s">
        <v>846</v>
      </c>
      <c r="AS7" s="193">
        <v>5</v>
      </c>
      <c r="AT7" s="194">
        <v>10</v>
      </c>
    </row>
    <row r="8" spans="1:64" ht="50.1" customHeight="1" x14ac:dyDescent="0.25">
      <c r="A8" s="394"/>
      <c r="B8" s="400"/>
      <c r="C8" s="403"/>
      <c r="D8" s="215" t="s">
        <v>847</v>
      </c>
      <c r="E8" s="216">
        <v>4</v>
      </c>
      <c r="F8" s="217">
        <v>10</v>
      </c>
      <c r="G8" s="212" t="s">
        <v>845</v>
      </c>
      <c r="H8" s="213">
        <v>5</v>
      </c>
      <c r="I8" s="214">
        <v>10</v>
      </c>
      <c r="J8" s="209"/>
      <c r="K8" s="210"/>
      <c r="L8" s="211"/>
      <c r="M8" s="215" t="s">
        <v>847</v>
      </c>
      <c r="N8" s="216">
        <v>4</v>
      </c>
      <c r="O8" s="217">
        <v>10</v>
      </c>
      <c r="P8" s="212" t="s">
        <v>845</v>
      </c>
      <c r="Q8" s="213">
        <v>5</v>
      </c>
      <c r="R8" s="214">
        <v>10</v>
      </c>
      <c r="S8" s="406"/>
      <c r="T8" s="409"/>
      <c r="U8" s="136"/>
      <c r="V8" s="394"/>
      <c r="W8" s="412"/>
      <c r="X8" s="403"/>
      <c r="Y8" s="192" t="s">
        <v>841</v>
      </c>
      <c r="Z8" s="207">
        <v>4</v>
      </c>
      <c r="AA8" s="208">
        <v>15</v>
      </c>
      <c r="AB8" s="215" t="s">
        <v>847</v>
      </c>
      <c r="AC8" s="216">
        <v>5</v>
      </c>
      <c r="AD8" s="217">
        <v>10</v>
      </c>
      <c r="AE8" s="218"/>
      <c r="AF8" s="193"/>
      <c r="AG8" s="219"/>
      <c r="AH8" s="215" t="s">
        <v>847</v>
      </c>
      <c r="AI8" s="216">
        <v>5</v>
      </c>
      <c r="AJ8" s="217">
        <v>10</v>
      </c>
      <c r="AK8" s="220"/>
      <c r="AL8" s="221"/>
      <c r="AM8" s="222"/>
      <c r="AN8" s="415"/>
      <c r="AO8" s="418"/>
      <c r="AR8" s="223" t="s">
        <v>833</v>
      </c>
      <c r="AS8" s="193">
        <v>3</v>
      </c>
      <c r="AT8" s="194">
        <v>10</v>
      </c>
      <c r="AZ8" s="175"/>
      <c r="BA8" s="175"/>
      <c r="BB8" s="175"/>
      <c r="BC8" s="175"/>
      <c r="BD8" s="175"/>
      <c r="BE8" s="175"/>
      <c r="BF8" s="175"/>
      <c r="BG8" s="175"/>
    </row>
    <row r="9" spans="1:64" ht="50.1" customHeight="1" thickBot="1" x14ac:dyDescent="0.3">
      <c r="A9" s="394"/>
      <c r="B9" s="401"/>
      <c r="C9" s="404"/>
      <c r="D9" s="224"/>
      <c r="E9" s="225"/>
      <c r="F9" s="226"/>
      <c r="G9" s="224"/>
      <c r="H9" s="225"/>
      <c r="I9" s="226"/>
      <c r="J9" s="227"/>
      <c r="K9" s="228"/>
      <c r="L9" s="229"/>
      <c r="M9" s="224"/>
      <c r="N9" s="225"/>
      <c r="O9" s="226"/>
      <c r="P9" s="224"/>
      <c r="Q9" s="225"/>
      <c r="R9" s="226"/>
      <c r="S9" s="407"/>
      <c r="T9" s="410"/>
      <c r="U9" s="136"/>
      <c r="V9" s="394"/>
      <c r="W9" s="413"/>
      <c r="X9" s="404"/>
      <c r="Y9" s="231" t="s">
        <v>845</v>
      </c>
      <c r="Z9" s="232">
        <v>4</v>
      </c>
      <c r="AA9" s="233">
        <v>10</v>
      </c>
      <c r="AB9" s="234"/>
      <c r="AC9" s="235"/>
      <c r="AD9" s="236"/>
      <c r="AE9" s="237"/>
      <c r="AF9" s="238"/>
      <c r="AG9" s="239"/>
      <c r="AH9" s="234"/>
      <c r="AI9" s="235"/>
      <c r="AJ9" s="236"/>
      <c r="AK9" s="234"/>
      <c r="AL9" s="235"/>
      <c r="AM9" s="236"/>
      <c r="AN9" s="416"/>
      <c r="AO9" s="419"/>
      <c r="AR9" s="183" t="s">
        <v>848</v>
      </c>
      <c r="AS9" s="193">
        <v>5</v>
      </c>
      <c r="AT9" s="194">
        <v>20</v>
      </c>
      <c r="AZ9" s="175"/>
      <c r="BA9" s="175"/>
      <c r="BB9" s="175"/>
      <c r="BC9" s="175"/>
      <c r="BD9" s="175"/>
      <c r="BE9" s="175"/>
      <c r="BF9" s="175"/>
      <c r="BG9" s="175"/>
    </row>
    <row r="10" spans="1:64" ht="50.1" customHeight="1" thickBot="1" x14ac:dyDescent="0.3">
      <c r="A10" s="394"/>
      <c r="B10" s="176"/>
      <c r="C10" s="138" t="s">
        <v>849</v>
      </c>
      <c r="D10" s="137">
        <f>(E4*F4)+(E5*F5)+(E6*F6)+(E7*F7)+(E8*F8)+(E9*F9)</f>
        <v>410</v>
      </c>
      <c r="E10" s="240">
        <f>SUM(E4:E9)</f>
        <v>23</v>
      </c>
      <c r="F10" s="142">
        <f>SUM(F4:F9)</f>
        <v>85</v>
      </c>
      <c r="G10" s="137">
        <f>(H4*I4)+(H5*I5)+(H6*I6)+(H7*I7)+(H8*I8)</f>
        <v>300</v>
      </c>
      <c r="H10" s="240">
        <f>SUM(H4:H8)</f>
        <v>22</v>
      </c>
      <c r="I10" s="142">
        <f>SUM(I4:I8)</f>
        <v>65</v>
      </c>
      <c r="J10" s="137">
        <f>(K4*L4)+(K5*L5)+(K6*L6)+(K7*L7)+(K8*L8)+(K9*L9)</f>
        <v>180</v>
      </c>
      <c r="K10" s="240">
        <f>SUM(K4:K9)</f>
        <v>8</v>
      </c>
      <c r="L10" s="142">
        <f>SUM(L4:L9)</f>
        <v>50</v>
      </c>
      <c r="M10" s="137">
        <f>(N4*O4)+(N5*O5)+(N6*O6)+(N7*O7)+(N8*O8)+(N9*O9)</f>
        <v>410</v>
      </c>
      <c r="N10" s="240">
        <f>SUM(N4:N9)</f>
        <v>23</v>
      </c>
      <c r="O10" s="142">
        <f>SUM(O4:O9)</f>
        <v>85</v>
      </c>
      <c r="P10" s="137">
        <f>(Q4*R4)+(Q5*R5)+(Q6*R6)+(Q7*R7)+(Q8*R8)+(Q9*R9)</f>
        <v>300</v>
      </c>
      <c r="Q10" s="240">
        <f>SUM(Q4:Q9)</f>
        <v>22</v>
      </c>
      <c r="R10" s="142">
        <f>SUM(R4:R9)</f>
        <v>65</v>
      </c>
      <c r="S10" s="139"/>
      <c r="T10" s="241">
        <f>D10+G10+J10+M10+P10</f>
        <v>1600</v>
      </c>
      <c r="U10" s="136"/>
      <c r="V10" s="394"/>
      <c r="W10" s="242"/>
      <c r="X10" s="243" t="s">
        <v>849</v>
      </c>
      <c r="Y10" s="137">
        <f>(Z4*AA4)+(Z5*AA5)+(Z6*AA6)+(Z7*AA7)+(Z8*AA8)+(Z9*AA9)</f>
        <v>310</v>
      </c>
      <c r="Z10" s="240">
        <f>SUM(Z4:Z9)</f>
        <v>23</v>
      </c>
      <c r="AA10" s="142">
        <f>SUM(AA4:AA9)</f>
        <v>75</v>
      </c>
      <c r="AB10" s="137">
        <f>(AC4*AD4)+(AC5*AD5)+(AC6*AD6)+(AC7*AD7)+(AC8*AD8)</f>
        <v>420</v>
      </c>
      <c r="AC10" s="240">
        <f>SUM(AC4:AC8)</f>
        <v>24</v>
      </c>
      <c r="AD10" s="142">
        <f>SUM(AD4:AD8)</f>
        <v>85</v>
      </c>
      <c r="AE10" s="137">
        <f>(AF4*AG4)+(AF5*AG5)+(AF6*AG6)+(AF7*AG7)+(AF8*AG8)+(AF9*AG9)</f>
        <v>80</v>
      </c>
      <c r="AF10" s="240">
        <f>SUM(AF4:AF9)</f>
        <v>8</v>
      </c>
      <c r="AG10" s="142">
        <f>SUM(AG4:AG9)</f>
        <v>40</v>
      </c>
      <c r="AH10" s="137">
        <f>(AI4*AJ4)+(AI5*AJ5)+(AI6*AJ6)+(AI7*AJ7)+(AI8*AJ8)+(AI9*AJ9)</f>
        <v>420</v>
      </c>
      <c r="AI10" s="240">
        <f>SUM(AI4:AI9)</f>
        <v>24</v>
      </c>
      <c r="AJ10" s="142">
        <f>SUM(AJ4:AJ9)</f>
        <v>85</v>
      </c>
      <c r="AK10" s="137">
        <f>(AL4*AM4)+(AL5*AM5)+(AL6*AM6)+(AL7*AM7)+(AL8*AM8)+(AL9*AM9)</f>
        <v>170</v>
      </c>
      <c r="AL10" s="240">
        <f>SUM(AL4:AL9)</f>
        <v>15</v>
      </c>
      <c r="AM10" s="142">
        <f>SUM(AM4:AM9)</f>
        <v>45</v>
      </c>
      <c r="AN10" s="144"/>
      <c r="AO10" s="244">
        <f>Y10+AB10+AE10+AH10+AK10</f>
        <v>1400</v>
      </c>
      <c r="AR10" s="201" t="s">
        <v>843</v>
      </c>
      <c r="AS10" s="193">
        <v>2</v>
      </c>
      <c r="AT10" s="194">
        <v>10</v>
      </c>
      <c r="AZ10" s="175"/>
      <c r="BA10" s="175"/>
      <c r="BB10" s="175"/>
      <c r="BC10" s="175"/>
      <c r="BD10" s="175"/>
      <c r="BE10" s="175"/>
      <c r="BF10" s="175"/>
      <c r="BG10" s="175"/>
    </row>
    <row r="11" spans="1:64" ht="50.1" customHeight="1" thickBot="1" x14ac:dyDescent="0.3">
      <c r="A11" s="394"/>
      <c r="B11" s="145" t="s">
        <v>816</v>
      </c>
      <c r="C11" s="243" t="s">
        <v>817</v>
      </c>
      <c r="D11" s="390" t="s">
        <v>818</v>
      </c>
      <c r="E11" s="391"/>
      <c r="F11" s="392"/>
      <c r="G11" s="390" t="s">
        <v>819</v>
      </c>
      <c r="H11" s="391"/>
      <c r="I11" s="392"/>
      <c r="J11" s="390" t="s">
        <v>820</v>
      </c>
      <c r="K11" s="391"/>
      <c r="L11" s="392"/>
      <c r="M11" s="390" t="s">
        <v>821</v>
      </c>
      <c r="N11" s="391"/>
      <c r="O11" s="392"/>
      <c r="P11" s="396" t="s">
        <v>822</v>
      </c>
      <c r="Q11" s="397"/>
      <c r="R11" s="397"/>
      <c r="S11" s="146" t="s">
        <v>816</v>
      </c>
      <c r="T11" s="147" t="s">
        <v>817</v>
      </c>
      <c r="U11" s="136"/>
      <c r="V11" s="394"/>
      <c r="W11" s="145" t="s">
        <v>816</v>
      </c>
      <c r="X11" s="243" t="s">
        <v>817</v>
      </c>
      <c r="Y11" s="396" t="s">
        <v>818</v>
      </c>
      <c r="Z11" s="397"/>
      <c r="AA11" s="398"/>
      <c r="AB11" s="396" t="s">
        <v>819</v>
      </c>
      <c r="AC11" s="397"/>
      <c r="AD11" s="398"/>
      <c r="AE11" s="396" t="s">
        <v>820</v>
      </c>
      <c r="AF11" s="397"/>
      <c r="AG11" s="398"/>
      <c r="AH11" s="396" t="s">
        <v>821</v>
      </c>
      <c r="AI11" s="397"/>
      <c r="AJ11" s="398"/>
      <c r="AK11" s="396" t="s">
        <v>822</v>
      </c>
      <c r="AL11" s="397"/>
      <c r="AM11" s="398"/>
      <c r="AN11" s="245" t="s">
        <v>816</v>
      </c>
      <c r="AO11" s="147" t="s">
        <v>817</v>
      </c>
      <c r="AR11" s="195" t="s">
        <v>842</v>
      </c>
      <c r="AS11" s="193">
        <v>6</v>
      </c>
      <c r="AT11" s="194">
        <v>20</v>
      </c>
    </row>
    <row r="12" spans="1:64" ht="29.25" customHeight="1" thickBot="1" x14ac:dyDescent="0.3">
      <c r="A12" s="394"/>
      <c r="B12" s="246"/>
      <c r="C12" s="247"/>
      <c r="D12" s="429" t="s">
        <v>823</v>
      </c>
      <c r="E12" s="430"/>
      <c r="F12" s="431"/>
      <c r="G12" s="429" t="s">
        <v>823</v>
      </c>
      <c r="H12" s="430"/>
      <c r="I12" s="431"/>
      <c r="J12" s="429" t="s">
        <v>826</v>
      </c>
      <c r="K12" s="430"/>
      <c r="L12" s="431"/>
      <c r="M12" s="429" t="s">
        <v>827</v>
      </c>
      <c r="N12" s="430"/>
      <c r="O12" s="430"/>
      <c r="P12" s="432" t="s">
        <v>850</v>
      </c>
      <c r="Q12" s="433"/>
      <c r="R12" s="434"/>
      <c r="S12" s="249"/>
      <c r="T12" s="248"/>
      <c r="U12" s="136"/>
      <c r="V12" s="394"/>
      <c r="W12" s="137"/>
      <c r="X12" s="138"/>
      <c r="Y12" s="390" t="s">
        <v>823</v>
      </c>
      <c r="Z12" s="391"/>
      <c r="AA12" s="392"/>
      <c r="AB12" s="390" t="s">
        <v>823</v>
      </c>
      <c r="AC12" s="391"/>
      <c r="AD12" s="392"/>
      <c r="AE12" s="390" t="s">
        <v>823</v>
      </c>
      <c r="AF12" s="391"/>
      <c r="AG12" s="392"/>
      <c r="AH12" s="390" t="s">
        <v>826</v>
      </c>
      <c r="AI12" s="391"/>
      <c r="AJ12" s="392"/>
      <c r="AK12" s="390" t="s">
        <v>827</v>
      </c>
      <c r="AL12" s="391"/>
      <c r="AM12" s="392"/>
      <c r="AN12" s="141"/>
      <c r="AO12" s="142"/>
      <c r="AR12" s="204" t="s">
        <v>844</v>
      </c>
      <c r="AS12" s="193">
        <v>4</v>
      </c>
      <c r="AT12" s="194">
        <v>20</v>
      </c>
    </row>
    <row r="13" spans="1:64" ht="50.1" customHeight="1" x14ac:dyDescent="0.25">
      <c r="A13" s="394"/>
      <c r="B13" s="399" t="s">
        <v>830</v>
      </c>
      <c r="C13" s="402" t="s">
        <v>831</v>
      </c>
      <c r="D13" s="148" t="s">
        <v>832</v>
      </c>
      <c r="E13" s="149">
        <v>5</v>
      </c>
      <c r="F13" s="150">
        <v>30</v>
      </c>
      <c r="G13" s="151" t="s">
        <v>833</v>
      </c>
      <c r="H13" s="152">
        <v>3</v>
      </c>
      <c r="I13" s="153">
        <v>10</v>
      </c>
      <c r="J13" s="154" t="s">
        <v>834</v>
      </c>
      <c r="K13" s="155">
        <v>1</v>
      </c>
      <c r="L13" s="156">
        <v>10</v>
      </c>
      <c r="M13" s="151" t="s">
        <v>833</v>
      </c>
      <c r="N13" s="152">
        <v>3</v>
      </c>
      <c r="O13" s="153">
        <v>10</v>
      </c>
      <c r="P13" s="163" t="s">
        <v>832</v>
      </c>
      <c r="Q13" s="164">
        <v>5</v>
      </c>
      <c r="R13" s="165">
        <v>30</v>
      </c>
      <c r="S13" s="420" t="s">
        <v>836</v>
      </c>
      <c r="T13" s="423" t="s">
        <v>836</v>
      </c>
      <c r="U13" s="136"/>
      <c r="V13" s="394"/>
      <c r="W13" s="399" t="s">
        <v>830</v>
      </c>
      <c r="X13" s="426" t="s">
        <v>831</v>
      </c>
      <c r="Y13" s="148" t="s">
        <v>832</v>
      </c>
      <c r="Z13" s="149">
        <v>5</v>
      </c>
      <c r="AA13" s="150">
        <v>30</v>
      </c>
      <c r="AB13" s="151" t="s">
        <v>833</v>
      </c>
      <c r="AC13" s="152">
        <v>3</v>
      </c>
      <c r="AD13" s="153">
        <v>10</v>
      </c>
      <c r="AE13" s="154" t="s">
        <v>834</v>
      </c>
      <c r="AF13" s="155">
        <v>1</v>
      </c>
      <c r="AG13" s="156">
        <v>10</v>
      </c>
      <c r="AH13" s="148" t="s">
        <v>832</v>
      </c>
      <c r="AI13" s="149">
        <v>5</v>
      </c>
      <c r="AJ13" s="150">
        <v>30</v>
      </c>
      <c r="AK13" s="151" t="s">
        <v>833</v>
      </c>
      <c r="AL13" s="152">
        <v>3</v>
      </c>
      <c r="AM13" s="153">
        <v>10</v>
      </c>
      <c r="AN13" s="405" t="s">
        <v>830</v>
      </c>
      <c r="AO13" s="423" t="s">
        <v>836</v>
      </c>
      <c r="AR13" s="177" t="s">
        <v>839</v>
      </c>
      <c r="AS13" s="193">
        <v>4</v>
      </c>
      <c r="AT13" s="194">
        <v>10</v>
      </c>
    </row>
    <row r="14" spans="1:64" ht="50.1" customHeight="1" x14ac:dyDescent="0.25">
      <c r="A14" s="394"/>
      <c r="B14" s="400"/>
      <c r="C14" s="403"/>
      <c r="D14" s="177" t="s">
        <v>839</v>
      </c>
      <c r="E14" s="178">
        <v>4</v>
      </c>
      <c r="F14" s="179">
        <v>10</v>
      </c>
      <c r="G14" s="186" t="s">
        <v>835</v>
      </c>
      <c r="H14" s="187">
        <v>3</v>
      </c>
      <c r="I14" s="188">
        <v>10</v>
      </c>
      <c r="J14" s="183" t="s">
        <v>832</v>
      </c>
      <c r="K14" s="184">
        <v>5</v>
      </c>
      <c r="L14" s="185">
        <v>30</v>
      </c>
      <c r="M14" s="186" t="s">
        <v>835</v>
      </c>
      <c r="N14" s="187">
        <v>3</v>
      </c>
      <c r="O14" s="188">
        <v>10</v>
      </c>
      <c r="P14" s="180" t="s">
        <v>840</v>
      </c>
      <c r="Q14" s="181">
        <v>4</v>
      </c>
      <c r="R14" s="182">
        <v>10</v>
      </c>
      <c r="S14" s="421"/>
      <c r="T14" s="424"/>
      <c r="U14" s="136"/>
      <c r="V14" s="394"/>
      <c r="W14" s="400"/>
      <c r="X14" s="427"/>
      <c r="Y14" s="177" t="s">
        <v>839</v>
      </c>
      <c r="Z14" s="178">
        <v>4</v>
      </c>
      <c r="AA14" s="179">
        <v>10</v>
      </c>
      <c r="AB14" s="186" t="s">
        <v>835</v>
      </c>
      <c r="AC14" s="187">
        <v>3</v>
      </c>
      <c r="AD14" s="188">
        <v>10</v>
      </c>
      <c r="AE14" s="183" t="s">
        <v>832</v>
      </c>
      <c r="AF14" s="184">
        <v>5</v>
      </c>
      <c r="AG14" s="185">
        <v>30</v>
      </c>
      <c r="AH14" s="177" t="s">
        <v>839</v>
      </c>
      <c r="AI14" s="178">
        <v>4</v>
      </c>
      <c r="AJ14" s="179">
        <v>10</v>
      </c>
      <c r="AK14" s="180" t="s">
        <v>840</v>
      </c>
      <c r="AL14" s="181">
        <v>4</v>
      </c>
      <c r="AM14" s="182">
        <v>10</v>
      </c>
      <c r="AN14" s="406"/>
      <c r="AO14" s="424"/>
      <c r="AR14" s="215" t="s">
        <v>851</v>
      </c>
      <c r="AS14" s="193">
        <v>5</v>
      </c>
      <c r="AT14" s="194">
        <v>10</v>
      </c>
    </row>
    <row r="15" spans="1:64" ht="50.1" customHeight="1" x14ac:dyDescent="0.25">
      <c r="A15" s="394"/>
      <c r="B15" s="400"/>
      <c r="C15" s="403"/>
      <c r="D15" s="195" t="s">
        <v>842</v>
      </c>
      <c r="E15" s="196">
        <v>6</v>
      </c>
      <c r="F15" s="197">
        <v>20</v>
      </c>
      <c r="G15" s="180" t="s">
        <v>840</v>
      </c>
      <c r="H15" s="181">
        <v>4</v>
      </c>
      <c r="I15" s="182">
        <v>10</v>
      </c>
      <c r="J15" s="201" t="s">
        <v>843</v>
      </c>
      <c r="K15" s="202">
        <v>2</v>
      </c>
      <c r="L15" s="203">
        <v>10</v>
      </c>
      <c r="M15" s="177" t="s">
        <v>839</v>
      </c>
      <c r="N15" s="178">
        <v>4</v>
      </c>
      <c r="O15" s="179">
        <v>10</v>
      </c>
      <c r="P15" s="204" t="s">
        <v>844</v>
      </c>
      <c r="Q15" s="205">
        <v>4</v>
      </c>
      <c r="R15" s="206">
        <v>15</v>
      </c>
      <c r="S15" s="421"/>
      <c r="T15" s="424"/>
      <c r="U15" s="136"/>
      <c r="V15" s="394"/>
      <c r="W15" s="400"/>
      <c r="X15" s="427"/>
      <c r="Y15" s="195" t="s">
        <v>842</v>
      </c>
      <c r="Z15" s="196">
        <v>6</v>
      </c>
      <c r="AA15" s="197">
        <v>20</v>
      </c>
      <c r="AB15" s="180" t="s">
        <v>840</v>
      </c>
      <c r="AC15" s="181">
        <v>4</v>
      </c>
      <c r="AD15" s="182">
        <v>10</v>
      </c>
      <c r="AE15" s="201" t="s">
        <v>843</v>
      </c>
      <c r="AF15" s="202">
        <v>2</v>
      </c>
      <c r="AG15" s="203">
        <v>10</v>
      </c>
      <c r="AH15" s="195" t="s">
        <v>842</v>
      </c>
      <c r="AI15" s="196">
        <v>6</v>
      </c>
      <c r="AJ15" s="197">
        <v>20</v>
      </c>
      <c r="AK15" s="204" t="s">
        <v>844</v>
      </c>
      <c r="AL15" s="205">
        <v>4</v>
      </c>
      <c r="AM15" s="206">
        <v>15</v>
      </c>
      <c r="AN15" s="406"/>
      <c r="AO15" s="424"/>
      <c r="AR15" s="186" t="s">
        <v>835</v>
      </c>
      <c r="AS15" s="193">
        <v>3</v>
      </c>
      <c r="AT15" s="194">
        <v>10</v>
      </c>
    </row>
    <row r="16" spans="1:64" ht="50.1" customHeight="1" x14ac:dyDescent="0.25">
      <c r="A16" s="394"/>
      <c r="B16" s="400"/>
      <c r="C16" s="403"/>
      <c r="D16" s="204" t="s">
        <v>844</v>
      </c>
      <c r="E16" s="205">
        <v>4</v>
      </c>
      <c r="F16" s="206">
        <v>15</v>
      </c>
      <c r="G16" s="198" t="s">
        <v>838</v>
      </c>
      <c r="H16" s="199">
        <v>6</v>
      </c>
      <c r="I16" s="200">
        <v>20</v>
      </c>
      <c r="J16" s="209"/>
      <c r="K16" s="210"/>
      <c r="L16" s="211"/>
      <c r="M16" s="192" t="s">
        <v>841</v>
      </c>
      <c r="N16" s="207">
        <v>4</v>
      </c>
      <c r="O16" s="208">
        <v>15</v>
      </c>
      <c r="P16" s="212" t="s">
        <v>845</v>
      </c>
      <c r="Q16" s="213">
        <v>4</v>
      </c>
      <c r="R16" s="214">
        <v>10</v>
      </c>
      <c r="S16" s="421"/>
      <c r="T16" s="424"/>
      <c r="U16" s="136"/>
      <c r="V16" s="394"/>
      <c r="W16" s="400"/>
      <c r="X16" s="427"/>
      <c r="Y16" s="204" t="s">
        <v>844</v>
      </c>
      <c r="Z16" s="205">
        <v>4</v>
      </c>
      <c r="AA16" s="206">
        <v>15</v>
      </c>
      <c r="AB16" s="198" t="s">
        <v>838</v>
      </c>
      <c r="AC16" s="199">
        <v>6</v>
      </c>
      <c r="AD16" s="200">
        <v>20</v>
      </c>
      <c r="AE16" s="209"/>
      <c r="AF16" s="210"/>
      <c r="AG16" s="211"/>
      <c r="AH16" s="192" t="s">
        <v>841</v>
      </c>
      <c r="AI16" s="207">
        <v>4</v>
      </c>
      <c r="AJ16" s="208">
        <v>15</v>
      </c>
      <c r="AK16" s="212" t="s">
        <v>845</v>
      </c>
      <c r="AL16" s="213">
        <v>4</v>
      </c>
      <c r="AM16" s="214">
        <v>10</v>
      </c>
      <c r="AN16" s="406"/>
      <c r="AO16" s="424"/>
      <c r="AR16" s="250" t="s">
        <v>834</v>
      </c>
      <c r="AS16" s="193">
        <v>1</v>
      </c>
      <c r="AT16" s="194">
        <v>10</v>
      </c>
    </row>
    <row r="17" spans="1:46" ht="50.1" customHeight="1" thickBot="1" x14ac:dyDescent="0.3">
      <c r="A17" s="394"/>
      <c r="B17" s="400"/>
      <c r="C17" s="403"/>
      <c r="D17" s="215" t="s">
        <v>847</v>
      </c>
      <c r="E17" s="216">
        <v>5</v>
      </c>
      <c r="F17" s="217">
        <v>10</v>
      </c>
      <c r="G17" s="192" t="s">
        <v>841</v>
      </c>
      <c r="H17" s="207">
        <v>4</v>
      </c>
      <c r="I17" s="208">
        <v>15</v>
      </c>
      <c r="J17" s="209"/>
      <c r="K17" s="210"/>
      <c r="L17" s="211"/>
      <c r="M17" s="215" t="s">
        <v>847</v>
      </c>
      <c r="N17" s="216">
        <v>5</v>
      </c>
      <c r="O17" s="217">
        <v>10</v>
      </c>
      <c r="P17" s="251"/>
      <c r="Q17" s="252"/>
      <c r="R17" s="194"/>
      <c r="S17" s="421"/>
      <c r="T17" s="424"/>
      <c r="U17" s="136"/>
      <c r="V17" s="394"/>
      <c r="W17" s="400"/>
      <c r="X17" s="427"/>
      <c r="Y17" s="215" t="s">
        <v>847</v>
      </c>
      <c r="Z17" s="216">
        <v>5</v>
      </c>
      <c r="AA17" s="217">
        <v>10</v>
      </c>
      <c r="AB17" s="192" t="s">
        <v>841</v>
      </c>
      <c r="AC17" s="207">
        <v>4</v>
      </c>
      <c r="AD17" s="208">
        <v>15</v>
      </c>
      <c r="AE17" s="209"/>
      <c r="AF17" s="210"/>
      <c r="AG17" s="211"/>
      <c r="AH17" s="215" t="s">
        <v>847</v>
      </c>
      <c r="AI17" s="216">
        <v>5</v>
      </c>
      <c r="AJ17" s="217">
        <v>10</v>
      </c>
      <c r="AK17" s="220"/>
      <c r="AL17" s="221"/>
      <c r="AM17" s="222"/>
      <c r="AN17" s="406"/>
      <c r="AO17" s="424"/>
      <c r="AR17" s="253" t="s">
        <v>837</v>
      </c>
      <c r="AS17" s="254">
        <v>2</v>
      </c>
      <c r="AT17" s="255">
        <v>10</v>
      </c>
    </row>
    <row r="18" spans="1:46" ht="50.1" customHeight="1" thickBot="1" x14ac:dyDescent="0.3">
      <c r="A18" s="395"/>
      <c r="B18" s="401"/>
      <c r="C18" s="404"/>
      <c r="D18" s="224"/>
      <c r="E18" s="225"/>
      <c r="F18" s="226"/>
      <c r="G18" s="256" t="s">
        <v>845</v>
      </c>
      <c r="H18" s="257">
        <v>4</v>
      </c>
      <c r="I18" s="258">
        <v>10</v>
      </c>
      <c r="J18" s="227"/>
      <c r="K18" s="228"/>
      <c r="L18" s="229"/>
      <c r="M18" s="259"/>
      <c r="N18" s="260"/>
      <c r="O18" s="261"/>
      <c r="P18" s="262"/>
      <c r="Q18" s="263"/>
      <c r="R18" s="255"/>
      <c r="S18" s="422"/>
      <c r="T18" s="425"/>
      <c r="U18" s="136"/>
      <c r="V18" s="395"/>
      <c r="W18" s="401"/>
      <c r="X18" s="428"/>
      <c r="Y18" s="224"/>
      <c r="Z18" s="225"/>
      <c r="AA18" s="226"/>
      <c r="AB18" s="256" t="s">
        <v>845</v>
      </c>
      <c r="AC18" s="257">
        <v>4</v>
      </c>
      <c r="AD18" s="258">
        <v>10</v>
      </c>
      <c r="AE18" s="227"/>
      <c r="AF18" s="228"/>
      <c r="AG18" s="229"/>
      <c r="AH18" s="224"/>
      <c r="AI18" s="225"/>
      <c r="AJ18" s="226"/>
      <c r="AK18" s="224"/>
      <c r="AL18" s="225"/>
      <c r="AM18" s="226"/>
      <c r="AN18" s="407"/>
      <c r="AO18" s="425"/>
    </row>
    <row r="19" spans="1:46" ht="50.1" customHeight="1" thickBot="1" x14ac:dyDescent="0.3">
      <c r="A19" s="143"/>
      <c r="B19" s="176"/>
      <c r="C19" s="243" t="s">
        <v>849</v>
      </c>
      <c r="D19" s="145">
        <f>(E13*F13)+(E14*F14)+(E16*F16)+(E17*F17)+(E18*F18)</f>
        <v>300</v>
      </c>
      <c r="E19" s="146">
        <f>SUM(E13:E18)</f>
        <v>24</v>
      </c>
      <c r="F19" s="147">
        <f>SUM(F13:F18)</f>
        <v>85</v>
      </c>
      <c r="G19" s="145">
        <f>(H13*I13)+(H14*I14)+(H16*I16)+(H17*I17)</f>
        <v>240</v>
      </c>
      <c r="H19" s="146">
        <f>SUM(H13:H17)</f>
        <v>20</v>
      </c>
      <c r="I19" s="147">
        <f>SUM(I13:I17)</f>
        <v>65</v>
      </c>
      <c r="J19" s="145">
        <f>(K13*L13)+(K14*L14)+(K16*L16)+(K17*L17)+(K18*L18)</f>
        <v>160</v>
      </c>
      <c r="K19" s="146">
        <f>SUM(K13:K18)</f>
        <v>8</v>
      </c>
      <c r="L19" s="147">
        <f>SUM(L13:L18)</f>
        <v>50</v>
      </c>
      <c r="M19" s="145">
        <f>(N13*O13)+(N14*O14)+(N16*O16)+(N17*O17)+(N18*O18)</f>
        <v>170</v>
      </c>
      <c r="N19" s="146">
        <f>SUM(N13:N18)</f>
        <v>19</v>
      </c>
      <c r="O19" s="147">
        <f>SUM(O13:O18)</f>
        <v>55</v>
      </c>
      <c r="P19" s="145">
        <f>(Q13*R13)+(Q14*R14)+(Q16*R16)+(Q17*R17)+(Q18*R18)</f>
        <v>230</v>
      </c>
      <c r="Q19" s="146">
        <f>SUM(Q13:Q18)</f>
        <v>17</v>
      </c>
      <c r="R19" s="147">
        <f>SUM(R13:R18)</f>
        <v>65</v>
      </c>
      <c r="S19" s="144"/>
      <c r="T19" s="264">
        <f>D19+G19+J19+M19+P19</f>
        <v>1100</v>
      </c>
      <c r="U19" s="136"/>
      <c r="V19" s="265"/>
      <c r="W19" s="266"/>
      <c r="X19" s="243" t="s">
        <v>849</v>
      </c>
      <c r="Y19" s="145">
        <f>(Z13*AA13)+(Z14*AA14)+(Z16*AA16)+(Z17*AA17)+(Z18*AA18)</f>
        <v>300</v>
      </c>
      <c r="Z19" s="146">
        <f>SUM(Z13:Z18)</f>
        <v>24</v>
      </c>
      <c r="AA19" s="147">
        <f>SUM(AA13:AA18)</f>
        <v>85</v>
      </c>
      <c r="AB19" s="145">
        <f>(AC13*AD13)+(AC14*AD14)+(AC16*AD16)+(AC17*AD17)</f>
        <v>240</v>
      </c>
      <c r="AC19" s="146">
        <f>SUM(AC13:AC17)</f>
        <v>20</v>
      </c>
      <c r="AD19" s="147">
        <f>SUM(AD13:AD17)</f>
        <v>65</v>
      </c>
      <c r="AE19" s="145">
        <f>(AF13*AG13)+(AF14*AG14)+(AF16*AG16)+(AF17*AG17)+(AF18*AG18)</f>
        <v>160</v>
      </c>
      <c r="AF19" s="146">
        <f>SUM(AF13:AF18)</f>
        <v>8</v>
      </c>
      <c r="AG19" s="147">
        <f>SUM(AG13:AG18)</f>
        <v>50</v>
      </c>
      <c r="AH19" s="145">
        <f>(AI13*AJ13)+(AI14*AJ14)+(AI16*AJ16)+(AI17*AJ17)+(AI18*AJ18)</f>
        <v>300</v>
      </c>
      <c r="AI19" s="146">
        <f>SUM(AI13:AI18)</f>
        <v>24</v>
      </c>
      <c r="AJ19" s="147">
        <f>SUM(AJ13:AJ18)</f>
        <v>85</v>
      </c>
      <c r="AK19" s="145">
        <f>(AL13*AM13)+(AL14*AM14)+(AL16*AM16)+(AL17*AM17)+(AL18*AM18)</f>
        <v>110</v>
      </c>
      <c r="AL19" s="146">
        <f>SUM(AL13:AL18)</f>
        <v>15</v>
      </c>
      <c r="AM19" s="147">
        <f>SUM(AM13:AM18)</f>
        <v>45</v>
      </c>
      <c r="AN19" s="267"/>
      <c r="AO19" s="244">
        <f>Y19+AB19+AE19+AH19+AK19</f>
        <v>1110</v>
      </c>
    </row>
    <row r="20" spans="1:46" ht="24.75" customHeight="1" thickBot="1" x14ac:dyDescent="0.3">
      <c r="A20" s="143"/>
      <c r="B20" s="435"/>
      <c r="C20" s="436"/>
      <c r="D20" s="436"/>
      <c r="E20" s="436"/>
      <c r="F20" s="436"/>
      <c r="G20" s="436"/>
      <c r="H20" s="436"/>
      <c r="I20" s="436"/>
      <c r="J20" s="436"/>
      <c r="K20" s="436"/>
      <c r="L20" s="436"/>
      <c r="M20" s="436"/>
      <c r="N20" s="436"/>
      <c r="O20" s="436"/>
      <c r="P20" s="436"/>
      <c r="Q20" s="436"/>
      <c r="R20" s="436"/>
      <c r="S20" s="436"/>
      <c r="T20" s="437"/>
      <c r="U20" s="136"/>
      <c r="V20" s="268"/>
      <c r="W20" s="438"/>
      <c r="X20" s="439"/>
      <c r="Y20" s="440"/>
      <c r="Z20" s="440"/>
      <c r="AA20" s="440"/>
      <c r="AB20" s="440"/>
      <c r="AC20" s="440"/>
      <c r="AD20" s="440"/>
      <c r="AE20" s="440"/>
      <c r="AF20" s="440"/>
      <c r="AG20" s="440"/>
      <c r="AH20" s="440"/>
      <c r="AI20" s="440"/>
      <c r="AJ20" s="440"/>
      <c r="AK20" s="440"/>
      <c r="AL20" s="440"/>
      <c r="AM20" s="440"/>
      <c r="AN20" s="439"/>
      <c r="AO20" s="441"/>
    </row>
    <row r="21" spans="1:46" ht="50.1" customHeight="1" thickBot="1" x14ac:dyDescent="0.3">
      <c r="A21" s="393" t="s">
        <v>815</v>
      </c>
      <c r="B21" s="137" t="s">
        <v>816</v>
      </c>
      <c r="C21" s="138" t="s">
        <v>817</v>
      </c>
      <c r="D21" s="396" t="s">
        <v>818</v>
      </c>
      <c r="E21" s="397"/>
      <c r="F21" s="398"/>
      <c r="G21" s="396" t="s">
        <v>819</v>
      </c>
      <c r="H21" s="397"/>
      <c r="I21" s="398"/>
      <c r="J21" s="396" t="s">
        <v>820</v>
      </c>
      <c r="K21" s="397"/>
      <c r="L21" s="398"/>
      <c r="M21" s="396" t="s">
        <v>821</v>
      </c>
      <c r="N21" s="397"/>
      <c r="O21" s="398"/>
      <c r="P21" s="396" t="s">
        <v>822</v>
      </c>
      <c r="Q21" s="397"/>
      <c r="R21" s="398"/>
      <c r="S21" s="141" t="s">
        <v>816</v>
      </c>
      <c r="T21" s="142" t="s">
        <v>817</v>
      </c>
      <c r="U21" s="136"/>
      <c r="V21" s="393" t="s">
        <v>815</v>
      </c>
      <c r="W21" s="145" t="s">
        <v>816</v>
      </c>
      <c r="X21" s="243" t="s">
        <v>817</v>
      </c>
      <c r="Y21" s="396" t="s">
        <v>818</v>
      </c>
      <c r="Z21" s="397"/>
      <c r="AA21" s="398"/>
      <c r="AB21" s="396" t="s">
        <v>819</v>
      </c>
      <c r="AC21" s="397"/>
      <c r="AD21" s="398"/>
      <c r="AE21" s="396" t="s">
        <v>820</v>
      </c>
      <c r="AF21" s="397"/>
      <c r="AG21" s="398"/>
      <c r="AH21" s="396" t="s">
        <v>821</v>
      </c>
      <c r="AI21" s="397"/>
      <c r="AJ21" s="398"/>
      <c r="AK21" s="396" t="s">
        <v>822</v>
      </c>
      <c r="AL21" s="397"/>
      <c r="AM21" s="398"/>
      <c r="AN21" s="245" t="s">
        <v>816</v>
      </c>
      <c r="AO21" s="147" t="s">
        <v>817</v>
      </c>
    </row>
    <row r="22" spans="1:46" ht="29.25" customHeight="1" thickBot="1" x14ac:dyDescent="0.3">
      <c r="A22" s="394"/>
      <c r="B22" s="137"/>
      <c r="C22" s="138"/>
      <c r="D22" s="396" t="s">
        <v>852</v>
      </c>
      <c r="E22" s="397"/>
      <c r="F22" s="398"/>
      <c r="G22" s="396" t="s">
        <v>824</v>
      </c>
      <c r="H22" s="397"/>
      <c r="I22" s="398"/>
      <c r="J22" s="396" t="s">
        <v>825</v>
      </c>
      <c r="K22" s="397"/>
      <c r="L22" s="398"/>
      <c r="M22" s="396" t="s">
        <v>823</v>
      </c>
      <c r="N22" s="397"/>
      <c r="O22" s="398"/>
      <c r="P22" s="396" t="s">
        <v>823</v>
      </c>
      <c r="Q22" s="397"/>
      <c r="R22" s="398"/>
      <c r="S22" s="141"/>
      <c r="T22" s="140"/>
      <c r="U22" s="136"/>
      <c r="V22" s="394"/>
      <c r="W22" s="137"/>
      <c r="X22" s="138"/>
      <c r="Y22" s="396" t="s">
        <v>824</v>
      </c>
      <c r="Z22" s="397"/>
      <c r="AA22" s="398"/>
      <c r="AB22" s="396" t="s">
        <v>825</v>
      </c>
      <c r="AC22" s="397"/>
      <c r="AD22" s="398"/>
      <c r="AE22" s="396" t="s">
        <v>827</v>
      </c>
      <c r="AF22" s="397"/>
      <c r="AG22" s="398"/>
      <c r="AH22" s="396" t="s">
        <v>850</v>
      </c>
      <c r="AI22" s="397"/>
      <c r="AJ22" s="398"/>
      <c r="AK22" s="390"/>
      <c r="AL22" s="391"/>
      <c r="AM22" s="392"/>
      <c r="AN22" s="141"/>
      <c r="AO22" s="142"/>
    </row>
    <row r="23" spans="1:46" ht="50.1" customHeight="1" x14ac:dyDescent="0.25">
      <c r="A23" s="394"/>
      <c r="B23" s="411" t="s">
        <v>836</v>
      </c>
      <c r="C23" s="442" t="s">
        <v>836</v>
      </c>
      <c r="D23" s="154" t="s">
        <v>834</v>
      </c>
      <c r="E23" s="155">
        <v>1</v>
      </c>
      <c r="F23" s="156">
        <v>10</v>
      </c>
      <c r="G23" s="445" t="s">
        <v>831</v>
      </c>
      <c r="H23" s="445"/>
      <c r="I23" s="445"/>
      <c r="J23" s="151" t="s">
        <v>833</v>
      </c>
      <c r="K23" s="152">
        <v>3</v>
      </c>
      <c r="L23" s="153">
        <v>10</v>
      </c>
      <c r="M23" s="154" t="s">
        <v>834</v>
      </c>
      <c r="N23" s="269">
        <v>1</v>
      </c>
      <c r="O23" s="156">
        <v>10</v>
      </c>
      <c r="P23" s="151" t="s">
        <v>833</v>
      </c>
      <c r="Q23" s="152">
        <v>3</v>
      </c>
      <c r="R23" s="153">
        <v>10</v>
      </c>
      <c r="S23" s="405" t="s">
        <v>830</v>
      </c>
      <c r="T23" s="408" t="s">
        <v>831</v>
      </c>
      <c r="U23" s="136"/>
      <c r="V23" s="394"/>
      <c r="W23" s="411" t="s">
        <v>836</v>
      </c>
      <c r="X23" s="402" t="s">
        <v>831</v>
      </c>
      <c r="Y23" s="157" t="s">
        <v>835</v>
      </c>
      <c r="Z23" s="158">
        <v>3</v>
      </c>
      <c r="AA23" s="159">
        <v>10</v>
      </c>
      <c r="AB23" s="151" t="s">
        <v>833</v>
      </c>
      <c r="AC23" s="152">
        <v>3</v>
      </c>
      <c r="AD23" s="153">
        <v>10</v>
      </c>
      <c r="AE23" s="154" t="s">
        <v>834</v>
      </c>
      <c r="AF23" s="155">
        <v>1</v>
      </c>
      <c r="AG23" s="156">
        <v>10</v>
      </c>
      <c r="AH23" s="270" t="s">
        <v>832</v>
      </c>
      <c r="AI23" s="149">
        <v>5</v>
      </c>
      <c r="AJ23" s="150">
        <v>30</v>
      </c>
      <c r="AK23" s="448" t="s">
        <v>836</v>
      </c>
      <c r="AL23" s="448"/>
      <c r="AM23" s="449"/>
      <c r="AN23" s="417" t="s">
        <v>836</v>
      </c>
      <c r="AO23" s="449" t="s">
        <v>836</v>
      </c>
    </row>
    <row r="24" spans="1:46" ht="50.1" customHeight="1" x14ac:dyDescent="0.25">
      <c r="A24" s="394"/>
      <c r="B24" s="412"/>
      <c r="C24" s="443"/>
      <c r="D24" s="189" t="s">
        <v>837</v>
      </c>
      <c r="E24" s="190">
        <v>2</v>
      </c>
      <c r="F24" s="191">
        <v>10</v>
      </c>
      <c r="G24" s="446"/>
      <c r="H24" s="446"/>
      <c r="I24" s="446"/>
      <c r="J24" s="186" t="s">
        <v>835</v>
      </c>
      <c r="K24" s="187">
        <v>3</v>
      </c>
      <c r="L24" s="188">
        <v>20</v>
      </c>
      <c r="M24" s="183" t="s">
        <v>832</v>
      </c>
      <c r="N24" s="271">
        <v>5</v>
      </c>
      <c r="O24" s="185">
        <v>30</v>
      </c>
      <c r="P24" s="186" t="s">
        <v>835</v>
      </c>
      <c r="Q24" s="187">
        <v>3</v>
      </c>
      <c r="R24" s="188">
        <v>10</v>
      </c>
      <c r="S24" s="406"/>
      <c r="T24" s="409"/>
      <c r="U24" s="136"/>
      <c r="V24" s="394"/>
      <c r="W24" s="412"/>
      <c r="X24" s="403"/>
      <c r="Y24" s="180" t="s">
        <v>840</v>
      </c>
      <c r="Z24" s="181">
        <v>4</v>
      </c>
      <c r="AA24" s="182">
        <v>10</v>
      </c>
      <c r="AB24" s="186" t="s">
        <v>835</v>
      </c>
      <c r="AC24" s="187">
        <v>3</v>
      </c>
      <c r="AD24" s="188">
        <v>10</v>
      </c>
      <c r="AE24" s="183" t="s">
        <v>832</v>
      </c>
      <c r="AF24" s="184">
        <v>5</v>
      </c>
      <c r="AG24" s="185">
        <v>30</v>
      </c>
      <c r="AH24" s="272" t="s">
        <v>840</v>
      </c>
      <c r="AI24" s="181">
        <v>4</v>
      </c>
      <c r="AJ24" s="182">
        <v>10</v>
      </c>
      <c r="AK24" s="450"/>
      <c r="AL24" s="450"/>
      <c r="AM24" s="451"/>
      <c r="AN24" s="418"/>
      <c r="AO24" s="451"/>
    </row>
    <row r="25" spans="1:46" ht="50.1" customHeight="1" x14ac:dyDescent="0.25">
      <c r="A25" s="394"/>
      <c r="B25" s="412"/>
      <c r="C25" s="443"/>
      <c r="D25" s="223" t="s">
        <v>833</v>
      </c>
      <c r="E25" s="273">
        <v>3</v>
      </c>
      <c r="F25" s="274">
        <v>10</v>
      </c>
      <c r="G25" s="446"/>
      <c r="H25" s="446"/>
      <c r="I25" s="446"/>
      <c r="J25" s="177" t="s">
        <v>839</v>
      </c>
      <c r="K25" s="178">
        <v>4</v>
      </c>
      <c r="L25" s="179">
        <v>10</v>
      </c>
      <c r="M25" s="201" t="s">
        <v>843</v>
      </c>
      <c r="N25" s="275">
        <v>2</v>
      </c>
      <c r="O25" s="203">
        <v>10</v>
      </c>
      <c r="P25" s="180" t="s">
        <v>840</v>
      </c>
      <c r="Q25" s="181">
        <v>4</v>
      </c>
      <c r="R25" s="182">
        <v>10</v>
      </c>
      <c r="S25" s="406"/>
      <c r="T25" s="409"/>
      <c r="U25" s="136"/>
      <c r="V25" s="394"/>
      <c r="W25" s="412"/>
      <c r="X25" s="403"/>
      <c r="Y25" s="198" t="s">
        <v>838</v>
      </c>
      <c r="Z25" s="199">
        <v>6</v>
      </c>
      <c r="AA25" s="200">
        <v>20</v>
      </c>
      <c r="AB25" s="177" t="s">
        <v>839</v>
      </c>
      <c r="AC25" s="178">
        <v>4</v>
      </c>
      <c r="AD25" s="179">
        <v>10</v>
      </c>
      <c r="AE25" s="201" t="s">
        <v>843</v>
      </c>
      <c r="AF25" s="202">
        <v>2</v>
      </c>
      <c r="AG25" s="203">
        <v>10</v>
      </c>
      <c r="AH25" s="276" t="s">
        <v>844</v>
      </c>
      <c r="AI25" s="205">
        <v>4</v>
      </c>
      <c r="AJ25" s="206">
        <v>15</v>
      </c>
      <c r="AK25" s="450"/>
      <c r="AL25" s="450"/>
      <c r="AM25" s="451"/>
      <c r="AN25" s="418"/>
      <c r="AO25" s="451"/>
    </row>
    <row r="26" spans="1:46" ht="50.1" customHeight="1" x14ac:dyDescent="0.25">
      <c r="A26" s="394"/>
      <c r="B26" s="412"/>
      <c r="C26" s="443"/>
      <c r="D26" s="204" t="s">
        <v>844</v>
      </c>
      <c r="E26" s="205">
        <v>4</v>
      </c>
      <c r="F26" s="206">
        <v>15</v>
      </c>
      <c r="G26" s="446"/>
      <c r="H26" s="446"/>
      <c r="I26" s="446"/>
      <c r="J26" s="195" t="s">
        <v>842</v>
      </c>
      <c r="K26" s="196">
        <v>6</v>
      </c>
      <c r="L26" s="197">
        <v>20</v>
      </c>
      <c r="M26" s="220"/>
      <c r="N26" s="277"/>
      <c r="O26" s="222"/>
      <c r="P26" s="198" t="s">
        <v>838</v>
      </c>
      <c r="Q26" s="199">
        <v>6</v>
      </c>
      <c r="R26" s="200">
        <v>20</v>
      </c>
      <c r="S26" s="406"/>
      <c r="T26" s="409"/>
      <c r="U26" s="136"/>
      <c r="V26" s="394"/>
      <c r="W26" s="412"/>
      <c r="X26" s="403"/>
      <c r="Y26" s="192" t="s">
        <v>841</v>
      </c>
      <c r="Z26" s="207">
        <v>4</v>
      </c>
      <c r="AA26" s="208">
        <v>15</v>
      </c>
      <c r="AB26" s="195" t="s">
        <v>842</v>
      </c>
      <c r="AC26" s="196">
        <v>6</v>
      </c>
      <c r="AD26" s="197">
        <v>20</v>
      </c>
      <c r="AE26" s="218"/>
      <c r="AF26" s="193"/>
      <c r="AG26" s="219"/>
      <c r="AH26" s="278"/>
      <c r="AI26" s="193"/>
      <c r="AJ26" s="219"/>
      <c r="AK26" s="450"/>
      <c r="AL26" s="450"/>
      <c r="AM26" s="451"/>
      <c r="AN26" s="418"/>
      <c r="AO26" s="451"/>
    </row>
    <row r="27" spans="1:46" ht="50.1" customHeight="1" x14ac:dyDescent="0.25">
      <c r="A27" s="394"/>
      <c r="B27" s="412"/>
      <c r="C27" s="443"/>
      <c r="D27" s="209"/>
      <c r="E27" s="210"/>
      <c r="F27" s="211"/>
      <c r="G27" s="446"/>
      <c r="H27" s="446"/>
      <c r="I27" s="446"/>
      <c r="J27" s="204" t="s">
        <v>844</v>
      </c>
      <c r="K27" s="205">
        <v>4</v>
      </c>
      <c r="L27" s="206">
        <v>15</v>
      </c>
      <c r="M27" s="220"/>
      <c r="N27" s="277"/>
      <c r="O27" s="222"/>
      <c r="P27" s="192" t="s">
        <v>841</v>
      </c>
      <c r="Q27" s="207">
        <v>4</v>
      </c>
      <c r="R27" s="208">
        <v>15</v>
      </c>
      <c r="S27" s="406"/>
      <c r="T27" s="409"/>
      <c r="U27" s="136"/>
      <c r="V27" s="394"/>
      <c r="W27" s="412"/>
      <c r="X27" s="403"/>
      <c r="Y27" s="212" t="s">
        <v>845</v>
      </c>
      <c r="Z27" s="213">
        <v>4</v>
      </c>
      <c r="AA27" s="214">
        <v>10</v>
      </c>
      <c r="AB27" s="204" t="s">
        <v>844</v>
      </c>
      <c r="AC27" s="205">
        <v>4</v>
      </c>
      <c r="AD27" s="206">
        <v>15</v>
      </c>
      <c r="AE27" s="220"/>
      <c r="AF27" s="221"/>
      <c r="AG27" s="222"/>
      <c r="AH27" s="279"/>
      <c r="AI27" s="210"/>
      <c r="AJ27" s="211"/>
      <c r="AK27" s="450"/>
      <c r="AL27" s="450"/>
      <c r="AM27" s="451"/>
      <c r="AN27" s="418"/>
      <c r="AO27" s="451"/>
    </row>
    <row r="28" spans="1:46" ht="50.1" customHeight="1" thickBot="1" x14ac:dyDescent="0.3">
      <c r="A28" s="394"/>
      <c r="B28" s="413"/>
      <c r="C28" s="444"/>
      <c r="D28" s="262"/>
      <c r="E28" s="263"/>
      <c r="F28" s="255"/>
      <c r="G28" s="447"/>
      <c r="H28" s="447"/>
      <c r="I28" s="447"/>
      <c r="J28" s="280" t="s">
        <v>847</v>
      </c>
      <c r="K28" s="281">
        <v>5</v>
      </c>
      <c r="L28" s="282">
        <v>5</v>
      </c>
      <c r="M28" s="224"/>
      <c r="N28" s="283"/>
      <c r="O28" s="226"/>
      <c r="P28" s="256" t="s">
        <v>845</v>
      </c>
      <c r="Q28" s="257">
        <v>4</v>
      </c>
      <c r="R28" s="258">
        <v>10</v>
      </c>
      <c r="S28" s="407"/>
      <c r="T28" s="410"/>
      <c r="U28" s="136"/>
      <c r="V28" s="394"/>
      <c r="W28" s="413"/>
      <c r="X28" s="404"/>
      <c r="Y28" s="284"/>
      <c r="Z28" s="254"/>
      <c r="AA28" s="285"/>
      <c r="AB28" s="280" t="s">
        <v>847</v>
      </c>
      <c r="AC28" s="281">
        <v>5</v>
      </c>
      <c r="AD28" s="282">
        <v>10</v>
      </c>
      <c r="AE28" s="224"/>
      <c r="AF28" s="225"/>
      <c r="AG28" s="226"/>
      <c r="AH28" s="286"/>
      <c r="AI28" s="287"/>
      <c r="AJ28" s="288"/>
      <c r="AK28" s="450"/>
      <c r="AL28" s="450"/>
      <c r="AM28" s="451"/>
      <c r="AN28" s="418"/>
      <c r="AO28" s="451"/>
    </row>
    <row r="29" spans="1:46" ht="50.1" customHeight="1" thickBot="1" x14ac:dyDescent="0.3">
      <c r="A29" s="394"/>
      <c r="B29" s="176"/>
      <c r="C29" s="243" t="s">
        <v>849</v>
      </c>
      <c r="D29" s="289">
        <f>(E23*F23)+(E24*F24)+(E25*F25)+(E26*F26)+(E27*F27)+(E28*F28)</f>
        <v>120</v>
      </c>
      <c r="E29" s="290">
        <f>SUM(E23:E28)</f>
        <v>10</v>
      </c>
      <c r="F29" s="291">
        <f>SUM(F23:F28)</f>
        <v>45</v>
      </c>
      <c r="G29" s="145">
        <f>(H23*I23)+(H24*I24)+(H25*I25)+(H26*I26)+(H27*I27)</f>
        <v>0</v>
      </c>
      <c r="H29" s="146">
        <f>SUM(H23:H27)</f>
        <v>0</v>
      </c>
      <c r="I29" s="147">
        <f>SUM(I23:I27)</f>
        <v>0</v>
      </c>
      <c r="J29" s="289">
        <f>(K23*L23)+(K24*L24)+(K25*L25)+(K26*L26)+(K27*L27)+(K28*L28)</f>
        <v>335</v>
      </c>
      <c r="K29" s="290">
        <f>SUM(K23:K28)</f>
        <v>25</v>
      </c>
      <c r="L29" s="291">
        <f>SUM(L23:L28)</f>
        <v>80</v>
      </c>
      <c r="M29" s="145">
        <f>(N23*O23)+(N24*O24)+(N25*O25)+(N26*O26)+(N27*O27)+(N28*O28)</f>
        <v>180</v>
      </c>
      <c r="N29" s="146">
        <f>SUM(N23:N28)</f>
        <v>8</v>
      </c>
      <c r="O29" s="147">
        <f>SUM(O23:O28)</f>
        <v>50</v>
      </c>
      <c r="P29" s="289">
        <f>(Q23*R23)+(Q24*R24)+(Q25*R25)+(Q26*R26)+(Q27*R27)+(Q28*R28)</f>
        <v>320</v>
      </c>
      <c r="Q29" s="290">
        <f>SUM(Q23:Q28)</f>
        <v>24</v>
      </c>
      <c r="R29" s="291">
        <f>SUM(R23:R28)</f>
        <v>75</v>
      </c>
      <c r="S29" s="144"/>
      <c r="T29" s="264">
        <f>D29+G29+J29+M29+P29</f>
        <v>955</v>
      </c>
      <c r="U29" s="136"/>
      <c r="V29" s="394"/>
      <c r="W29" s="230"/>
      <c r="X29" s="243" t="s">
        <v>849</v>
      </c>
      <c r="Y29" s="145">
        <f>(Z23*AA23)+(Z24*AA24)+(Z25*AA25)+(Z26*AA26)+(Z27*AA27)+(Z28*AA28)</f>
        <v>290</v>
      </c>
      <c r="Z29" s="146">
        <f>SUM(Z23:Z28)</f>
        <v>21</v>
      </c>
      <c r="AA29" s="147">
        <f>SUM(AA23:AA28)</f>
        <v>65</v>
      </c>
      <c r="AB29" s="145">
        <f>(AC23*AD23)+(AC24*AD24)+(AC25*AD25)+(AC26*AD26)+(AC27*AD27)</f>
        <v>280</v>
      </c>
      <c r="AC29" s="146">
        <f>SUM(AC23:AC27)</f>
        <v>20</v>
      </c>
      <c r="AD29" s="147">
        <f>SUM(AD23:AD27)</f>
        <v>65</v>
      </c>
      <c r="AE29" s="145">
        <f>(AF23*AG23)+(AF24*AG24)+(AF25*AG25)+(AF26*AG26)+(AF27*AG27)+(AF28*AG28)</f>
        <v>180</v>
      </c>
      <c r="AF29" s="146">
        <f>SUM(AF23:AF28)</f>
        <v>8</v>
      </c>
      <c r="AG29" s="147">
        <f>SUM(AG23:AG28)</f>
        <v>50</v>
      </c>
      <c r="AH29" s="145">
        <f>(AI23*AJ23)+(AI24*AJ24)+(AI25*AJ25)+(AI26*AJ26)+(AI27*AJ27)+(AI28*AJ28)</f>
        <v>250</v>
      </c>
      <c r="AI29" s="146">
        <f>SUM(AI23:AI28)</f>
        <v>13</v>
      </c>
      <c r="AJ29" s="243">
        <f>SUM(AJ23:AJ28)</f>
        <v>55</v>
      </c>
      <c r="AK29" s="292">
        <f>(AL23*AM23)+(AL24*AM24)+(AL25*AM25)+(AL26*AM26)+(AL27*AM27)+(AL28*AM28)</f>
        <v>0</v>
      </c>
      <c r="AL29" s="293">
        <f>SUM(AL23:AL28)</f>
        <v>0</v>
      </c>
      <c r="AM29" s="293">
        <f>SUM(AM23:AM28)</f>
        <v>0</v>
      </c>
      <c r="AN29" s="294"/>
      <c r="AO29" s="295">
        <f>Y29+AB29+AE29+AH29+AK29</f>
        <v>1000</v>
      </c>
    </row>
    <row r="30" spans="1:46" ht="50.1" customHeight="1" thickBot="1" x14ac:dyDescent="0.3">
      <c r="A30" s="394"/>
      <c r="B30" s="137" t="s">
        <v>816</v>
      </c>
      <c r="C30" s="138" t="s">
        <v>817</v>
      </c>
      <c r="D30" s="396" t="s">
        <v>818</v>
      </c>
      <c r="E30" s="397"/>
      <c r="F30" s="398"/>
      <c r="G30" s="396" t="s">
        <v>819</v>
      </c>
      <c r="H30" s="397"/>
      <c r="I30" s="398"/>
      <c r="J30" s="396" t="s">
        <v>820</v>
      </c>
      <c r="K30" s="397"/>
      <c r="L30" s="398"/>
      <c r="M30" s="396" t="s">
        <v>821</v>
      </c>
      <c r="N30" s="397"/>
      <c r="O30" s="398"/>
      <c r="P30" s="396" t="s">
        <v>822</v>
      </c>
      <c r="Q30" s="397"/>
      <c r="R30" s="398"/>
      <c r="S30" s="141" t="s">
        <v>816</v>
      </c>
      <c r="T30" s="142" t="s">
        <v>817</v>
      </c>
      <c r="U30" s="136"/>
      <c r="V30" s="394"/>
      <c r="W30" s="145" t="s">
        <v>816</v>
      </c>
      <c r="X30" s="243" t="s">
        <v>817</v>
      </c>
      <c r="Y30" s="396" t="s">
        <v>818</v>
      </c>
      <c r="Z30" s="397"/>
      <c r="AA30" s="398"/>
      <c r="AB30" s="396" t="s">
        <v>819</v>
      </c>
      <c r="AC30" s="397"/>
      <c r="AD30" s="398"/>
      <c r="AE30" s="396" t="s">
        <v>820</v>
      </c>
      <c r="AF30" s="397"/>
      <c r="AG30" s="398"/>
      <c r="AH30" s="396" t="s">
        <v>821</v>
      </c>
      <c r="AI30" s="397"/>
      <c r="AJ30" s="398"/>
      <c r="AK30" s="429" t="s">
        <v>822</v>
      </c>
      <c r="AL30" s="430"/>
      <c r="AM30" s="431"/>
      <c r="AN30" s="296" t="s">
        <v>816</v>
      </c>
      <c r="AO30" s="291" t="s">
        <v>817</v>
      </c>
    </row>
    <row r="31" spans="1:46" ht="29.25" customHeight="1" thickBot="1" x14ac:dyDescent="0.3">
      <c r="A31" s="394"/>
      <c r="B31" s="137"/>
      <c r="C31" s="138"/>
      <c r="D31" s="396" t="s">
        <v>852</v>
      </c>
      <c r="E31" s="397"/>
      <c r="F31" s="398"/>
      <c r="G31" s="396" t="s">
        <v>824</v>
      </c>
      <c r="H31" s="397"/>
      <c r="I31" s="398"/>
      <c r="J31" s="396" t="s">
        <v>825</v>
      </c>
      <c r="K31" s="397"/>
      <c r="L31" s="398"/>
      <c r="M31" s="396" t="s">
        <v>827</v>
      </c>
      <c r="N31" s="397"/>
      <c r="O31" s="398"/>
      <c r="P31" s="396" t="s">
        <v>850</v>
      </c>
      <c r="Q31" s="397"/>
      <c r="R31" s="398"/>
      <c r="S31" s="141"/>
      <c r="T31" s="140"/>
      <c r="U31" s="136"/>
      <c r="V31" s="394"/>
      <c r="W31" s="137"/>
      <c r="X31" s="138"/>
      <c r="Y31" s="396" t="s">
        <v>823</v>
      </c>
      <c r="Z31" s="397"/>
      <c r="AA31" s="398"/>
      <c r="AB31" s="396" t="s">
        <v>826</v>
      </c>
      <c r="AC31" s="397"/>
      <c r="AD31" s="398"/>
      <c r="AE31" s="396" t="s">
        <v>827</v>
      </c>
      <c r="AF31" s="397"/>
      <c r="AG31" s="398"/>
      <c r="AH31" s="396" t="s">
        <v>850</v>
      </c>
      <c r="AI31" s="397"/>
      <c r="AJ31" s="398"/>
      <c r="AK31" s="390"/>
      <c r="AL31" s="391"/>
      <c r="AM31" s="392"/>
      <c r="AN31" s="141"/>
      <c r="AO31" s="142"/>
    </row>
    <row r="32" spans="1:46" ht="50.1" customHeight="1" x14ac:dyDescent="0.25">
      <c r="A32" s="394"/>
      <c r="B32" s="411" t="s">
        <v>836</v>
      </c>
      <c r="C32" s="423" t="s">
        <v>836</v>
      </c>
      <c r="D32" s="154" t="s">
        <v>834</v>
      </c>
      <c r="E32" s="155">
        <v>1</v>
      </c>
      <c r="F32" s="156">
        <v>10</v>
      </c>
      <c r="G32" s="452" t="s">
        <v>831</v>
      </c>
      <c r="H32" s="445"/>
      <c r="I32" s="453"/>
      <c r="J32" s="151" t="s">
        <v>833</v>
      </c>
      <c r="K32" s="152">
        <v>3</v>
      </c>
      <c r="L32" s="297">
        <v>10</v>
      </c>
      <c r="M32" s="151" t="s">
        <v>833</v>
      </c>
      <c r="N32" s="152">
        <v>3</v>
      </c>
      <c r="O32" s="153">
        <v>10</v>
      </c>
      <c r="P32" s="148" t="s">
        <v>832</v>
      </c>
      <c r="Q32" s="149">
        <v>5</v>
      </c>
      <c r="R32" s="150">
        <v>30</v>
      </c>
      <c r="S32" s="420" t="s">
        <v>836</v>
      </c>
      <c r="T32" s="423" t="s">
        <v>836</v>
      </c>
      <c r="U32" s="136"/>
      <c r="V32" s="394"/>
      <c r="W32" s="399" t="s">
        <v>830</v>
      </c>
      <c r="X32" s="426" t="s">
        <v>831</v>
      </c>
      <c r="Y32" s="148" t="s">
        <v>832</v>
      </c>
      <c r="Z32" s="149">
        <v>5</v>
      </c>
      <c r="AA32" s="150">
        <v>30</v>
      </c>
      <c r="AB32" s="151" t="s">
        <v>833</v>
      </c>
      <c r="AC32" s="152">
        <v>3</v>
      </c>
      <c r="AD32" s="153">
        <v>10</v>
      </c>
      <c r="AE32" s="157" t="s">
        <v>835</v>
      </c>
      <c r="AF32" s="158">
        <v>3</v>
      </c>
      <c r="AG32" s="159">
        <v>10</v>
      </c>
      <c r="AH32" s="148" t="s">
        <v>832</v>
      </c>
      <c r="AI32" s="149">
        <v>5</v>
      </c>
      <c r="AJ32" s="150">
        <v>30</v>
      </c>
      <c r="AK32" s="458" t="s">
        <v>836</v>
      </c>
      <c r="AL32" s="448"/>
      <c r="AM32" s="449"/>
      <c r="AN32" s="417" t="s">
        <v>836</v>
      </c>
      <c r="AO32" s="449" t="s">
        <v>836</v>
      </c>
    </row>
    <row r="33" spans="1:41" ht="50.1" customHeight="1" x14ac:dyDescent="0.25">
      <c r="A33" s="394"/>
      <c r="B33" s="412"/>
      <c r="C33" s="424"/>
      <c r="D33" s="189" t="s">
        <v>837</v>
      </c>
      <c r="E33" s="190">
        <v>2</v>
      </c>
      <c r="F33" s="191">
        <v>10</v>
      </c>
      <c r="G33" s="454"/>
      <c r="H33" s="446"/>
      <c r="I33" s="455"/>
      <c r="J33" s="186" t="s">
        <v>835</v>
      </c>
      <c r="K33" s="187">
        <v>3</v>
      </c>
      <c r="L33" s="298">
        <v>20</v>
      </c>
      <c r="M33" s="198" t="s">
        <v>838</v>
      </c>
      <c r="N33" s="199">
        <v>6</v>
      </c>
      <c r="O33" s="200">
        <v>20</v>
      </c>
      <c r="P33" s="180" t="s">
        <v>840</v>
      </c>
      <c r="Q33" s="181">
        <v>4</v>
      </c>
      <c r="R33" s="182">
        <v>10</v>
      </c>
      <c r="S33" s="421"/>
      <c r="T33" s="424"/>
      <c r="U33" s="136"/>
      <c r="V33" s="394"/>
      <c r="W33" s="400"/>
      <c r="X33" s="427"/>
      <c r="Y33" s="177" t="s">
        <v>839</v>
      </c>
      <c r="Z33" s="178">
        <v>4</v>
      </c>
      <c r="AA33" s="179">
        <v>10</v>
      </c>
      <c r="AB33" s="186" t="s">
        <v>835</v>
      </c>
      <c r="AC33" s="187">
        <v>3</v>
      </c>
      <c r="AD33" s="188">
        <v>10</v>
      </c>
      <c r="AE33" s="204" t="s">
        <v>844</v>
      </c>
      <c r="AF33" s="205">
        <v>4</v>
      </c>
      <c r="AG33" s="206">
        <v>15</v>
      </c>
      <c r="AH33" s="180" t="s">
        <v>840</v>
      </c>
      <c r="AI33" s="181">
        <v>4</v>
      </c>
      <c r="AJ33" s="182">
        <v>10</v>
      </c>
      <c r="AK33" s="459"/>
      <c r="AL33" s="450"/>
      <c r="AM33" s="451"/>
      <c r="AN33" s="418"/>
      <c r="AO33" s="451"/>
    </row>
    <row r="34" spans="1:41" ht="50.1" customHeight="1" x14ac:dyDescent="0.25">
      <c r="A34" s="394"/>
      <c r="B34" s="412"/>
      <c r="C34" s="424"/>
      <c r="D34" s="223" t="s">
        <v>833</v>
      </c>
      <c r="E34" s="273">
        <v>3</v>
      </c>
      <c r="F34" s="274">
        <v>10</v>
      </c>
      <c r="G34" s="454"/>
      <c r="H34" s="446"/>
      <c r="I34" s="455"/>
      <c r="J34" s="177" t="s">
        <v>839</v>
      </c>
      <c r="K34" s="178">
        <v>4</v>
      </c>
      <c r="L34" s="299">
        <v>10</v>
      </c>
      <c r="M34" s="192" t="s">
        <v>841</v>
      </c>
      <c r="N34" s="207">
        <v>4</v>
      </c>
      <c r="O34" s="208">
        <v>15</v>
      </c>
      <c r="P34" s="204" t="s">
        <v>844</v>
      </c>
      <c r="Q34" s="205">
        <v>4</v>
      </c>
      <c r="R34" s="206">
        <v>15</v>
      </c>
      <c r="S34" s="421"/>
      <c r="T34" s="424"/>
      <c r="U34" s="136"/>
      <c r="V34" s="394"/>
      <c r="W34" s="400"/>
      <c r="X34" s="427"/>
      <c r="Y34" s="195" t="s">
        <v>842</v>
      </c>
      <c r="Z34" s="196">
        <v>6</v>
      </c>
      <c r="AA34" s="197">
        <v>20</v>
      </c>
      <c r="AB34" s="180" t="s">
        <v>840</v>
      </c>
      <c r="AC34" s="181">
        <v>4</v>
      </c>
      <c r="AD34" s="182">
        <v>10</v>
      </c>
      <c r="AE34" s="192" t="s">
        <v>841</v>
      </c>
      <c r="AF34" s="207">
        <v>4</v>
      </c>
      <c r="AG34" s="208">
        <v>15</v>
      </c>
      <c r="AH34" s="204" t="s">
        <v>844</v>
      </c>
      <c r="AI34" s="205">
        <v>4</v>
      </c>
      <c r="AJ34" s="206">
        <v>15</v>
      </c>
      <c r="AK34" s="459"/>
      <c r="AL34" s="450"/>
      <c r="AM34" s="451"/>
      <c r="AN34" s="418"/>
      <c r="AO34" s="451"/>
    </row>
    <row r="35" spans="1:41" ht="50.1" customHeight="1" x14ac:dyDescent="0.25">
      <c r="A35" s="394"/>
      <c r="B35" s="412"/>
      <c r="C35" s="424"/>
      <c r="D35" s="204" t="s">
        <v>844</v>
      </c>
      <c r="E35" s="205">
        <v>4</v>
      </c>
      <c r="F35" s="206">
        <v>15</v>
      </c>
      <c r="G35" s="454"/>
      <c r="H35" s="446"/>
      <c r="I35" s="455"/>
      <c r="J35" s="195" t="s">
        <v>842</v>
      </c>
      <c r="K35" s="196">
        <v>6</v>
      </c>
      <c r="L35" s="300">
        <v>20</v>
      </c>
      <c r="M35" s="212" t="s">
        <v>845</v>
      </c>
      <c r="N35" s="213">
        <v>4</v>
      </c>
      <c r="O35" s="214">
        <v>10</v>
      </c>
      <c r="P35" s="218"/>
      <c r="Q35" s="193"/>
      <c r="R35" s="219"/>
      <c r="S35" s="421"/>
      <c r="T35" s="424"/>
      <c r="U35" s="136"/>
      <c r="V35" s="394"/>
      <c r="W35" s="400"/>
      <c r="X35" s="427"/>
      <c r="Y35" s="204" t="s">
        <v>844</v>
      </c>
      <c r="Z35" s="205">
        <v>4</v>
      </c>
      <c r="AA35" s="206">
        <v>5</v>
      </c>
      <c r="AB35" s="198" t="s">
        <v>838</v>
      </c>
      <c r="AC35" s="199">
        <v>6</v>
      </c>
      <c r="AD35" s="200">
        <v>20</v>
      </c>
      <c r="AE35" s="212" t="s">
        <v>845</v>
      </c>
      <c r="AF35" s="213">
        <v>4</v>
      </c>
      <c r="AG35" s="214">
        <v>10</v>
      </c>
      <c r="AH35" s="218"/>
      <c r="AI35" s="193"/>
      <c r="AJ35" s="219"/>
      <c r="AK35" s="459"/>
      <c r="AL35" s="450"/>
      <c r="AM35" s="451"/>
      <c r="AN35" s="418"/>
      <c r="AO35" s="451"/>
    </row>
    <row r="36" spans="1:41" ht="50.1" customHeight="1" x14ac:dyDescent="0.25">
      <c r="A36" s="394"/>
      <c r="B36" s="412"/>
      <c r="C36" s="424"/>
      <c r="D36" s="209"/>
      <c r="E36" s="210"/>
      <c r="F36" s="211"/>
      <c r="G36" s="454"/>
      <c r="H36" s="446"/>
      <c r="I36" s="455"/>
      <c r="J36" s="204" t="s">
        <v>844</v>
      </c>
      <c r="K36" s="205">
        <v>4</v>
      </c>
      <c r="L36" s="301">
        <v>15</v>
      </c>
      <c r="M36" s="220"/>
      <c r="N36" s="221"/>
      <c r="O36" s="222"/>
      <c r="P36" s="209"/>
      <c r="Q36" s="210"/>
      <c r="R36" s="211"/>
      <c r="S36" s="421"/>
      <c r="T36" s="424"/>
      <c r="U36" s="136"/>
      <c r="V36" s="394"/>
      <c r="W36" s="400"/>
      <c r="X36" s="427"/>
      <c r="Y36" s="215" t="s">
        <v>847</v>
      </c>
      <c r="Z36" s="216">
        <v>5</v>
      </c>
      <c r="AA36" s="217">
        <v>10</v>
      </c>
      <c r="AB36" s="212" t="s">
        <v>845</v>
      </c>
      <c r="AC36" s="213">
        <v>4</v>
      </c>
      <c r="AD36" s="214">
        <v>10</v>
      </c>
      <c r="AE36" s="209"/>
      <c r="AF36" s="210"/>
      <c r="AG36" s="211"/>
      <c r="AH36" s="302"/>
      <c r="AI36" s="303"/>
      <c r="AJ36" s="304"/>
      <c r="AK36" s="459"/>
      <c r="AL36" s="450"/>
      <c r="AM36" s="451"/>
      <c r="AN36" s="418"/>
      <c r="AO36" s="451"/>
    </row>
    <row r="37" spans="1:41" ht="50.1" customHeight="1" thickBot="1" x14ac:dyDescent="0.3">
      <c r="A37" s="395"/>
      <c r="B37" s="413"/>
      <c r="C37" s="425"/>
      <c r="D37" s="262"/>
      <c r="E37" s="263"/>
      <c r="F37" s="255"/>
      <c r="G37" s="456"/>
      <c r="H37" s="447"/>
      <c r="I37" s="457"/>
      <c r="J37" s="280" t="s">
        <v>847</v>
      </c>
      <c r="K37" s="281">
        <v>5</v>
      </c>
      <c r="L37" s="305">
        <v>5</v>
      </c>
      <c r="M37" s="220"/>
      <c r="N37" s="221"/>
      <c r="O37" s="222"/>
      <c r="P37" s="306"/>
      <c r="Q37" s="287"/>
      <c r="R37" s="288"/>
      <c r="S37" s="422"/>
      <c r="T37" s="425"/>
      <c r="U37" s="136"/>
      <c r="V37" s="395"/>
      <c r="W37" s="401"/>
      <c r="X37" s="428"/>
      <c r="Y37" s="224"/>
      <c r="Z37" s="225"/>
      <c r="AA37" s="226"/>
      <c r="AB37" s="224"/>
      <c r="AC37" s="225"/>
      <c r="AD37" s="226"/>
      <c r="AE37" s="227"/>
      <c r="AF37" s="228"/>
      <c r="AG37" s="229"/>
      <c r="AH37" s="284"/>
      <c r="AI37" s="254"/>
      <c r="AJ37" s="285"/>
      <c r="AK37" s="460"/>
      <c r="AL37" s="461"/>
      <c r="AM37" s="462"/>
      <c r="AN37" s="419"/>
      <c r="AO37" s="462"/>
    </row>
    <row r="38" spans="1:41" ht="50.1" customHeight="1" thickBot="1" x14ac:dyDescent="0.3">
      <c r="A38" s="307"/>
      <c r="B38" s="176"/>
      <c r="C38" s="243" t="s">
        <v>849</v>
      </c>
      <c r="D38" s="289">
        <f>(E32*F32)+(E33*F33)+(E34*F34)+(E35*F35)+(E36*F36)+(E37*F37)</f>
        <v>120</v>
      </c>
      <c r="E38" s="290">
        <f>SUM(E32:E37)</f>
        <v>10</v>
      </c>
      <c r="F38" s="291">
        <f>SUM(F32:F37)</f>
        <v>45</v>
      </c>
      <c r="G38" s="145">
        <f>(H32*I32)+(H33*I33)+(H34*I34)+(H35*I35)+(H36*I36)</f>
        <v>0</v>
      </c>
      <c r="H38" s="146">
        <f>SUM(H32:H36)</f>
        <v>0</v>
      </c>
      <c r="I38" s="147">
        <f>SUM(I32:I36)</f>
        <v>0</v>
      </c>
      <c r="J38" s="289">
        <f>(K32*L32)+(K33*L33)+(K34*L34)+(K35*L35)+(K36*L36)+(K37*L37)</f>
        <v>335</v>
      </c>
      <c r="K38" s="290">
        <f>SUM(K32:K37)</f>
        <v>25</v>
      </c>
      <c r="L38" s="291">
        <f>SUM(L32:L37)</f>
        <v>80</v>
      </c>
      <c r="M38" s="145">
        <f>(N32*O32)+(N33*O33)+(N34*O34)+(N35*O35)+(N36*O36)+(N37*O37)</f>
        <v>250</v>
      </c>
      <c r="N38" s="146">
        <f>SUM(N32:N37)</f>
        <v>17</v>
      </c>
      <c r="O38" s="147">
        <f>SUM(O32:O37)</f>
        <v>55</v>
      </c>
      <c r="P38" s="289">
        <f>(Q32*R32)+(Q33*R33)+(Q34*R34)+(Q35*R35)+(Q36*R36)+(Q37*R37)</f>
        <v>250</v>
      </c>
      <c r="Q38" s="290">
        <f>SUM(Q32:Q37)</f>
        <v>13</v>
      </c>
      <c r="R38" s="291">
        <f>SUM(R32:R37)</f>
        <v>55</v>
      </c>
      <c r="S38" s="144"/>
      <c r="T38" s="264">
        <f>D38+G38+J38+M38+P38</f>
        <v>955</v>
      </c>
      <c r="U38" s="136"/>
      <c r="V38" s="307"/>
      <c r="W38" s="230"/>
      <c r="X38" s="243" t="s">
        <v>849</v>
      </c>
      <c r="Y38" s="145">
        <f>(Z32*AA32)+(Z33*AA33)+(Z34*AA34)+(Z35*AA35)+(Z36*AA36)+(Z37*AA37)</f>
        <v>380</v>
      </c>
      <c r="Z38" s="146">
        <f>SUM(Z32:Z37)</f>
        <v>24</v>
      </c>
      <c r="AA38" s="147">
        <f>SUM(AA32:AA37)</f>
        <v>75</v>
      </c>
      <c r="AB38" s="145">
        <f>(AC32*AD32)+(AC33*AD33)+(AC34*AD34)+(AC35*AD35)+(AC36*AD36)</f>
        <v>260</v>
      </c>
      <c r="AC38" s="146">
        <f>SUM(AC32:AC36)</f>
        <v>20</v>
      </c>
      <c r="AD38" s="147">
        <f>SUM(AD32:AD36)</f>
        <v>60</v>
      </c>
      <c r="AE38" s="145">
        <f>(AF32*AG32)+(AF33*AG33)+(AF34*AG34)+(AF35*AG35)+(AF36*AG36)+(AF37*AG37)</f>
        <v>190</v>
      </c>
      <c r="AF38" s="146">
        <f>SUM(AF32:AF37)</f>
        <v>15</v>
      </c>
      <c r="AG38" s="147">
        <f>SUM(AG32:AG37)</f>
        <v>50</v>
      </c>
      <c r="AH38" s="145">
        <f>(AI32*AJ32)+(AI33*AJ33)+(AI34*AJ34)+(AI35*AJ35)+(AI36*AJ36)+(AI37*AJ37)</f>
        <v>250</v>
      </c>
      <c r="AI38" s="146">
        <f>SUM(AI32:AI37)</f>
        <v>13</v>
      </c>
      <c r="AJ38" s="243">
        <f>SUM(AJ32:AJ37)</f>
        <v>55</v>
      </c>
      <c r="AK38" s="292">
        <f>(AL32*AM32)+(AL33*AM33)+(AL34*AM34)+(AL35*AM35)+(AL36*AM36)+(AL37*AM37)</f>
        <v>0</v>
      </c>
      <c r="AL38" s="293">
        <f>SUM(AL32:AL37)</f>
        <v>0</v>
      </c>
      <c r="AM38" s="293">
        <f>SUM(AM32:AM37)</f>
        <v>0</v>
      </c>
      <c r="AN38" s="294"/>
      <c r="AO38" s="295">
        <f>Y38+AB38+AE38+AH38+AK38</f>
        <v>1080</v>
      </c>
    </row>
    <row r="39" spans="1:41" ht="20.100000000000001" customHeight="1" thickBot="1" x14ac:dyDescent="0.3">
      <c r="A39" s="308"/>
      <c r="B39" s="463"/>
      <c r="C39" s="463"/>
      <c r="D39" s="463"/>
      <c r="E39" s="463"/>
      <c r="F39" s="463"/>
      <c r="G39" s="463"/>
      <c r="H39" s="463"/>
      <c r="I39" s="463"/>
      <c r="J39" s="463"/>
      <c r="K39" s="463"/>
      <c r="L39" s="463"/>
      <c r="M39" s="464"/>
      <c r="N39" s="464"/>
      <c r="O39" s="464"/>
      <c r="P39" s="463"/>
      <c r="Q39" s="463"/>
      <c r="R39" s="463"/>
      <c r="S39" s="463"/>
      <c r="T39" s="463"/>
      <c r="U39" s="136"/>
      <c r="V39" s="136"/>
    </row>
    <row r="40" spans="1:41" ht="50.1" customHeight="1" thickBot="1" x14ac:dyDescent="0.3">
      <c r="A40" s="393" t="s">
        <v>815</v>
      </c>
      <c r="B40" s="137" t="s">
        <v>816</v>
      </c>
      <c r="C40" s="138" t="s">
        <v>817</v>
      </c>
      <c r="D40" s="396" t="s">
        <v>818</v>
      </c>
      <c r="E40" s="397"/>
      <c r="F40" s="398"/>
      <c r="G40" s="396" t="s">
        <v>819</v>
      </c>
      <c r="H40" s="397"/>
      <c r="I40" s="398"/>
      <c r="J40" s="396" t="s">
        <v>820</v>
      </c>
      <c r="K40" s="397"/>
      <c r="L40" s="398"/>
      <c r="M40" s="396" t="s">
        <v>821</v>
      </c>
      <c r="N40" s="397"/>
      <c r="O40" s="398"/>
      <c r="P40" s="396" t="s">
        <v>822</v>
      </c>
      <c r="Q40" s="397"/>
      <c r="R40" s="398"/>
      <c r="S40" s="141" t="s">
        <v>816</v>
      </c>
      <c r="T40" s="142" t="s">
        <v>817</v>
      </c>
      <c r="U40" s="136"/>
      <c r="V40" s="136"/>
    </row>
    <row r="41" spans="1:41" ht="50.1" customHeight="1" thickBot="1" x14ac:dyDescent="0.3">
      <c r="A41" s="394"/>
      <c r="B41" s="137"/>
      <c r="C41" s="138" t="s">
        <v>852</v>
      </c>
      <c r="D41" s="396" t="s">
        <v>824</v>
      </c>
      <c r="E41" s="397"/>
      <c r="F41" s="398"/>
      <c r="G41" s="396" t="s">
        <v>825</v>
      </c>
      <c r="H41" s="397"/>
      <c r="I41" s="398"/>
      <c r="J41" s="396" t="s">
        <v>826</v>
      </c>
      <c r="K41" s="397"/>
      <c r="L41" s="398"/>
      <c r="M41" s="396" t="s">
        <v>827</v>
      </c>
      <c r="N41" s="397"/>
      <c r="O41" s="398"/>
      <c r="P41" s="396" t="s">
        <v>850</v>
      </c>
      <c r="Q41" s="397"/>
      <c r="R41" s="398"/>
      <c r="S41" s="141"/>
      <c r="T41" s="140"/>
      <c r="U41" s="136"/>
      <c r="V41" s="136"/>
    </row>
    <row r="42" spans="1:41" ht="50.1" customHeight="1" x14ac:dyDescent="0.25">
      <c r="A42" s="394"/>
      <c r="B42" s="411" t="s">
        <v>836</v>
      </c>
      <c r="C42" s="408" t="s">
        <v>831</v>
      </c>
      <c r="D42" s="157" t="s">
        <v>835</v>
      </c>
      <c r="E42" s="309">
        <v>3</v>
      </c>
      <c r="F42" s="310">
        <v>10</v>
      </c>
      <c r="G42" s="154" t="s">
        <v>834</v>
      </c>
      <c r="H42" s="155">
        <v>1</v>
      </c>
      <c r="I42" s="156">
        <v>10</v>
      </c>
      <c r="J42" s="151" t="s">
        <v>833</v>
      </c>
      <c r="K42" s="152">
        <v>3</v>
      </c>
      <c r="L42" s="153">
        <v>10</v>
      </c>
      <c r="M42" s="151" t="s">
        <v>833</v>
      </c>
      <c r="N42" s="152">
        <v>3</v>
      </c>
      <c r="O42" s="297">
        <v>10</v>
      </c>
      <c r="P42" s="148" t="s">
        <v>832</v>
      </c>
      <c r="Q42" s="149">
        <v>5</v>
      </c>
      <c r="R42" s="150">
        <v>30</v>
      </c>
      <c r="S42" s="449" t="s">
        <v>836</v>
      </c>
      <c r="T42" s="465" t="s">
        <v>831</v>
      </c>
      <c r="U42" s="136"/>
      <c r="V42" s="136"/>
      <c r="Y42" s="175"/>
      <c r="Z42" s="175"/>
      <c r="AA42" s="175"/>
    </row>
    <row r="43" spans="1:41" ht="50.1" customHeight="1" x14ac:dyDescent="0.25">
      <c r="A43" s="394"/>
      <c r="B43" s="412"/>
      <c r="C43" s="409"/>
      <c r="D43" s="180" t="s">
        <v>840</v>
      </c>
      <c r="E43" s="272">
        <v>4</v>
      </c>
      <c r="F43" s="311">
        <v>10</v>
      </c>
      <c r="G43" s="183" t="s">
        <v>832</v>
      </c>
      <c r="H43" s="184">
        <v>5</v>
      </c>
      <c r="I43" s="185">
        <v>30</v>
      </c>
      <c r="J43" s="186" t="s">
        <v>835</v>
      </c>
      <c r="K43" s="187">
        <v>3</v>
      </c>
      <c r="L43" s="188">
        <v>10</v>
      </c>
      <c r="M43" s="198" t="s">
        <v>838</v>
      </c>
      <c r="N43" s="199">
        <v>6</v>
      </c>
      <c r="O43" s="312">
        <v>20</v>
      </c>
      <c r="P43" s="180" t="s">
        <v>840</v>
      </c>
      <c r="Q43" s="181">
        <v>4</v>
      </c>
      <c r="R43" s="182">
        <v>10</v>
      </c>
      <c r="S43" s="451"/>
      <c r="T43" s="466"/>
      <c r="U43" s="136"/>
      <c r="V43" s="136"/>
      <c r="Y43" s="175"/>
      <c r="Z43" s="175"/>
      <c r="AA43" s="175"/>
    </row>
    <row r="44" spans="1:41" ht="50.1" customHeight="1" x14ac:dyDescent="0.25">
      <c r="A44" s="394"/>
      <c r="B44" s="412"/>
      <c r="C44" s="409"/>
      <c r="D44" s="198" t="s">
        <v>838</v>
      </c>
      <c r="E44" s="313">
        <v>6</v>
      </c>
      <c r="F44" s="314">
        <v>20</v>
      </c>
      <c r="G44" s="201" t="s">
        <v>843</v>
      </c>
      <c r="H44" s="202">
        <v>2</v>
      </c>
      <c r="I44" s="203">
        <v>10</v>
      </c>
      <c r="J44" s="177" t="s">
        <v>839</v>
      </c>
      <c r="K44" s="178">
        <v>4</v>
      </c>
      <c r="L44" s="179">
        <v>10</v>
      </c>
      <c r="M44" s="192" t="s">
        <v>841</v>
      </c>
      <c r="N44" s="207">
        <v>4</v>
      </c>
      <c r="O44" s="315">
        <v>15</v>
      </c>
      <c r="P44" s="204" t="s">
        <v>844</v>
      </c>
      <c r="Q44" s="205">
        <v>3</v>
      </c>
      <c r="R44" s="206">
        <v>15</v>
      </c>
      <c r="S44" s="451"/>
      <c r="T44" s="466"/>
      <c r="U44" s="136"/>
      <c r="V44" s="136"/>
      <c r="Y44" s="175"/>
      <c r="Z44" s="175"/>
      <c r="AA44" s="175"/>
    </row>
    <row r="45" spans="1:41" ht="50.1" customHeight="1" x14ac:dyDescent="0.25">
      <c r="A45" s="394"/>
      <c r="B45" s="412"/>
      <c r="C45" s="409"/>
      <c r="D45" s="192" t="s">
        <v>841</v>
      </c>
      <c r="E45" s="316">
        <v>4</v>
      </c>
      <c r="F45" s="317">
        <v>15</v>
      </c>
      <c r="G45" s="220"/>
      <c r="H45" s="221"/>
      <c r="I45" s="222"/>
      <c r="J45" s="195" t="s">
        <v>842</v>
      </c>
      <c r="K45" s="196">
        <v>6</v>
      </c>
      <c r="L45" s="197">
        <v>20</v>
      </c>
      <c r="M45" s="212" t="s">
        <v>845</v>
      </c>
      <c r="N45" s="213">
        <v>4</v>
      </c>
      <c r="O45" s="318">
        <v>10</v>
      </c>
      <c r="P45" s="218"/>
      <c r="Q45" s="193"/>
      <c r="R45" s="219"/>
      <c r="S45" s="451"/>
      <c r="T45" s="466"/>
      <c r="U45" s="136"/>
      <c r="V45" s="136"/>
      <c r="Y45" s="175"/>
      <c r="Z45" s="175"/>
      <c r="AA45" s="175"/>
    </row>
    <row r="46" spans="1:41" ht="50.1" customHeight="1" x14ac:dyDescent="0.25">
      <c r="A46" s="394"/>
      <c r="B46" s="412"/>
      <c r="C46" s="409"/>
      <c r="D46" s="212" t="s">
        <v>845</v>
      </c>
      <c r="E46" s="319">
        <v>4</v>
      </c>
      <c r="F46" s="320">
        <v>10</v>
      </c>
      <c r="G46" s="220"/>
      <c r="H46" s="221"/>
      <c r="I46" s="222"/>
      <c r="J46" s="204" t="s">
        <v>844</v>
      </c>
      <c r="K46" s="205">
        <v>4</v>
      </c>
      <c r="L46" s="206">
        <v>15</v>
      </c>
      <c r="M46" s="218"/>
      <c r="N46" s="321"/>
      <c r="O46" s="321"/>
      <c r="P46" s="251"/>
      <c r="Q46" s="252"/>
      <c r="R46" s="194"/>
      <c r="S46" s="451"/>
      <c r="T46" s="466"/>
      <c r="U46" s="136"/>
      <c r="V46" s="136"/>
      <c r="Y46" s="175"/>
      <c r="Z46" s="175"/>
      <c r="AA46" s="175"/>
    </row>
    <row r="47" spans="1:41" ht="50.1" customHeight="1" thickBot="1" x14ac:dyDescent="0.3">
      <c r="A47" s="394"/>
      <c r="B47" s="413"/>
      <c r="C47" s="410"/>
      <c r="D47" s="284"/>
      <c r="E47" s="322"/>
      <c r="F47" s="323"/>
      <c r="G47" s="224"/>
      <c r="H47" s="225"/>
      <c r="I47" s="226"/>
      <c r="J47" s="280" t="s">
        <v>847</v>
      </c>
      <c r="K47" s="281">
        <v>5</v>
      </c>
      <c r="L47" s="282">
        <v>10</v>
      </c>
      <c r="M47" s="224"/>
      <c r="N47" s="283"/>
      <c r="O47" s="283"/>
      <c r="P47" s="284"/>
      <c r="Q47" s="254"/>
      <c r="R47" s="285"/>
      <c r="S47" s="462"/>
      <c r="T47" s="467"/>
      <c r="Y47" s="175"/>
      <c r="Z47" s="175"/>
      <c r="AA47" s="175"/>
    </row>
    <row r="48" spans="1:41" ht="50.1" customHeight="1" thickBot="1" x14ac:dyDescent="0.3">
      <c r="A48" s="307"/>
      <c r="B48" s="324"/>
      <c r="C48" s="144" t="s">
        <v>849</v>
      </c>
      <c r="D48" s="289">
        <f>(E42*F42)+(E43*F43)+(E44*F44)+(E45*F45)+(E46*F46)+(E47*F47)</f>
        <v>290</v>
      </c>
      <c r="E48" s="290">
        <f>SUM(E42:E47)</f>
        <v>21</v>
      </c>
      <c r="F48" s="291">
        <f>SUM(F42:F47)</f>
        <v>65</v>
      </c>
      <c r="G48" s="145">
        <f>(H42*I42)+(H43*I43)+(H44*I44)+(H45*I45)+(H46*I46)</f>
        <v>180</v>
      </c>
      <c r="H48" s="146">
        <f>SUM(H42:H46)</f>
        <v>8</v>
      </c>
      <c r="I48" s="147">
        <f>SUM(I42:I46)</f>
        <v>50</v>
      </c>
      <c r="J48" s="289">
        <f>(K42*L42)+(K43*L43)+(K44*L44)+(K45*L45)+(K46*L46)+(K47*L47)</f>
        <v>330</v>
      </c>
      <c r="K48" s="290">
        <f>SUM(K42:K47)</f>
        <v>25</v>
      </c>
      <c r="L48" s="291">
        <f>SUM(L42:L47)</f>
        <v>75</v>
      </c>
      <c r="M48" s="145">
        <f>(N42*O42)+(N43*O43)+(N44*O44)+(N45*O45)+(N46*O46)+(N47*O47)</f>
        <v>250</v>
      </c>
      <c r="N48" s="146">
        <f>SUM(N42:N47)</f>
        <v>17</v>
      </c>
      <c r="O48" s="147">
        <f>SUM(O42:O47)</f>
        <v>55</v>
      </c>
      <c r="P48" s="289">
        <f>(Q42*R42)+(Q43*R43)+(Q44*R44)+(Q45*R45)+(Q46*R46)+(Q47*R47)</f>
        <v>235</v>
      </c>
      <c r="Q48" s="290">
        <f>SUM(Q42:Q47)</f>
        <v>12</v>
      </c>
      <c r="R48" s="291">
        <f>SUM(R42:R47)</f>
        <v>55</v>
      </c>
      <c r="S48" s="144"/>
      <c r="T48" s="264">
        <f>D48+G48+J48+M48+P48</f>
        <v>1285</v>
      </c>
    </row>
    <row r="49" spans="1:20" ht="50.1" customHeight="1" x14ac:dyDescent="0.25">
      <c r="A49" s="308"/>
      <c r="B49" s="175"/>
      <c r="C49" s="175"/>
      <c r="D49" s="175"/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5"/>
      <c r="P49" s="175"/>
      <c r="Q49" s="175"/>
      <c r="R49" s="175"/>
      <c r="S49" s="175"/>
      <c r="T49" s="175"/>
    </row>
    <row r="50" spans="1:20" ht="50.1" customHeight="1" x14ac:dyDescent="0.25">
      <c r="A50" s="308"/>
      <c r="B50" s="325"/>
      <c r="C50" s="325"/>
      <c r="D50" s="175"/>
      <c r="E50" s="175"/>
      <c r="F50" s="175"/>
      <c r="G50" s="326"/>
      <c r="H50" s="326"/>
      <c r="I50" s="326"/>
      <c r="J50" s="175"/>
      <c r="K50" s="175"/>
      <c r="L50" s="175"/>
      <c r="M50" s="175"/>
      <c r="N50" s="175"/>
      <c r="O50" s="175"/>
      <c r="P50" s="175"/>
      <c r="Q50" s="175"/>
      <c r="R50" s="175"/>
      <c r="S50" s="325"/>
      <c r="T50" s="325"/>
    </row>
    <row r="51" spans="1:20" ht="50.1" customHeight="1" x14ac:dyDescent="0.25">
      <c r="A51" s="308"/>
      <c r="B51" s="325"/>
      <c r="C51" s="325"/>
      <c r="D51" s="175"/>
      <c r="E51" s="175"/>
      <c r="F51" s="175"/>
      <c r="G51" s="326"/>
      <c r="H51" s="326"/>
      <c r="I51" s="326"/>
      <c r="J51" s="175"/>
      <c r="K51" s="175"/>
      <c r="L51" s="175"/>
      <c r="M51" s="175"/>
      <c r="N51" s="175"/>
      <c r="O51" s="175"/>
      <c r="P51" s="175"/>
      <c r="Q51" s="175"/>
      <c r="R51" s="175"/>
      <c r="S51" s="325"/>
      <c r="T51" s="325"/>
    </row>
    <row r="52" spans="1:20" ht="50.1" customHeight="1" x14ac:dyDescent="0.25">
      <c r="A52" s="308"/>
      <c r="B52" s="325"/>
      <c r="C52" s="325"/>
      <c r="D52" s="175"/>
      <c r="E52" s="175"/>
      <c r="F52" s="175"/>
      <c r="G52" s="326"/>
      <c r="H52" s="326"/>
      <c r="I52" s="326"/>
      <c r="J52" s="175"/>
      <c r="K52" s="175"/>
      <c r="L52" s="175"/>
      <c r="M52" s="175"/>
      <c r="N52" s="175"/>
      <c r="O52" s="175"/>
      <c r="P52" s="175"/>
      <c r="Q52" s="175"/>
      <c r="R52" s="175"/>
      <c r="S52" s="325"/>
      <c r="T52" s="325"/>
    </row>
    <row r="53" spans="1:20" ht="50.1" customHeight="1" x14ac:dyDescent="0.25">
      <c r="A53" s="308"/>
      <c r="B53" s="325"/>
      <c r="C53" s="325"/>
      <c r="D53" s="175"/>
      <c r="E53" s="175"/>
      <c r="F53" s="175"/>
      <c r="G53" s="326"/>
      <c r="H53" s="326"/>
      <c r="I53" s="326"/>
      <c r="J53" s="175"/>
      <c r="K53" s="175"/>
      <c r="L53" s="175"/>
      <c r="M53" s="175"/>
      <c r="N53" s="175"/>
      <c r="O53" s="175"/>
      <c r="P53" s="175"/>
      <c r="Q53" s="175"/>
      <c r="R53" s="175"/>
      <c r="S53" s="325"/>
      <c r="T53" s="325"/>
    </row>
    <row r="54" spans="1:20" ht="20.100000000000001" customHeight="1" x14ac:dyDescent="0.25">
      <c r="A54" s="308"/>
      <c r="B54" s="325"/>
      <c r="C54" s="325"/>
      <c r="D54" s="327"/>
      <c r="E54" s="327"/>
      <c r="F54" s="327"/>
      <c r="G54" s="326"/>
      <c r="H54" s="326"/>
      <c r="I54" s="326"/>
      <c r="J54" s="175"/>
      <c r="K54" s="175"/>
      <c r="L54" s="175"/>
      <c r="P54" s="327"/>
      <c r="Q54" s="327"/>
      <c r="R54" s="327"/>
      <c r="S54" s="325"/>
      <c r="T54" s="325"/>
    </row>
    <row r="55" spans="1:20" ht="50.1" customHeight="1" x14ac:dyDescent="0.25">
      <c r="A55" s="308"/>
      <c r="B55" s="325"/>
      <c r="C55" s="325"/>
      <c r="D55" s="136"/>
      <c r="E55" s="136"/>
      <c r="F55" s="136"/>
      <c r="G55" s="326"/>
      <c r="H55" s="326"/>
      <c r="I55" s="326"/>
      <c r="J55" s="175"/>
      <c r="K55" s="175"/>
      <c r="L55" s="175"/>
      <c r="P55" s="328"/>
      <c r="Q55" s="328"/>
      <c r="R55" s="328"/>
      <c r="S55" s="325"/>
      <c r="T55" s="325"/>
    </row>
    <row r="56" spans="1:20" ht="50.1" customHeight="1" x14ac:dyDescent="0.25"/>
    <row r="57" spans="1:20" ht="50.1" customHeight="1" x14ac:dyDescent="0.25"/>
    <row r="58" spans="1:20" ht="50.1" customHeight="1" x14ac:dyDescent="0.25"/>
    <row r="59" spans="1:20" ht="50.1" customHeight="1" x14ac:dyDescent="0.25"/>
    <row r="60" spans="1:20" ht="50.1" customHeight="1" x14ac:dyDescent="0.25"/>
    <row r="61" spans="1:20" ht="50.1" customHeight="1" x14ac:dyDescent="0.25"/>
    <row r="62" spans="1:20" ht="50.1" customHeight="1" x14ac:dyDescent="0.25"/>
    <row r="63" spans="1:20" ht="50.1" customHeight="1" x14ac:dyDescent="0.25"/>
    <row r="64" spans="1:20" ht="50.1" customHeight="1" x14ac:dyDescent="0.25"/>
    <row r="65" ht="50.1" customHeight="1" x14ac:dyDescent="0.25"/>
    <row r="66" ht="50.1" customHeight="1" x14ac:dyDescent="0.25"/>
    <row r="67" ht="50.1" customHeight="1" x14ac:dyDescent="0.25"/>
    <row r="68" ht="50.1" customHeight="1" x14ac:dyDescent="0.25"/>
  </sheetData>
  <mergeCells count="138">
    <mergeCell ref="AN32:AN37"/>
    <mergeCell ref="AO32:AO37"/>
    <mergeCell ref="B39:T39"/>
    <mergeCell ref="A40:A47"/>
    <mergeCell ref="D40:F40"/>
    <mergeCell ref="G40:I40"/>
    <mergeCell ref="J40:L40"/>
    <mergeCell ref="M40:O40"/>
    <mergeCell ref="B42:B47"/>
    <mergeCell ref="C42:C47"/>
    <mergeCell ref="S42:S47"/>
    <mergeCell ref="T42:T47"/>
    <mergeCell ref="P40:R40"/>
    <mergeCell ref="D41:F41"/>
    <mergeCell ref="G41:I41"/>
    <mergeCell ref="J41:L41"/>
    <mergeCell ref="M41:O41"/>
    <mergeCell ref="P41:R41"/>
    <mergeCell ref="AK31:AM31"/>
    <mergeCell ref="B32:B37"/>
    <mergeCell ref="C32:C37"/>
    <mergeCell ref="G32:I37"/>
    <mergeCell ref="S32:S37"/>
    <mergeCell ref="T32:T37"/>
    <mergeCell ref="W32:W37"/>
    <mergeCell ref="X32:X37"/>
    <mergeCell ref="AK32:AM37"/>
    <mergeCell ref="D31:F31"/>
    <mergeCell ref="G31:I31"/>
    <mergeCell ref="J31:L31"/>
    <mergeCell ref="M31:O31"/>
    <mergeCell ref="P31:R31"/>
    <mergeCell ref="Y31:AA31"/>
    <mergeCell ref="AB31:AD31"/>
    <mergeCell ref="AE31:AG31"/>
    <mergeCell ref="AH31:AJ31"/>
    <mergeCell ref="AN23:AN28"/>
    <mergeCell ref="AO23:AO28"/>
    <mergeCell ref="D30:F30"/>
    <mergeCell ref="G30:I30"/>
    <mergeCell ref="J30:L30"/>
    <mergeCell ref="M30:O30"/>
    <mergeCell ref="P30:R30"/>
    <mergeCell ref="Y30:AA30"/>
    <mergeCell ref="AB30:AD30"/>
    <mergeCell ref="AE30:AG30"/>
    <mergeCell ref="AH30:AJ30"/>
    <mergeCell ref="AK30:AM30"/>
    <mergeCell ref="AE22:AG22"/>
    <mergeCell ref="AH22:AJ22"/>
    <mergeCell ref="AK22:AM22"/>
    <mergeCell ref="B23:B28"/>
    <mergeCell ref="C23:C28"/>
    <mergeCell ref="G23:I28"/>
    <mergeCell ref="S23:S28"/>
    <mergeCell ref="T23:T28"/>
    <mergeCell ref="W23:W28"/>
    <mergeCell ref="D22:F22"/>
    <mergeCell ref="G22:I22"/>
    <mergeCell ref="J22:L22"/>
    <mergeCell ref="M22:O22"/>
    <mergeCell ref="P22:R22"/>
    <mergeCell ref="X23:X28"/>
    <mergeCell ref="AK23:AM28"/>
    <mergeCell ref="AN13:AN18"/>
    <mergeCell ref="AO13:AO18"/>
    <mergeCell ref="B20:T20"/>
    <mergeCell ref="W20:AO20"/>
    <mergeCell ref="A21:A37"/>
    <mergeCell ref="D21:F21"/>
    <mergeCell ref="G21:I21"/>
    <mergeCell ref="J21:L21"/>
    <mergeCell ref="M21:O21"/>
    <mergeCell ref="P21:R21"/>
    <mergeCell ref="A2:A18"/>
    <mergeCell ref="D2:F2"/>
    <mergeCell ref="G2:I2"/>
    <mergeCell ref="J2:L2"/>
    <mergeCell ref="M2:O2"/>
    <mergeCell ref="P2:R2"/>
    <mergeCell ref="Y22:AA22"/>
    <mergeCell ref="V21:V37"/>
    <mergeCell ref="Y21:AA21"/>
    <mergeCell ref="AB21:AD21"/>
    <mergeCell ref="AE21:AG21"/>
    <mergeCell ref="AH21:AJ21"/>
    <mergeCell ref="AK21:AM21"/>
    <mergeCell ref="AB22:AD22"/>
    <mergeCell ref="B13:B18"/>
    <mergeCell ref="C13:C18"/>
    <mergeCell ref="S13:S18"/>
    <mergeCell ref="T13:T18"/>
    <mergeCell ref="W13:W18"/>
    <mergeCell ref="X13:X18"/>
    <mergeCell ref="D12:F12"/>
    <mergeCell ref="G12:I12"/>
    <mergeCell ref="J12:L12"/>
    <mergeCell ref="M12:O12"/>
    <mergeCell ref="P12:R12"/>
    <mergeCell ref="AN4:AN9"/>
    <mergeCell ref="AO4:AO9"/>
    <mergeCell ref="D11:F11"/>
    <mergeCell ref="G11:I11"/>
    <mergeCell ref="J11:L11"/>
    <mergeCell ref="M11:O11"/>
    <mergeCell ref="P11:R11"/>
    <mergeCell ref="Y11:AA11"/>
    <mergeCell ref="AB11:AD11"/>
    <mergeCell ref="AE11:AG11"/>
    <mergeCell ref="B4:B9"/>
    <mergeCell ref="C4:C9"/>
    <mergeCell ref="S4:S9"/>
    <mergeCell ref="T4:T9"/>
    <mergeCell ref="W4:W9"/>
    <mergeCell ref="X4:X9"/>
    <mergeCell ref="P3:R3"/>
    <mergeCell ref="Y3:AA3"/>
    <mergeCell ref="AB3:AD3"/>
    <mergeCell ref="D3:F3"/>
    <mergeCell ref="G3:I3"/>
    <mergeCell ref="J3:L3"/>
    <mergeCell ref="M3:O3"/>
    <mergeCell ref="AE3:AG3"/>
    <mergeCell ref="AH3:AJ3"/>
    <mergeCell ref="AK3:AM3"/>
    <mergeCell ref="V2:V18"/>
    <mergeCell ref="Y2:AA2"/>
    <mergeCell ref="AB2:AD2"/>
    <mergeCell ref="AE2:AG2"/>
    <mergeCell ref="AH2:AJ2"/>
    <mergeCell ref="AK2:AM2"/>
    <mergeCell ref="AH11:AJ11"/>
    <mergeCell ref="AK11:AM11"/>
    <mergeCell ref="AB12:AD12"/>
    <mergeCell ref="AE12:AG12"/>
    <mergeCell ref="AH12:AJ12"/>
    <mergeCell ref="AK12:AM12"/>
    <mergeCell ref="Y12:AA12"/>
  </mergeCells>
  <pageMargins left="0.25" right="0.25" top="0.75" bottom="0.75" header="0.3" footer="0.3"/>
  <pageSetup paperSize="9" scale="22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50146-5BCE-4D99-98F2-56A4EB81B87B}">
  <sheetPr>
    <pageSetUpPr fitToPage="1"/>
  </sheetPr>
  <dimension ref="A1:AT49"/>
  <sheetViews>
    <sheetView tabSelected="1" zoomScale="50" workbookViewId="0">
      <selection sqref="A1:AO48"/>
    </sheetView>
  </sheetViews>
  <sheetFormatPr baseColWidth="10" defaultRowHeight="50.1" customHeight="1" x14ac:dyDescent="0.25"/>
  <cols>
    <col min="1" max="16384" width="11" style="470"/>
  </cols>
  <sheetData>
    <row r="1" spans="1:46" ht="50.1" customHeight="1" thickBot="1" x14ac:dyDescent="0.3">
      <c r="A1" s="468"/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  <c r="W1" s="468"/>
      <c r="X1" s="468"/>
      <c r="Y1" s="468"/>
      <c r="Z1" s="468"/>
      <c r="AA1" s="468"/>
      <c r="AB1" s="468"/>
      <c r="AC1" s="468"/>
      <c r="AD1" s="468"/>
      <c r="AE1" s="468"/>
      <c r="AF1" s="468"/>
      <c r="AG1" s="468"/>
      <c r="AH1" s="468"/>
      <c r="AI1" s="468"/>
      <c r="AJ1" s="468"/>
      <c r="AK1" s="468"/>
      <c r="AL1" s="468"/>
      <c r="AM1" s="468"/>
      <c r="AN1" s="468"/>
      <c r="AO1" s="468"/>
      <c r="AP1" s="468"/>
      <c r="AQ1" s="468"/>
      <c r="AR1" s="468"/>
      <c r="AS1" s="468"/>
      <c r="AT1" s="469"/>
    </row>
    <row r="2" spans="1:46" ht="50.1" customHeight="1" thickBot="1" x14ac:dyDescent="0.3">
      <c r="A2" s="471" t="s">
        <v>815</v>
      </c>
      <c r="B2" s="472" t="s">
        <v>816</v>
      </c>
      <c r="C2" s="473" t="s">
        <v>817</v>
      </c>
      <c r="D2" s="474" t="s">
        <v>818</v>
      </c>
      <c r="E2" s="475"/>
      <c r="F2" s="476"/>
      <c r="G2" s="474" t="s">
        <v>819</v>
      </c>
      <c r="H2" s="475"/>
      <c r="I2" s="476"/>
      <c r="J2" s="474" t="s">
        <v>820</v>
      </c>
      <c r="K2" s="475"/>
      <c r="L2" s="476"/>
      <c r="M2" s="474" t="s">
        <v>821</v>
      </c>
      <c r="N2" s="475"/>
      <c r="O2" s="476"/>
      <c r="P2" s="474" t="s">
        <v>822</v>
      </c>
      <c r="Q2" s="475"/>
      <c r="R2" s="476"/>
      <c r="S2" s="477" t="s">
        <v>816</v>
      </c>
      <c r="T2" s="478" t="s">
        <v>817</v>
      </c>
      <c r="U2" s="468"/>
      <c r="V2" s="471" t="s">
        <v>815</v>
      </c>
      <c r="W2" s="472" t="s">
        <v>816</v>
      </c>
      <c r="X2" s="473" t="s">
        <v>817</v>
      </c>
      <c r="Y2" s="474" t="s">
        <v>818</v>
      </c>
      <c r="Z2" s="475"/>
      <c r="AA2" s="476"/>
      <c r="AB2" s="474" t="s">
        <v>819</v>
      </c>
      <c r="AC2" s="475"/>
      <c r="AD2" s="476"/>
      <c r="AE2" s="474" t="s">
        <v>820</v>
      </c>
      <c r="AF2" s="475"/>
      <c r="AG2" s="476"/>
      <c r="AH2" s="474" t="s">
        <v>821</v>
      </c>
      <c r="AI2" s="475"/>
      <c r="AJ2" s="476"/>
      <c r="AK2" s="474" t="s">
        <v>822</v>
      </c>
      <c r="AL2" s="475"/>
      <c r="AM2" s="476"/>
      <c r="AN2" s="477" t="s">
        <v>816</v>
      </c>
      <c r="AO2" s="478" t="s">
        <v>817</v>
      </c>
      <c r="AP2" s="468"/>
      <c r="AQ2" s="468"/>
      <c r="AR2" s="468"/>
      <c r="AS2" s="468"/>
      <c r="AT2" s="469"/>
    </row>
    <row r="3" spans="1:46" ht="50.1" customHeight="1" thickBot="1" x14ac:dyDescent="0.3">
      <c r="A3" s="479"/>
      <c r="B3" s="472"/>
      <c r="C3" s="473"/>
      <c r="D3" s="474" t="s">
        <v>823</v>
      </c>
      <c r="E3" s="475"/>
      <c r="F3" s="476"/>
      <c r="G3" s="474" t="s">
        <v>823</v>
      </c>
      <c r="H3" s="475"/>
      <c r="I3" s="476"/>
      <c r="J3" s="474" t="s">
        <v>823</v>
      </c>
      <c r="K3" s="475"/>
      <c r="L3" s="476"/>
      <c r="M3" s="474" t="s">
        <v>823</v>
      </c>
      <c r="N3" s="475"/>
      <c r="O3" s="476"/>
      <c r="P3" s="474" t="s">
        <v>823</v>
      </c>
      <c r="Q3" s="475"/>
      <c r="R3" s="476"/>
      <c r="S3" s="477"/>
      <c r="T3" s="480"/>
      <c r="U3" s="468"/>
      <c r="V3" s="479"/>
      <c r="W3" s="472"/>
      <c r="X3" s="473"/>
      <c r="Y3" s="481" t="s">
        <v>824</v>
      </c>
      <c r="Z3" s="482"/>
      <c r="AA3" s="483"/>
      <c r="AB3" s="481" t="s">
        <v>825</v>
      </c>
      <c r="AC3" s="482"/>
      <c r="AD3" s="483"/>
      <c r="AE3" s="481" t="s">
        <v>823</v>
      </c>
      <c r="AF3" s="482"/>
      <c r="AG3" s="483"/>
      <c r="AH3" s="481" t="s">
        <v>826</v>
      </c>
      <c r="AI3" s="482"/>
      <c r="AJ3" s="483"/>
      <c r="AK3" s="481" t="s">
        <v>827</v>
      </c>
      <c r="AL3" s="482"/>
      <c r="AM3" s="483"/>
      <c r="AN3" s="477"/>
      <c r="AO3" s="480"/>
      <c r="AP3" s="468"/>
      <c r="AQ3" s="468"/>
      <c r="AR3" s="484" t="s">
        <v>828</v>
      </c>
      <c r="AS3" s="485" t="s">
        <v>20</v>
      </c>
      <c r="AT3" s="486" t="s">
        <v>829</v>
      </c>
    </row>
    <row r="4" spans="1:46" ht="50.1" customHeight="1" x14ac:dyDescent="0.25">
      <c r="A4" s="479"/>
      <c r="B4" s="487" t="s">
        <v>830</v>
      </c>
      <c r="C4" s="488" t="s">
        <v>831</v>
      </c>
      <c r="D4" s="489" t="s">
        <v>832</v>
      </c>
      <c r="E4" s="490">
        <v>5</v>
      </c>
      <c r="F4" s="491">
        <v>30</v>
      </c>
      <c r="G4" s="492" t="s">
        <v>833</v>
      </c>
      <c r="H4" s="493">
        <v>3</v>
      </c>
      <c r="I4" s="494">
        <v>10</v>
      </c>
      <c r="J4" s="495" t="s">
        <v>834</v>
      </c>
      <c r="K4" s="496">
        <v>1</v>
      </c>
      <c r="L4" s="497">
        <v>10</v>
      </c>
      <c r="M4" s="489" t="s">
        <v>832</v>
      </c>
      <c r="N4" s="490">
        <v>5</v>
      </c>
      <c r="O4" s="491">
        <v>30</v>
      </c>
      <c r="P4" s="498" t="s">
        <v>835</v>
      </c>
      <c r="Q4" s="499">
        <v>3</v>
      </c>
      <c r="R4" s="500">
        <v>10</v>
      </c>
      <c r="S4" s="501" t="s">
        <v>830</v>
      </c>
      <c r="T4" s="502" t="s">
        <v>831</v>
      </c>
      <c r="U4" s="469"/>
      <c r="V4" s="479"/>
      <c r="W4" s="503" t="s">
        <v>836</v>
      </c>
      <c r="X4" s="488" t="s">
        <v>831</v>
      </c>
      <c r="Y4" s="504" t="s">
        <v>837</v>
      </c>
      <c r="Z4" s="505">
        <v>2</v>
      </c>
      <c r="AA4" s="506">
        <v>10</v>
      </c>
      <c r="AB4" s="507" t="s">
        <v>832</v>
      </c>
      <c r="AC4" s="508">
        <v>5</v>
      </c>
      <c r="AD4" s="509">
        <v>30</v>
      </c>
      <c r="AE4" s="510" t="s">
        <v>834</v>
      </c>
      <c r="AF4" s="511">
        <v>1</v>
      </c>
      <c r="AG4" s="512">
        <v>10</v>
      </c>
      <c r="AH4" s="507" t="s">
        <v>832</v>
      </c>
      <c r="AI4" s="508">
        <v>5</v>
      </c>
      <c r="AJ4" s="509">
        <v>30</v>
      </c>
      <c r="AK4" s="513" t="s">
        <v>833</v>
      </c>
      <c r="AL4" s="514">
        <v>3</v>
      </c>
      <c r="AM4" s="515">
        <v>10</v>
      </c>
      <c r="AN4" s="516" t="s">
        <v>830</v>
      </c>
      <c r="AO4" s="517" t="s">
        <v>836</v>
      </c>
      <c r="AP4" s="468"/>
      <c r="AQ4" s="468"/>
      <c r="AR4" s="518" t="s">
        <v>838</v>
      </c>
      <c r="AS4" s="519">
        <v>6</v>
      </c>
      <c r="AT4" s="520">
        <v>45</v>
      </c>
    </row>
    <row r="5" spans="1:46" ht="50.1" customHeight="1" x14ac:dyDescent="0.25">
      <c r="A5" s="479"/>
      <c r="B5" s="521"/>
      <c r="C5" s="522"/>
      <c r="D5" s="523" t="s">
        <v>839</v>
      </c>
      <c r="E5" s="524">
        <v>4</v>
      </c>
      <c r="F5" s="525">
        <v>10</v>
      </c>
      <c r="G5" s="526" t="s">
        <v>840</v>
      </c>
      <c r="H5" s="527">
        <v>4</v>
      </c>
      <c r="I5" s="528">
        <v>10</v>
      </c>
      <c r="J5" s="529" t="s">
        <v>832</v>
      </c>
      <c r="K5" s="530">
        <v>5</v>
      </c>
      <c r="L5" s="531">
        <v>30</v>
      </c>
      <c r="M5" s="523" t="s">
        <v>839</v>
      </c>
      <c r="N5" s="524">
        <v>4</v>
      </c>
      <c r="O5" s="525">
        <v>10</v>
      </c>
      <c r="P5" s="526" t="s">
        <v>840</v>
      </c>
      <c r="Q5" s="527">
        <v>4</v>
      </c>
      <c r="R5" s="528">
        <v>10</v>
      </c>
      <c r="S5" s="532"/>
      <c r="T5" s="533"/>
      <c r="U5" s="469"/>
      <c r="V5" s="479"/>
      <c r="W5" s="534"/>
      <c r="X5" s="522"/>
      <c r="Y5" s="535" t="s">
        <v>835</v>
      </c>
      <c r="Z5" s="536">
        <v>3</v>
      </c>
      <c r="AA5" s="537">
        <v>10</v>
      </c>
      <c r="AB5" s="523" t="s">
        <v>839</v>
      </c>
      <c r="AC5" s="524">
        <v>4</v>
      </c>
      <c r="AD5" s="525">
        <v>10</v>
      </c>
      <c r="AE5" s="538" t="s">
        <v>837</v>
      </c>
      <c r="AF5" s="539">
        <v>2</v>
      </c>
      <c r="AG5" s="540">
        <v>10</v>
      </c>
      <c r="AH5" s="523" t="s">
        <v>839</v>
      </c>
      <c r="AI5" s="524">
        <v>4</v>
      </c>
      <c r="AJ5" s="525">
        <v>10</v>
      </c>
      <c r="AK5" s="526" t="s">
        <v>840</v>
      </c>
      <c r="AL5" s="527">
        <v>4</v>
      </c>
      <c r="AM5" s="541">
        <v>10</v>
      </c>
      <c r="AN5" s="542"/>
      <c r="AO5" s="543"/>
      <c r="AP5" s="468"/>
      <c r="AQ5" s="468"/>
      <c r="AR5" s="544" t="s">
        <v>841</v>
      </c>
      <c r="AS5" s="545">
        <v>4</v>
      </c>
      <c r="AT5" s="546">
        <v>25</v>
      </c>
    </row>
    <row r="6" spans="1:46" ht="50.1" customHeight="1" x14ac:dyDescent="0.25">
      <c r="A6" s="479"/>
      <c r="B6" s="521"/>
      <c r="C6" s="522"/>
      <c r="D6" s="547" t="s">
        <v>842</v>
      </c>
      <c r="E6" s="548">
        <v>6</v>
      </c>
      <c r="F6" s="549">
        <v>45</v>
      </c>
      <c r="G6" s="550" t="s">
        <v>838</v>
      </c>
      <c r="H6" s="551">
        <v>6</v>
      </c>
      <c r="I6" s="552">
        <v>45</v>
      </c>
      <c r="J6" s="553" t="s">
        <v>843</v>
      </c>
      <c r="K6" s="554">
        <v>2</v>
      </c>
      <c r="L6" s="555">
        <v>10</v>
      </c>
      <c r="M6" s="547" t="s">
        <v>842</v>
      </c>
      <c r="N6" s="548">
        <v>6</v>
      </c>
      <c r="O6" s="549">
        <v>45</v>
      </c>
      <c r="P6" s="550" t="s">
        <v>838</v>
      </c>
      <c r="Q6" s="551">
        <v>6</v>
      </c>
      <c r="R6" s="552">
        <v>45</v>
      </c>
      <c r="S6" s="532"/>
      <c r="T6" s="533"/>
      <c r="U6" s="469"/>
      <c r="V6" s="479"/>
      <c r="W6" s="534"/>
      <c r="X6" s="522"/>
      <c r="Y6" s="526" t="s">
        <v>840</v>
      </c>
      <c r="Z6" s="527">
        <v>4</v>
      </c>
      <c r="AA6" s="528">
        <v>10</v>
      </c>
      <c r="AB6" s="547" t="s">
        <v>842</v>
      </c>
      <c r="AC6" s="548">
        <v>6</v>
      </c>
      <c r="AD6" s="549">
        <v>45</v>
      </c>
      <c r="AE6" s="535" t="s">
        <v>835</v>
      </c>
      <c r="AF6" s="536">
        <v>3</v>
      </c>
      <c r="AG6" s="537">
        <v>10</v>
      </c>
      <c r="AH6" s="547" t="s">
        <v>842</v>
      </c>
      <c r="AI6" s="548">
        <v>6</v>
      </c>
      <c r="AJ6" s="549">
        <v>45</v>
      </c>
      <c r="AK6" s="556" t="s">
        <v>844</v>
      </c>
      <c r="AL6" s="557">
        <v>4</v>
      </c>
      <c r="AM6" s="558">
        <v>25</v>
      </c>
      <c r="AN6" s="542"/>
      <c r="AO6" s="543"/>
      <c r="AP6" s="468"/>
      <c r="AQ6" s="468"/>
      <c r="AR6" s="526" t="s">
        <v>840</v>
      </c>
      <c r="AS6" s="545">
        <v>4</v>
      </c>
      <c r="AT6" s="546">
        <v>10</v>
      </c>
    </row>
    <row r="7" spans="1:46" ht="50.1" customHeight="1" x14ac:dyDescent="0.25">
      <c r="A7" s="479"/>
      <c r="B7" s="521"/>
      <c r="C7" s="522"/>
      <c r="D7" s="556" t="s">
        <v>844</v>
      </c>
      <c r="E7" s="557">
        <v>4</v>
      </c>
      <c r="F7" s="559">
        <v>25</v>
      </c>
      <c r="G7" s="544" t="s">
        <v>841</v>
      </c>
      <c r="H7" s="560">
        <v>4</v>
      </c>
      <c r="I7" s="561">
        <v>25</v>
      </c>
      <c r="J7" s="562"/>
      <c r="K7" s="563"/>
      <c r="L7" s="564"/>
      <c r="M7" s="544" t="s">
        <v>841</v>
      </c>
      <c r="N7" s="560">
        <v>4</v>
      </c>
      <c r="O7" s="561">
        <v>25</v>
      </c>
      <c r="P7" s="556" t="s">
        <v>844</v>
      </c>
      <c r="Q7" s="557">
        <v>4</v>
      </c>
      <c r="R7" s="559">
        <v>25</v>
      </c>
      <c r="S7" s="532"/>
      <c r="T7" s="533"/>
      <c r="U7" s="469"/>
      <c r="V7" s="479"/>
      <c r="W7" s="534"/>
      <c r="X7" s="522"/>
      <c r="Y7" s="550" t="s">
        <v>838</v>
      </c>
      <c r="Z7" s="551">
        <v>6</v>
      </c>
      <c r="AA7" s="552">
        <v>45</v>
      </c>
      <c r="AB7" s="556" t="s">
        <v>844</v>
      </c>
      <c r="AC7" s="557">
        <v>4</v>
      </c>
      <c r="AD7" s="559">
        <v>25</v>
      </c>
      <c r="AE7" s="553" t="s">
        <v>843</v>
      </c>
      <c r="AF7" s="554">
        <v>2</v>
      </c>
      <c r="AG7" s="555">
        <v>10</v>
      </c>
      <c r="AH7" s="544" t="s">
        <v>841</v>
      </c>
      <c r="AI7" s="560">
        <v>4</v>
      </c>
      <c r="AJ7" s="561">
        <v>25</v>
      </c>
      <c r="AK7" s="565" t="s">
        <v>845</v>
      </c>
      <c r="AL7" s="566">
        <v>4</v>
      </c>
      <c r="AM7" s="567">
        <v>10</v>
      </c>
      <c r="AN7" s="542"/>
      <c r="AO7" s="543"/>
      <c r="AP7" s="468"/>
      <c r="AQ7" s="468"/>
      <c r="AR7" s="565" t="s">
        <v>846</v>
      </c>
      <c r="AS7" s="545">
        <v>5</v>
      </c>
      <c r="AT7" s="546">
        <v>10</v>
      </c>
    </row>
    <row r="8" spans="1:46" ht="50.1" customHeight="1" x14ac:dyDescent="0.25">
      <c r="A8" s="479"/>
      <c r="B8" s="521"/>
      <c r="C8" s="522"/>
      <c r="D8" s="568" t="s">
        <v>847</v>
      </c>
      <c r="E8" s="569">
        <v>4</v>
      </c>
      <c r="F8" s="570">
        <v>10</v>
      </c>
      <c r="G8" s="565" t="s">
        <v>845</v>
      </c>
      <c r="H8" s="566">
        <v>5</v>
      </c>
      <c r="I8" s="571">
        <v>10</v>
      </c>
      <c r="J8" s="562"/>
      <c r="K8" s="563"/>
      <c r="L8" s="564"/>
      <c r="M8" s="568" t="s">
        <v>847</v>
      </c>
      <c r="N8" s="569">
        <v>4</v>
      </c>
      <c r="O8" s="570">
        <v>10</v>
      </c>
      <c r="P8" s="565" t="s">
        <v>845</v>
      </c>
      <c r="Q8" s="566">
        <v>5</v>
      </c>
      <c r="R8" s="571">
        <v>10</v>
      </c>
      <c r="S8" s="532"/>
      <c r="T8" s="533"/>
      <c r="U8" s="469"/>
      <c r="V8" s="479"/>
      <c r="W8" s="534"/>
      <c r="X8" s="522"/>
      <c r="Y8" s="544" t="s">
        <v>841</v>
      </c>
      <c r="Z8" s="560">
        <v>4</v>
      </c>
      <c r="AA8" s="561">
        <v>25</v>
      </c>
      <c r="AB8" s="568" t="s">
        <v>847</v>
      </c>
      <c r="AC8" s="569">
        <v>5</v>
      </c>
      <c r="AD8" s="570">
        <v>10</v>
      </c>
      <c r="AE8" s="572"/>
      <c r="AF8" s="545"/>
      <c r="AG8" s="573"/>
      <c r="AH8" s="568" t="s">
        <v>847</v>
      </c>
      <c r="AI8" s="569">
        <v>5</v>
      </c>
      <c r="AJ8" s="570">
        <v>10</v>
      </c>
      <c r="AK8" s="574"/>
      <c r="AL8" s="575"/>
      <c r="AM8" s="576"/>
      <c r="AN8" s="542"/>
      <c r="AO8" s="543"/>
      <c r="AP8" s="468"/>
      <c r="AQ8" s="468"/>
      <c r="AR8" s="577" t="s">
        <v>833</v>
      </c>
      <c r="AS8" s="545">
        <v>3</v>
      </c>
      <c r="AT8" s="546">
        <v>10</v>
      </c>
    </row>
    <row r="9" spans="1:46" ht="50.1" customHeight="1" thickBot="1" x14ac:dyDescent="0.3">
      <c r="A9" s="479"/>
      <c r="B9" s="578"/>
      <c r="C9" s="579"/>
      <c r="D9" s="580"/>
      <c r="E9" s="581"/>
      <c r="F9" s="582"/>
      <c r="G9" s="580"/>
      <c r="H9" s="581"/>
      <c r="I9" s="582"/>
      <c r="J9" s="583"/>
      <c r="K9" s="584"/>
      <c r="L9" s="585"/>
      <c r="M9" s="580"/>
      <c r="N9" s="581"/>
      <c r="O9" s="582"/>
      <c r="P9" s="580"/>
      <c r="Q9" s="581"/>
      <c r="R9" s="582"/>
      <c r="S9" s="586"/>
      <c r="T9" s="587"/>
      <c r="U9" s="469"/>
      <c r="V9" s="479"/>
      <c r="W9" s="588"/>
      <c r="X9" s="579"/>
      <c r="Y9" s="589" t="s">
        <v>845</v>
      </c>
      <c r="Z9" s="590">
        <v>4</v>
      </c>
      <c r="AA9" s="591">
        <v>10</v>
      </c>
      <c r="AB9" s="592"/>
      <c r="AC9" s="593"/>
      <c r="AD9" s="594"/>
      <c r="AE9" s="595"/>
      <c r="AF9" s="596"/>
      <c r="AG9" s="597"/>
      <c r="AH9" s="592"/>
      <c r="AI9" s="593"/>
      <c r="AJ9" s="594"/>
      <c r="AK9" s="592"/>
      <c r="AL9" s="593"/>
      <c r="AM9" s="598"/>
      <c r="AN9" s="599"/>
      <c r="AO9" s="600"/>
      <c r="AP9" s="468"/>
      <c r="AQ9" s="468"/>
      <c r="AR9" s="529" t="s">
        <v>848</v>
      </c>
      <c r="AS9" s="545">
        <v>5</v>
      </c>
      <c r="AT9" s="546">
        <v>30</v>
      </c>
    </row>
    <row r="10" spans="1:46" ht="50.1" customHeight="1" thickBot="1" x14ac:dyDescent="0.3">
      <c r="A10" s="479"/>
      <c r="B10" s="601"/>
      <c r="C10" s="473" t="s">
        <v>849</v>
      </c>
      <c r="D10" s="472">
        <f>(E4*F4)+(E5*F5)+(E6*F6)+(E7*F7)+(E8*F8)+(E9*F9)</f>
        <v>600</v>
      </c>
      <c r="E10" s="602">
        <f>SUM(E4:E9)</f>
        <v>23</v>
      </c>
      <c r="F10" s="478">
        <f>SUM(F4:F9)</f>
        <v>120</v>
      </c>
      <c r="G10" s="472">
        <f>(H4*I4)+(H5*I5)+(H6*I6)+(H7*I7)+(H8*I8)</f>
        <v>490</v>
      </c>
      <c r="H10" s="602">
        <f>SUM(H4:H8)</f>
        <v>22</v>
      </c>
      <c r="I10" s="478">
        <f>SUM(I4:I8)</f>
        <v>100</v>
      </c>
      <c r="J10" s="472">
        <f>(K4*L4)+(K5*L5)+(K6*L6)+(K7*L7)+(K8*L8)+(K9*L9)</f>
        <v>180</v>
      </c>
      <c r="K10" s="602">
        <f>SUM(K4:K9)</f>
        <v>8</v>
      </c>
      <c r="L10" s="478">
        <f>SUM(L4:L9)</f>
        <v>50</v>
      </c>
      <c r="M10" s="472">
        <f>(N4*O4)+(N5*O5)+(N6*O6)+(N7*O7)+(N8*O8)+(N9*O9)</f>
        <v>600</v>
      </c>
      <c r="N10" s="602">
        <f>SUM(N4:N9)</f>
        <v>23</v>
      </c>
      <c r="O10" s="478">
        <f>SUM(O4:O9)</f>
        <v>120</v>
      </c>
      <c r="P10" s="472">
        <f>(Q4*R4)+(Q5*R5)+(Q6*R6)+(Q7*R7)+(Q8*R8)+(Q9*R9)</f>
        <v>490</v>
      </c>
      <c r="Q10" s="602">
        <f>SUM(Q4:Q9)</f>
        <v>22</v>
      </c>
      <c r="R10" s="478">
        <f>SUM(R4:R9)</f>
        <v>100</v>
      </c>
      <c r="S10" s="603"/>
      <c r="T10" s="604">
        <f>D10+G10+J10+M10+P10</f>
        <v>2360</v>
      </c>
      <c r="U10" s="469"/>
      <c r="V10" s="479"/>
      <c r="W10" s="605"/>
      <c r="X10" s="606" t="s">
        <v>849</v>
      </c>
      <c r="Y10" s="472">
        <f>(Z4*AA4)+(Z5*AA5)+(Z6*AA6)+(Z7*AA7)+(Z8*AA8)+(Z9*AA9)</f>
        <v>500</v>
      </c>
      <c r="Z10" s="602">
        <f>SUM(Z4:Z9)</f>
        <v>23</v>
      </c>
      <c r="AA10" s="478">
        <f>SUM(AA4:AA9)</f>
        <v>110</v>
      </c>
      <c r="AB10" s="472">
        <f>(AC4*AD4)+(AC5*AD5)+(AC6*AD6)+(AC7*AD7)+(AC8*AD8)</f>
        <v>610</v>
      </c>
      <c r="AC10" s="602">
        <f>SUM(AC4:AC8)</f>
        <v>24</v>
      </c>
      <c r="AD10" s="478">
        <f>SUM(AD4:AD8)</f>
        <v>120</v>
      </c>
      <c r="AE10" s="472">
        <f>(AF4*AG4)+(AF5*AG5)+(AF6*AG6)+(AF7*AG7)+(AF8*AG8)+(AF9*AG9)</f>
        <v>80</v>
      </c>
      <c r="AF10" s="602">
        <f>SUM(AF4:AF9)</f>
        <v>8</v>
      </c>
      <c r="AG10" s="478">
        <f>SUM(AG4:AG9)</f>
        <v>40</v>
      </c>
      <c r="AH10" s="472">
        <f>(AI4*AJ4)+(AI5*AJ5)+(AI6*AJ6)+(AI7*AJ7)+(AI8*AJ8)+(AI9*AJ9)</f>
        <v>610</v>
      </c>
      <c r="AI10" s="602">
        <f>SUM(AI4:AI9)</f>
        <v>24</v>
      </c>
      <c r="AJ10" s="478">
        <f>SUM(AJ4:AJ9)</f>
        <v>120</v>
      </c>
      <c r="AK10" s="472">
        <f>(AL4*AM4)+(AL5*AM5)+(AL6*AM6)+(AL7*AM7)+(AL8*AM8)+(AL9*AM9)</f>
        <v>210</v>
      </c>
      <c r="AL10" s="602">
        <f>SUM(AL4:AL9)</f>
        <v>15</v>
      </c>
      <c r="AM10" s="478">
        <f>SUM(AM4:AM9)</f>
        <v>55</v>
      </c>
      <c r="AN10" s="607"/>
      <c r="AO10" s="608">
        <f>Y10+AB10+AE10+AH10+AK10</f>
        <v>2010</v>
      </c>
      <c r="AP10" s="468"/>
      <c r="AQ10" s="468"/>
      <c r="AR10" s="553" t="s">
        <v>843</v>
      </c>
      <c r="AS10" s="545">
        <v>2</v>
      </c>
      <c r="AT10" s="546">
        <v>10</v>
      </c>
    </row>
    <row r="11" spans="1:46" ht="50.1" customHeight="1" thickBot="1" x14ac:dyDescent="0.3">
      <c r="A11" s="479"/>
      <c r="B11" s="484" t="s">
        <v>816</v>
      </c>
      <c r="C11" s="606" t="s">
        <v>817</v>
      </c>
      <c r="D11" s="481" t="s">
        <v>818</v>
      </c>
      <c r="E11" s="482"/>
      <c r="F11" s="483"/>
      <c r="G11" s="481" t="s">
        <v>819</v>
      </c>
      <c r="H11" s="482"/>
      <c r="I11" s="483"/>
      <c r="J11" s="481" t="s">
        <v>820</v>
      </c>
      <c r="K11" s="482"/>
      <c r="L11" s="483"/>
      <c r="M11" s="481" t="s">
        <v>821</v>
      </c>
      <c r="N11" s="482"/>
      <c r="O11" s="483"/>
      <c r="P11" s="474" t="s">
        <v>822</v>
      </c>
      <c r="Q11" s="475"/>
      <c r="R11" s="475"/>
      <c r="S11" s="485" t="s">
        <v>816</v>
      </c>
      <c r="T11" s="486" t="s">
        <v>817</v>
      </c>
      <c r="U11" s="469"/>
      <c r="V11" s="479"/>
      <c r="W11" s="484" t="s">
        <v>816</v>
      </c>
      <c r="X11" s="606" t="s">
        <v>817</v>
      </c>
      <c r="Y11" s="474" t="s">
        <v>818</v>
      </c>
      <c r="Z11" s="475"/>
      <c r="AA11" s="476"/>
      <c r="AB11" s="474" t="s">
        <v>819</v>
      </c>
      <c r="AC11" s="475"/>
      <c r="AD11" s="476"/>
      <c r="AE11" s="474" t="s">
        <v>820</v>
      </c>
      <c r="AF11" s="475"/>
      <c r="AG11" s="476"/>
      <c r="AH11" s="474" t="s">
        <v>821</v>
      </c>
      <c r="AI11" s="475"/>
      <c r="AJ11" s="476"/>
      <c r="AK11" s="474" t="s">
        <v>822</v>
      </c>
      <c r="AL11" s="475"/>
      <c r="AM11" s="476"/>
      <c r="AN11" s="609" t="s">
        <v>816</v>
      </c>
      <c r="AO11" s="486" t="s">
        <v>817</v>
      </c>
      <c r="AP11" s="468"/>
      <c r="AQ11" s="468"/>
      <c r="AR11" s="547" t="s">
        <v>842</v>
      </c>
      <c r="AS11" s="545">
        <v>6</v>
      </c>
      <c r="AT11" s="546">
        <v>45</v>
      </c>
    </row>
    <row r="12" spans="1:46" ht="50.1" customHeight="1" thickBot="1" x14ac:dyDescent="0.3">
      <c r="A12" s="479"/>
      <c r="B12" s="610"/>
      <c r="C12" s="611"/>
      <c r="D12" s="612" t="s">
        <v>823</v>
      </c>
      <c r="E12" s="613"/>
      <c r="F12" s="614"/>
      <c r="G12" s="612" t="s">
        <v>823</v>
      </c>
      <c r="H12" s="613"/>
      <c r="I12" s="614"/>
      <c r="J12" s="612" t="s">
        <v>826</v>
      </c>
      <c r="K12" s="613"/>
      <c r="L12" s="614"/>
      <c r="M12" s="612" t="s">
        <v>827</v>
      </c>
      <c r="N12" s="613"/>
      <c r="O12" s="613"/>
      <c r="P12" s="615" t="s">
        <v>850</v>
      </c>
      <c r="Q12" s="616"/>
      <c r="R12" s="617"/>
      <c r="S12" s="618"/>
      <c r="T12" s="619"/>
      <c r="U12" s="469"/>
      <c r="V12" s="479"/>
      <c r="W12" s="472"/>
      <c r="X12" s="473"/>
      <c r="Y12" s="481" t="s">
        <v>823</v>
      </c>
      <c r="Z12" s="482"/>
      <c r="AA12" s="483"/>
      <c r="AB12" s="481" t="s">
        <v>823</v>
      </c>
      <c r="AC12" s="482"/>
      <c r="AD12" s="483"/>
      <c r="AE12" s="481" t="s">
        <v>823</v>
      </c>
      <c r="AF12" s="482"/>
      <c r="AG12" s="483"/>
      <c r="AH12" s="481" t="s">
        <v>826</v>
      </c>
      <c r="AI12" s="482"/>
      <c r="AJ12" s="483"/>
      <c r="AK12" s="481" t="s">
        <v>827</v>
      </c>
      <c r="AL12" s="482"/>
      <c r="AM12" s="483"/>
      <c r="AN12" s="477"/>
      <c r="AO12" s="478"/>
      <c r="AP12" s="468"/>
      <c r="AQ12" s="468"/>
      <c r="AR12" s="556" t="s">
        <v>844</v>
      </c>
      <c r="AS12" s="545">
        <v>4</v>
      </c>
      <c r="AT12" s="546">
        <v>25</v>
      </c>
    </row>
    <row r="13" spans="1:46" ht="50.1" customHeight="1" x14ac:dyDescent="0.25">
      <c r="A13" s="479"/>
      <c r="B13" s="487" t="s">
        <v>830</v>
      </c>
      <c r="C13" s="488" t="s">
        <v>831</v>
      </c>
      <c r="D13" s="489" t="s">
        <v>832</v>
      </c>
      <c r="E13" s="490">
        <v>5</v>
      </c>
      <c r="F13" s="491">
        <v>30</v>
      </c>
      <c r="G13" s="492" t="s">
        <v>833</v>
      </c>
      <c r="H13" s="493">
        <v>3</v>
      </c>
      <c r="I13" s="494">
        <v>10</v>
      </c>
      <c r="J13" s="495" t="s">
        <v>834</v>
      </c>
      <c r="K13" s="496">
        <v>1</v>
      </c>
      <c r="L13" s="497">
        <v>10</v>
      </c>
      <c r="M13" s="492" t="s">
        <v>833</v>
      </c>
      <c r="N13" s="493">
        <v>3</v>
      </c>
      <c r="O13" s="494">
        <v>10</v>
      </c>
      <c r="P13" s="507" t="s">
        <v>832</v>
      </c>
      <c r="Q13" s="508">
        <v>5</v>
      </c>
      <c r="R13" s="509">
        <v>30</v>
      </c>
      <c r="S13" s="620" t="s">
        <v>836</v>
      </c>
      <c r="T13" s="621" t="s">
        <v>836</v>
      </c>
      <c r="U13" s="469"/>
      <c r="V13" s="479"/>
      <c r="W13" s="487" t="s">
        <v>830</v>
      </c>
      <c r="X13" s="622" t="s">
        <v>831</v>
      </c>
      <c r="Y13" s="489" t="s">
        <v>832</v>
      </c>
      <c r="Z13" s="490">
        <v>5</v>
      </c>
      <c r="AA13" s="491">
        <v>30</v>
      </c>
      <c r="AB13" s="492" t="s">
        <v>833</v>
      </c>
      <c r="AC13" s="493">
        <v>3</v>
      </c>
      <c r="AD13" s="494">
        <v>10</v>
      </c>
      <c r="AE13" s="495" t="s">
        <v>834</v>
      </c>
      <c r="AF13" s="496">
        <v>1</v>
      </c>
      <c r="AG13" s="497">
        <v>10</v>
      </c>
      <c r="AH13" s="489" t="s">
        <v>832</v>
      </c>
      <c r="AI13" s="490">
        <v>5</v>
      </c>
      <c r="AJ13" s="491">
        <v>30</v>
      </c>
      <c r="AK13" s="492" t="s">
        <v>833</v>
      </c>
      <c r="AL13" s="493">
        <v>3</v>
      </c>
      <c r="AM13" s="494">
        <v>10</v>
      </c>
      <c r="AN13" s="501" t="s">
        <v>830</v>
      </c>
      <c r="AO13" s="621" t="s">
        <v>836</v>
      </c>
      <c r="AP13" s="468"/>
      <c r="AQ13" s="468"/>
      <c r="AR13" s="523" t="s">
        <v>839</v>
      </c>
      <c r="AS13" s="545">
        <v>4</v>
      </c>
      <c r="AT13" s="546">
        <v>10</v>
      </c>
    </row>
    <row r="14" spans="1:46" ht="50.1" customHeight="1" x14ac:dyDescent="0.25">
      <c r="A14" s="479"/>
      <c r="B14" s="521"/>
      <c r="C14" s="522"/>
      <c r="D14" s="523" t="s">
        <v>839</v>
      </c>
      <c r="E14" s="524">
        <v>4</v>
      </c>
      <c r="F14" s="525">
        <v>10</v>
      </c>
      <c r="G14" s="535" t="s">
        <v>835</v>
      </c>
      <c r="H14" s="536">
        <v>3</v>
      </c>
      <c r="I14" s="537">
        <v>10</v>
      </c>
      <c r="J14" s="529" t="s">
        <v>832</v>
      </c>
      <c r="K14" s="530">
        <v>5</v>
      </c>
      <c r="L14" s="531">
        <v>30</v>
      </c>
      <c r="M14" s="535" t="s">
        <v>835</v>
      </c>
      <c r="N14" s="536">
        <v>3</v>
      </c>
      <c r="O14" s="537">
        <v>10</v>
      </c>
      <c r="P14" s="526" t="s">
        <v>840</v>
      </c>
      <c r="Q14" s="527">
        <v>4</v>
      </c>
      <c r="R14" s="528">
        <v>10</v>
      </c>
      <c r="S14" s="623"/>
      <c r="T14" s="624"/>
      <c r="U14" s="469"/>
      <c r="V14" s="479"/>
      <c r="W14" s="521"/>
      <c r="X14" s="625"/>
      <c r="Y14" s="523" t="s">
        <v>839</v>
      </c>
      <c r="Z14" s="524">
        <v>4</v>
      </c>
      <c r="AA14" s="525">
        <v>10</v>
      </c>
      <c r="AB14" s="535" t="s">
        <v>835</v>
      </c>
      <c r="AC14" s="536">
        <v>3</v>
      </c>
      <c r="AD14" s="537">
        <v>10</v>
      </c>
      <c r="AE14" s="529" t="s">
        <v>832</v>
      </c>
      <c r="AF14" s="530">
        <v>5</v>
      </c>
      <c r="AG14" s="531">
        <v>30</v>
      </c>
      <c r="AH14" s="523" t="s">
        <v>839</v>
      </c>
      <c r="AI14" s="524">
        <v>4</v>
      </c>
      <c r="AJ14" s="525">
        <v>10</v>
      </c>
      <c r="AK14" s="526" t="s">
        <v>840</v>
      </c>
      <c r="AL14" s="527">
        <v>4</v>
      </c>
      <c r="AM14" s="528">
        <v>10</v>
      </c>
      <c r="AN14" s="532"/>
      <c r="AO14" s="624"/>
      <c r="AP14" s="468"/>
      <c r="AQ14" s="468"/>
      <c r="AR14" s="568" t="s">
        <v>851</v>
      </c>
      <c r="AS14" s="545">
        <v>5</v>
      </c>
      <c r="AT14" s="546">
        <v>10</v>
      </c>
    </row>
    <row r="15" spans="1:46" ht="50.1" customHeight="1" x14ac:dyDescent="0.25">
      <c r="A15" s="479"/>
      <c r="B15" s="521"/>
      <c r="C15" s="522"/>
      <c r="D15" s="547" t="s">
        <v>842</v>
      </c>
      <c r="E15" s="548">
        <v>6</v>
      </c>
      <c r="F15" s="549">
        <v>45</v>
      </c>
      <c r="G15" s="526" t="s">
        <v>840</v>
      </c>
      <c r="H15" s="527">
        <v>4</v>
      </c>
      <c r="I15" s="528">
        <v>10</v>
      </c>
      <c r="J15" s="553" t="s">
        <v>843</v>
      </c>
      <c r="K15" s="554">
        <v>2</v>
      </c>
      <c r="L15" s="555">
        <v>10</v>
      </c>
      <c r="M15" s="523" t="s">
        <v>839</v>
      </c>
      <c r="N15" s="524">
        <v>4</v>
      </c>
      <c r="O15" s="525">
        <v>10</v>
      </c>
      <c r="P15" s="556" t="s">
        <v>844</v>
      </c>
      <c r="Q15" s="557">
        <v>4</v>
      </c>
      <c r="R15" s="559">
        <v>25</v>
      </c>
      <c r="S15" s="623"/>
      <c r="T15" s="624"/>
      <c r="U15" s="469"/>
      <c r="V15" s="479"/>
      <c r="W15" s="521"/>
      <c r="X15" s="625"/>
      <c r="Y15" s="547" t="s">
        <v>842</v>
      </c>
      <c r="Z15" s="548">
        <v>6</v>
      </c>
      <c r="AA15" s="549">
        <v>45</v>
      </c>
      <c r="AB15" s="526" t="s">
        <v>840</v>
      </c>
      <c r="AC15" s="527">
        <v>4</v>
      </c>
      <c r="AD15" s="528">
        <v>10</v>
      </c>
      <c r="AE15" s="553" t="s">
        <v>843</v>
      </c>
      <c r="AF15" s="554">
        <v>2</v>
      </c>
      <c r="AG15" s="555">
        <v>10</v>
      </c>
      <c r="AH15" s="547" t="s">
        <v>842</v>
      </c>
      <c r="AI15" s="548">
        <v>6</v>
      </c>
      <c r="AJ15" s="549">
        <v>45</v>
      </c>
      <c r="AK15" s="556" t="s">
        <v>844</v>
      </c>
      <c r="AL15" s="557">
        <v>4</v>
      </c>
      <c r="AM15" s="559">
        <v>25</v>
      </c>
      <c r="AN15" s="532"/>
      <c r="AO15" s="624"/>
      <c r="AP15" s="468"/>
      <c r="AQ15" s="468"/>
      <c r="AR15" s="535" t="s">
        <v>835</v>
      </c>
      <c r="AS15" s="545">
        <v>3</v>
      </c>
      <c r="AT15" s="546">
        <v>10</v>
      </c>
    </row>
    <row r="16" spans="1:46" ht="50.1" customHeight="1" x14ac:dyDescent="0.25">
      <c r="A16" s="479"/>
      <c r="B16" s="521"/>
      <c r="C16" s="522"/>
      <c r="D16" s="556" t="s">
        <v>844</v>
      </c>
      <c r="E16" s="557">
        <v>4</v>
      </c>
      <c r="F16" s="559">
        <v>25</v>
      </c>
      <c r="G16" s="550" t="s">
        <v>838</v>
      </c>
      <c r="H16" s="551">
        <v>6</v>
      </c>
      <c r="I16" s="552">
        <v>45</v>
      </c>
      <c r="J16" s="562"/>
      <c r="K16" s="563"/>
      <c r="L16" s="564"/>
      <c r="M16" s="544" t="s">
        <v>841</v>
      </c>
      <c r="N16" s="560">
        <v>4</v>
      </c>
      <c r="O16" s="561">
        <v>25</v>
      </c>
      <c r="P16" s="565" t="s">
        <v>845</v>
      </c>
      <c r="Q16" s="566">
        <v>4</v>
      </c>
      <c r="R16" s="571">
        <v>10</v>
      </c>
      <c r="S16" s="623"/>
      <c r="T16" s="624"/>
      <c r="U16" s="469"/>
      <c r="V16" s="479"/>
      <c r="W16" s="521"/>
      <c r="X16" s="625"/>
      <c r="Y16" s="556" t="s">
        <v>844</v>
      </c>
      <c r="Z16" s="557">
        <v>4</v>
      </c>
      <c r="AA16" s="559">
        <v>25</v>
      </c>
      <c r="AB16" s="550" t="s">
        <v>838</v>
      </c>
      <c r="AC16" s="551">
        <v>6</v>
      </c>
      <c r="AD16" s="552">
        <v>45</v>
      </c>
      <c r="AE16" s="562"/>
      <c r="AF16" s="563"/>
      <c r="AG16" s="564"/>
      <c r="AH16" s="544" t="s">
        <v>841</v>
      </c>
      <c r="AI16" s="560">
        <v>4</v>
      </c>
      <c r="AJ16" s="561">
        <v>25</v>
      </c>
      <c r="AK16" s="565" t="s">
        <v>845</v>
      </c>
      <c r="AL16" s="566">
        <v>4</v>
      </c>
      <c r="AM16" s="571">
        <v>10</v>
      </c>
      <c r="AN16" s="532"/>
      <c r="AO16" s="624"/>
      <c r="AP16" s="468"/>
      <c r="AQ16" s="468"/>
      <c r="AR16" s="626" t="s">
        <v>834</v>
      </c>
      <c r="AS16" s="545">
        <v>1</v>
      </c>
      <c r="AT16" s="546">
        <v>10</v>
      </c>
    </row>
    <row r="17" spans="1:46" ht="50.1" customHeight="1" thickBot="1" x14ac:dyDescent="0.3">
      <c r="A17" s="479"/>
      <c r="B17" s="521"/>
      <c r="C17" s="522"/>
      <c r="D17" s="568" t="s">
        <v>847</v>
      </c>
      <c r="E17" s="569">
        <v>5</v>
      </c>
      <c r="F17" s="570">
        <v>10</v>
      </c>
      <c r="G17" s="544" t="s">
        <v>841</v>
      </c>
      <c r="H17" s="560">
        <v>4</v>
      </c>
      <c r="I17" s="561">
        <v>25</v>
      </c>
      <c r="J17" s="562"/>
      <c r="K17" s="563"/>
      <c r="L17" s="564"/>
      <c r="M17" s="568" t="s">
        <v>847</v>
      </c>
      <c r="N17" s="569">
        <v>5</v>
      </c>
      <c r="O17" s="570">
        <v>10</v>
      </c>
      <c r="P17" s="627"/>
      <c r="Q17" s="628"/>
      <c r="R17" s="546"/>
      <c r="S17" s="623"/>
      <c r="T17" s="624"/>
      <c r="U17" s="469"/>
      <c r="V17" s="479"/>
      <c r="W17" s="521"/>
      <c r="X17" s="625"/>
      <c r="Y17" s="568" t="s">
        <v>847</v>
      </c>
      <c r="Z17" s="569">
        <v>5</v>
      </c>
      <c r="AA17" s="570">
        <v>10</v>
      </c>
      <c r="AB17" s="544" t="s">
        <v>841</v>
      </c>
      <c r="AC17" s="560">
        <v>4</v>
      </c>
      <c r="AD17" s="561">
        <v>25</v>
      </c>
      <c r="AE17" s="562"/>
      <c r="AF17" s="563"/>
      <c r="AG17" s="564"/>
      <c r="AH17" s="568" t="s">
        <v>847</v>
      </c>
      <c r="AI17" s="569">
        <v>5</v>
      </c>
      <c r="AJ17" s="570">
        <v>10</v>
      </c>
      <c r="AK17" s="574"/>
      <c r="AL17" s="575"/>
      <c r="AM17" s="629"/>
      <c r="AN17" s="532"/>
      <c r="AO17" s="624"/>
      <c r="AP17" s="468"/>
      <c r="AQ17" s="468"/>
      <c r="AR17" s="630" t="s">
        <v>837</v>
      </c>
      <c r="AS17" s="631">
        <v>2</v>
      </c>
      <c r="AT17" s="632">
        <v>10</v>
      </c>
    </row>
    <row r="18" spans="1:46" ht="50.1" customHeight="1" thickBot="1" x14ac:dyDescent="0.3">
      <c r="A18" s="633"/>
      <c r="B18" s="578"/>
      <c r="C18" s="579"/>
      <c r="D18" s="580"/>
      <c r="E18" s="581"/>
      <c r="F18" s="582"/>
      <c r="G18" s="634" t="s">
        <v>845</v>
      </c>
      <c r="H18" s="635">
        <v>4</v>
      </c>
      <c r="I18" s="636">
        <v>10</v>
      </c>
      <c r="J18" s="583"/>
      <c r="K18" s="584"/>
      <c r="L18" s="585"/>
      <c r="M18" s="637"/>
      <c r="N18" s="638"/>
      <c r="O18" s="639"/>
      <c r="P18" s="640"/>
      <c r="Q18" s="641"/>
      <c r="R18" s="632"/>
      <c r="S18" s="642"/>
      <c r="T18" s="643"/>
      <c r="U18" s="469"/>
      <c r="V18" s="633"/>
      <c r="W18" s="578"/>
      <c r="X18" s="644"/>
      <c r="Y18" s="580"/>
      <c r="Z18" s="581"/>
      <c r="AA18" s="582"/>
      <c r="AB18" s="634" t="s">
        <v>845</v>
      </c>
      <c r="AC18" s="635">
        <v>4</v>
      </c>
      <c r="AD18" s="636">
        <v>10</v>
      </c>
      <c r="AE18" s="583"/>
      <c r="AF18" s="584"/>
      <c r="AG18" s="585"/>
      <c r="AH18" s="580"/>
      <c r="AI18" s="581"/>
      <c r="AJ18" s="582"/>
      <c r="AK18" s="580"/>
      <c r="AL18" s="581"/>
      <c r="AM18" s="582"/>
      <c r="AN18" s="586"/>
      <c r="AO18" s="643"/>
      <c r="AP18" s="468"/>
      <c r="AQ18" s="468"/>
      <c r="AR18" s="468"/>
      <c r="AS18" s="468"/>
      <c r="AT18" s="469"/>
    </row>
    <row r="19" spans="1:46" ht="50.1" customHeight="1" thickBot="1" x14ac:dyDescent="0.3">
      <c r="A19" s="645"/>
      <c r="B19" s="601"/>
      <c r="C19" s="606" t="s">
        <v>849</v>
      </c>
      <c r="D19" s="484">
        <f>(E13*F13)+(E14*F14)+(E16*F16)+(E17*F17)+(E18*F18)</f>
        <v>340</v>
      </c>
      <c r="E19" s="485">
        <f>SUM(E13:E18)</f>
        <v>24</v>
      </c>
      <c r="F19" s="486">
        <f>SUM(F13:F18)</f>
        <v>120</v>
      </c>
      <c r="G19" s="484">
        <f>(H13*I13)+(H14*I14)+(H16*I16)+(H17*I17)</f>
        <v>430</v>
      </c>
      <c r="H19" s="485">
        <f>SUM(H13:H17)</f>
        <v>20</v>
      </c>
      <c r="I19" s="486">
        <f>SUM(I13:I17)</f>
        <v>100</v>
      </c>
      <c r="J19" s="484">
        <f>(K13*L13)+(K14*L14)+(K16*L16)+(K17*L17)+(K18*L18)</f>
        <v>160</v>
      </c>
      <c r="K19" s="485">
        <f>SUM(K13:K18)</f>
        <v>8</v>
      </c>
      <c r="L19" s="486">
        <f>SUM(L13:L18)</f>
        <v>50</v>
      </c>
      <c r="M19" s="484">
        <f>(N13*O13)+(N14*O14)+(N16*O16)+(N17*O17)+(N18*O18)</f>
        <v>210</v>
      </c>
      <c r="N19" s="485">
        <f>SUM(N13:N18)</f>
        <v>19</v>
      </c>
      <c r="O19" s="486">
        <f>SUM(O13:O18)</f>
        <v>65</v>
      </c>
      <c r="P19" s="484">
        <f>(Q13*R13)+(Q14*R14)+(Q16*R16)+(Q17*R17)+(Q18*R18)</f>
        <v>230</v>
      </c>
      <c r="Q19" s="485">
        <f>SUM(Q13:Q18)</f>
        <v>17</v>
      </c>
      <c r="R19" s="486">
        <f>SUM(R13:R18)</f>
        <v>75</v>
      </c>
      <c r="S19" s="646"/>
      <c r="T19" s="647">
        <f>D19+G19+J19+M19+P19</f>
        <v>1370</v>
      </c>
      <c r="U19" s="469"/>
      <c r="V19" s="648"/>
      <c r="W19" s="649"/>
      <c r="X19" s="606" t="s">
        <v>849</v>
      </c>
      <c r="Y19" s="484">
        <f>(Z13*AA13)+(Z14*AA14)+(Z16*AA16)+(Z17*AA17)+(Z18*AA18)</f>
        <v>340</v>
      </c>
      <c r="Z19" s="485">
        <f>SUM(Z13:Z18)</f>
        <v>24</v>
      </c>
      <c r="AA19" s="486">
        <f>SUM(AA13:AA18)</f>
        <v>120</v>
      </c>
      <c r="AB19" s="484">
        <f>(AC13*AD13)+(AC14*AD14)+(AC16*AD16)+(AC17*AD17)</f>
        <v>430</v>
      </c>
      <c r="AC19" s="485">
        <f>SUM(AC13:AC17)</f>
        <v>20</v>
      </c>
      <c r="AD19" s="486">
        <f>SUM(AD13:AD17)</f>
        <v>100</v>
      </c>
      <c r="AE19" s="484">
        <f>(AF13*AG13)+(AF14*AG14)+(AF16*AG16)+(AF17*AG17)+(AF18*AG18)</f>
        <v>160</v>
      </c>
      <c r="AF19" s="485">
        <f>SUM(AF13:AF18)</f>
        <v>8</v>
      </c>
      <c r="AG19" s="486">
        <f>SUM(AG13:AG18)</f>
        <v>50</v>
      </c>
      <c r="AH19" s="484">
        <f>(AI13*AJ13)+(AI14*AJ14)+(AI16*AJ16)+(AI17*AJ17)+(AI18*AJ18)</f>
        <v>340</v>
      </c>
      <c r="AI19" s="485">
        <f>SUM(AI13:AI18)</f>
        <v>24</v>
      </c>
      <c r="AJ19" s="486">
        <f>SUM(AJ13:AJ18)</f>
        <v>120</v>
      </c>
      <c r="AK19" s="484">
        <f>(AL13*AM13)+(AL14*AM14)+(AL16*AM16)+(AL17*AM17)+(AL18*AM18)</f>
        <v>110</v>
      </c>
      <c r="AL19" s="485">
        <f>SUM(AL13:AL18)</f>
        <v>15</v>
      </c>
      <c r="AM19" s="486">
        <f>SUM(AM13:AM18)</f>
        <v>55</v>
      </c>
      <c r="AN19" s="650"/>
      <c r="AO19" s="608">
        <f>Y19+AB19+AE19+AH19+AK19</f>
        <v>1380</v>
      </c>
      <c r="AP19" s="468"/>
      <c r="AQ19" s="468"/>
      <c r="AR19" s="468"/>
      <c r="AS19" s="468"/>
      <c r="AT19" s="469"/>
    </row>
    <row r="20" spans="1:46" ht="50.1" customHeight="1" thickBot="1" x14ac:dyDescent="0.3">
      <c r="A20" s="645"/>
      <c r="B20" s="651"/>
      <c r="C20" s="652"/>
      <c r="D20" s="652"/>
      <c r="E20" s="652"/>
      <c r="F20" s="652"/>
      <c r="G20" s="652"/>
      <c r="H20" s="652"/>
      <c r="I20" s="652"/>
      <c r="J20" s="652"/>
      <c r="K20" s="652"/>
      <c r="L20" s="652"/>
      <c r="M20" s="652"/>
      <c r="N20" s="652"/>
      <c r="O20" s="652"/>
      <c r="P20" s="652"/>
      <c r="Q20" s="652"/>
      <c r="R20" s="652"/>
      <c r="S20" s="652"/>
      <c r="T20" s="653"/>
      <c r="U20" s="469"/>
      <c r="V20" s="654"/>
      <c r="W20" s="655"/>
      <c r="X20" s="656"/>
      <c r="Y20" s="657"/>
      <c r="Z20" s="657"/>
      <c r="AA20" s="657"/>
      <c r="AB20" s="657"/>
      <c r="AC20" s="657"/>
      <c r="AD20" s="657"/>
      <c r="AE20" s="657"/>
      <c r="AF20" s="657"/>
      <c r="AG20" s="657"/>
      <c r="AH20" s="657"/>
      <c r="AI20" s="657"/>
      <c r="AJ20" s="657"/>
      <c r="AK20" s="657"/>
      <c r="AL20" s="657"/>
      <c r="AM20" s="657"/>
      <c r="AN20" s="656"/>
      <c r="AO20" s="658"/>
      <c r="AP20" s="468"/>
      <c r="AQ20" s="468"/>
      <c r="AR20" s="468"/>
      <c r="AS20" s="468"/>
      <c r="AT20" s="469"/>
    </row>
    <row r="21" spans="1:46" ht="50.1" customHeight="1" thickBot="1" x14ac:dyDescent="0.3">
      <c r="A21" s="471" t="s">
        <v>815</v>
      </c>
      <c r="B21" s="472" t="s">
        <v>816</v>
      </c>
      <c r="C21" s="473" t="s">
        <v>817</v>
      </c>
      <c r="D21" s="474" t="s">
        <v>818</v>
      </c>
      <c r="E21" s="475"/>
      <c r="F21" s="476"/>
      <c r="G21" s="474" t="s">
        <v>819</v>
      </c>
      <c r="H21" s="475"/>
      <c r="I21" s="476"/>
      <c r="J21" s="474" t="s">
        <v>820</v>
      </c>
      <c r="K21" s="475"/>
      <c r="L21" s="476"/>
      <c r="M21" s="474" t="s">
        <v>821</v>
      </c>
      <c r="N21" s="475"/>
      <c r="O21" s="476"/>
      <c r="P21" s="474" t="s">
        <v>822</v>
      </c>
      <c r="Q21" s="475"/>
      <c r="R21" s="476"/>
      <c r="S21" s="477" t="s">
        <v>816</v>
      </c>
      <c r="T21" s="478" t="s">
        <v>817</v>
      </c>
      <c r="U21" s="469"/>
      <c r="V21" s="471" t="s">
        <v>815</v>
      </c>
      <c r="W21" s="484" t="s">
        <v>816</v>
      </c>
      <c r="X21" s="606" t="s">
        <v>817</v>
      </c>
      <c r="Y21" s="474" t="s">
        <v>818</v>
      </c>
      <c r="Z21" s="475"/>
      <c r="AA21" s="476"/>
      <c r="AB21" s="474" t="s">
        <v>819</v>
      </c>
      <c r="AC21" s="475"/>
      <c r="AD21" s="476"/>
      <c r="AE21" s="474" t="s">
        <v>820</v>
      </c>
      <c r="AF21" s="475"/>
      <c r="AG21" s="476"/>
      <c r="AH21" s="474" t="s">
        <v>821</v>
      </c>
      <c r="AI21" s="475"/>
      <c r="AJ21" s="476"/>
      <c r="AK21" s="474" t="s">
        <v>822</v>
      </c>
      <c r="AL21" s="475"/>
      <c r="AM21" s="476"/>
      <c r="AN21" s="609" t="s">
        <v>816</v>
      </c>
      <c r="AO21" s="486" t="s">
        <v>817</v>
      </c>
      <c r="AP21" s="468"/>
      <c r="AQ21" s="468"/>
      <c r="AR21" s="468"/>
      <c r="AS21" s="468"/>
      <c r="AT21" s="469"/>
    </row>
    <row r="22" spans="1:46" ht="50.1" customHeight="1" thickBot="1" x14ac:dyDescent="0.3">
      <c r="A22" s="479"/>
      <c r="B22" s="472"/>
      <c r="C22" s="473"/>
      <c r="D22" s="474" t="s">
        <v>852</v>
      </c>
      <c r="E22" s="475"/>
      <c r="F22" s="476"/>
      <c r="G22" s="474" t="s">
        <v>824</v>
      </c>
      <c r="H22" s="475"/>
      <c r="I22" s="476"/>
      <c r="J22" s="474" t="s">
        <v>825</v>
      </c>
      <c r="K22" s="475"/>
      <c r="L22" s="476"/>
      <c r="M22" s="474" t="s">
        <v>823</v>
      </c>
      <c r="N22" s="475"/>
      <c r="O22" s="476"/>
      <c r="P22" s="474" t="s">
        <v>823</v>
      </c>
      <c r="Q22" s="475"/>
      <c r="R22" s="476"/>
      <c r="S22" s="477"/>
      <c r="T22" s="480"/>
      <c r="U22" s="469"/>
      <c r="V22" s="479"/>
      <c r="W22" s="472"/>
      <c r="X22" s="473"/>
      <c r="Y22" s="474" t="s">
        <v>824</v>
      </c>
      <c r="Z22" s="475"/>
      <c r="AA22" s="476"/>
      <c r="AB22" s="474" t="s">
        <v>825</v>
      </c>
      <c r="AC22" s="475"/>
      <c r="AD22" s="476"/>
      <c r="AE22" s="474" t="s">
        <v>827</v>
      </c>
      <c r="AF22" s="475"/>
      <c r="AG22" s="476"/>
      <c r="AH22" s="474" t="s">
        <v>850</v>
      </c>
      <c r="AI22" s="475"/>
      <c r="AJ22" s="476"/>
      <c r="AK22" s="481"/>
      <c r="AL22" s="482"/>
      <c r="AM22" s="483"/>
      <c r="AN22" s="477"/>
      <c r="AO22" s="478"/>
      <c r="AP22" s="468"/>
      <c r="AQ22" s="468"/>
      <c r="AR22" s="468"/>
      <c r="AS22" s="468"/>
      <c r="AT22" s="469"/>
    </row>
    <row r="23" spans="1:46" ht="50.1" customHeight="1" x14ac:dyDescent="0.25">
      <c r="A23" s="479"/>
      <c r="B23" s="503" t="s">
        <v>836</v>
      </c>
      <c r="C23" s="659" t="s">
        <v>836</v>
      </c>
      <c r="D23" s="495" t="s">
        <v>834</v>
      </c>
      <c r="E23" s="496">
        <v>1</v>
      </c>
      <c r="F23" s="497">
        <v>10</v>
      </c>
      <c r="G23" s="660" t="s">
        <v>831</v>
      </c>
      <c r="H23" s="660"/>
      <c r="I23" s="660"/>
      <c r="J23" s="492" t="s">
        <v>833</v>
      </c>
      <c r="K23" s="493">
        <v>3</v>
      </c>
      <c r="L23" s="494">
        <v>10</v>
      </c>
      <c r="M23" s="495" t="s">
        <v>834</v>
      </c>
      <c r="N23" s="661">
        <v>1</v>
      </c>
      <c r="O23" s="497">
        <v>10</v>
      </c>
      <c r="P23" s="492" t="s">
        <v>833</v>
      </c>
      <c r="Q23" s="493">
        <v>3</v>
      </c>
      <c r="R23" s="494">
        <v>10</v>
      </c>
      <c r="S23" s="501" t="s">
        <v>830</v>
      </c>
      <c r="T23" s="502" t="s">
        <v>831</v>
      </c>
      <c r="U23" s="469"/>
      <c r="V23" s="479"/>
      <c r="W23" s="503" t="s">
        <v>836</v>
      </c>
      <c r="X23" s="488" t="s">
        <v>831</v>
      </c>
      <c r="Y23" s="498" t="s">
        <v>835</v>
      </c>
      <c r="Z23" s="499">
        <v>3</v>
      </c>
      <c r="AA23" s="500">
        <v>10</v>
      </c>
      <c r="AB23" s="492" t="s">
        <v>833</v>
      </c>
      <c r="AC23" s="493">
        <v>3</v>
      </c>
      <c r="AD23" s="494">
        <v>10</v>
      </c>
      <c r="AE23" s="495" t="s">
        <v>834</v>
      </c>
      <c r="AF23" s="496">
        <v>1</v>
      </c>
      <c r="AG23" s="497">
        <v>10</v>
      </c>
      <c r="AH23" s="662" t="s">
        <v>832</v>
      </c>
      <c r="AI23" s="490">
        <v>5</v>
      </c>
      <c r="AJ23" s="491">
        <v>30</v>
      </c>
      <c r="AK23" s="663" t="s">
        <v>836</v>
      </c>
      <c r="AL23" s="663"/>
      <c r="AM23" s="663"/>
      <c r="AN23" s="664" t="s">
        <v>836</v>
      </c>
      <c r="AO23" s="517" t="s">
        <v>836</v>
      </c>
      <c r="AP23" s="468"/>
      <c r="AQ23" s="468"/>
      <c r="AR23" s="468"/>
      <c r="AS23" s="468"/>
      <c r="AT23" s="469"/>
    </row>
    <row r="24" spans="1:46" ht="50.1" customHeight="1" x14ac:dyDescent="0.25">
      <c r="A24" s="479"/>
      <c r="B24" s="534"/>
      <c r="C24" s="665"/>
      <c r="D24" s="538" t="s">
        <v>837</v>
      </c>
      <c r="E24" s="539">
        <v>2</v>
      </c>
      <c r="F24" s="540">
        <v>10</v>
      </c>
      <c r="G24" s="666"/>
      <c r="H24" s="666"/>
      <c r="I24" s="666"/>
      <c r="J24" s="535" t="s">
        <v>835</v>
      </c>
      <c r="K24" s="536">
        <v>3</v>
      </c>
      <c r="L24" s="537">
        <v>10</v>
      </c>
      <c r="M24" s="529" t="s">
        <v>832</v>
      </c>
      <c r="N24" s="667">
        <v>5</v>
      </c>
      <c r="O24" s="531">
        <v>30</v>
      </c>
      <c r="P24" s="535" t="s">
        <v>835</v>
      </c>
      <c r="Q24" s="536">
        <v>3</v>
      </c>
      <c r="R24" s="537">
        <v>10</v>
      </c>
      <c r="S24" s="532"/>
      <c r="T24" s="533"/>
      <c r="U24" s="469"/>
      <c r="V24" s="479"/>
      <c r="W24" s="534"/>
      <c r="X24" s="522"/>
      <c r="Y24" s="526" t="s">
        <v>840</v>
      </c>
      <c r="Z24" s="527">
        <v>4</v>
      </c>
      <c r="AA24" s="528">
        <v>10</v>
      </c>
      <c r="AB24" s="535" t="s">
        <v>835</v>
      </c>
      <c r="AC24" s="536">
        <v>3</v>
      </c>
      <c r="AD24" s="537">
        <v>10</v>
      </c>
      <c r="AE24" s="529" t="s">
        <v>832</v>
      </c>
      <c r="AF24" s="530">
        <v>5</v>
      </c>
      <c r="AG24" s="531">
        <v>30</v>
      </c>
      <c r="AH24" s="668" t="s">
        <v>840</v>
      </c>
      <c r="AI24" s="527">
        <v>4</v>
      </c>
      <c r="AJ24" s="528">
        <v>10</v>
      </c>
      <c r="AK24" s="669"/>
      <c r="AL24" s="669"/>
      <c r="AM24" s="669"/>
      <c r="AN24" s="670"/>
      <c r="AO24" s="543"/>
      <c r="AP24" s="468"/>
      <c r="AQ24" s="468"/>
      <c r="AR24" s="468"/>
      <c r="AS24" s="468"/>
      <c r="AT24" s="469"/>
    </row>
    <row r="25" spans="1:46" ht="50.1" customHeight="1" x14ac:dyDescent="0.25">
      <c r="A25" s="479"/>
      <c r="B25" s="534"/>
      <c r="C25" s="665"/>
      <c r="D25" s="577" t="s">
        <v>833</v>
      </c>
      <c r="E25" s="671">
        <v>3</v>
      </c>
      <c r="F25" s="672">
        <v>10</v>
      </c>
      <c r="G25" s="666"/>
      <c r="H25" s="666"/>
      <c r="I25" s="666"/>
      <c r="J25" s="523" t="s">
        <v>839</v>
      </c>
      <c r="K25" s="524">
        <v>4</v>
      </c>
      <c r="L25" s="525">
        <v>10</v>
      </c>
      <c r="M25" s="553" t="s">
        <v>843</v>
      </c>
      <c r="N25" s="673">
        <v>2</v>
      </c>
      <c r="O25" s="555">
        <v>10</v>
      </c>
      <c r="P25" s="526" t="s">
        <v>840</v>
      </c>
      <c r="Q25" s="527">
        <v>4</v>
      </c>
      <c r="R25" s="528">
        <v>10</v>
      </c>
      <c r="S25" s="532"/>
      <c r="T25" s="533"/>
      <c r="U25" s="469"/>
      <c r="V25" s="479"/>
      <c r="W25" s="534"/>
      <c r="X25" s="522"/>
      <c r="Y25" s="550" t="s">
        <v>838</v>
      </c>
      <c r="Z25" s="551">
        <v>6</v>
      </c>
      <c r="AA25" s="552">
        <v>45</v>
      </c>
      <c r="AB25" s="523" t="s">
        <v>839</v>
      </c>
      <c r="AC25" s="524">
        <v>4</v>
      </c>
      <c r="AD25" s="525">
        <v>10</v>
      </c>
      <c r="AE25" s="553" t="s">
        <v>843</v>
      </c>
      <c r="AF25" s="554">
        <v>2</v>
      </c>
      <c r="AG25" s="555">
        <v>10</v>
      </c>
      <c r="AH25" s="674" t="s">
        <v>844</v>
      </c>
      <c r="AI25" s="557">
        <v>4</v>
      </c>
      <c r="AJ25" s="559">
        <v>25</v>
      </c>
      <c r="AK25" s="669"/>
      <c r="AL25" s="669"/>
      <c r="AM25" s="669"/>
      <c r="AN25" s="670"/>
      <c r="AO25" s="543"/>
      <c r="AP25" s="468"/>
      <c r="AQ25" s="468"/>
      <c r="AR25" s="468"/>
      <c r="AS25" s="468"/>
      <c r="AT25" s="469"/>
    </row>
    <row r="26" spans="1:46" ht="50.1" customHeight="1" x14ac:dyDescent="0.25">
      <c r="A26" s="479"/>
      <c r="B26" s="534"/>
      <c r="C26" s="665"/>
      <c r="D26" s="556" t="s">
        <v>844</v>
      </c>
      <c r="E26" s="557">
        <v>4</v>
      </c>
      <c r="F26" s="559">
        <v>25</v>
      </c>
      <c r="G26" s="666"/>
      <c r="H26" s="666"/>
      <c r="I26" s="666"/>
      <c r="J26" s="547" t="s">
        <v>842</v>
      </c>
      <c r="K26" s="548">
        <v>6</v>
      </c>
      <c r="L26" s="549">
        <v>45</v>
      </c>
      <c r="M26" s="574"/>
      <c r="N26" s="576"/>
      <c r="O26" s="629"/>
      <c r="P26" s="550" t="s">
        <v>838</v>
      </c>
      <c r="Q26" s="551">
        <v>6</v>
      </c>
      <c r="R26" s="552">
        <v>45</v>
      </c>
      <c r="S26" s="532"/>
      <c r="T26" s="533"/>
      <c r="U26" s="469"/>
      <c r="V26" s="479"/>
      <c r="W26" s="534"/>
      <c r="X26" s="522"/>
      <c r="Y26" s="544" t="s">
        <v>841</v>
      </c>
      <c r="Z26" s="560">
        <v>4</v>
      </c>
      <c r="AA26" s="561">
        <v>25</v>
      </c>
      <c r="AB26" s="547" t="s">
        <v>842</v>
      </c>
      <c r="AC26" s="548">
        <v>6</v>
      </c>
      <c r="AD26" s="549">
        <v>45</v>
      </c>
      <c r="AE26" s="572"/>
      <c r="AF26" s="545"/>
      <c r="AG26" s="573"/>
      <c r="AH26" s="675"/>
      <c r="AI26" s="545"/>
      <c r="AJ26" s="573"/>
      <c r="AK26" s="669"/>
      <c r="AL26" s="669"/>
      <c r="AM26" s="669"/>
      <c r="AN26" s="670"/>
      <c r="AO26" s="543"/>
      <c r="AP26" s="468"/>
      <c r="AQ26" s="468"/>
      <c r="AR26" s="468"/>
      <c r="AS26" s="468"/>
      <c r="AT26" s="469"/>
    </row>
    <row r="27" spans="1:46" ht="50.1" customHeight="1" x14ac:dyDescent="0.25">
      <c r="A27" s="479"/>
      <c r="B27" s="534"/>
      <c r="C27" s="665"/>
      <c r="D27" s="562"/>
      <c r="E27" s="563"/>
      <c r="F27" s="564"/>
      <c r="G27" s="666"/>
      <c r="H27" s="666"/>
      <c r="I27" s="666"/>
      <c r="J27" s="556" t="s">
        <v>844</v>
      </c>
      <c r="K27" s="557">
        <v>4</v>
      </c>
      <c r="L27" s="559">
        <v>25</v>
      </c>
      <c r="M27" s="574"/>
      <c r="N27" s="576"/>
      <c r="O27" s="629"/>
      <c r="P27" s="544" t="s">
        <v>841</v>
      </c>
      <c r="Q27" s="560">
        <v>4</v>
      </c>
      <c r="R27" s="561">
        <v>25</v>
      </c>
      <c r="S27" s="532"/>
      <c r="T27" s="533"/>
      <c r="U27" s="469"/>
      <c r="V27" s="479"/>
      <c r="W27" s="534"/>
      <c r="X27" s="522"/>
      <c r="Y27" s="565" t="s">
        <v>845</v>
      </c>
      <c r="Z27" s="566">
        <v>4</v>
      </c>
      <c r="AA27" s="571">
        <v>10</v>
      </c>
      <c r="AB27" s="556" t="s">
        <v>844</v>
      </c>
      <c r="AC27" s="557">
        <v>4</v>
      </c>
      <c r="AD27" s="559">
        <v>25</v>
      </c>
      <c r="AE27" s="574"/>
      <c r="AF27" s="575"/>
      <c r="AG27" s="629"/>
      <c r="AH27" s="676"/>
      <c r="AI27" s="563"/>
      <c r="AJ27" s="564"/>
      <c r="AK27" s="669"/>
      <c r="AL27" s="669"/>
      <c r="AM27" s="669"/>
      <c r="AN27" s="670"/>
      <c r="AO27" s="543"/>
      <c r="AP27" s="468"/>
      <c r="AQ27" s="468"/>
      <c r="AR27" s="468"/>
      <c r="AS27" s="468"/>
      <c r="AT27" s="469"/>
    </row>
    <row r="28" spans="1:46" ht="50.1" customHeight="1" thickBot="1" x14ac:dyDescent="0.3">
      <c r="A28" s="479"/>
      <c r="B28" s="588"/>
      <c r="C28" s="677"/>
      <c r="D28" s="640"/>
      <c r="E28" s="641"/>
      <c r="F28" s="632"/>
      <c r="G28" s="678"/>
      <c r="H28" s="678"/>
      <c r="I28" s="678"/>
      <c r="J28" s="679" t="s">
        <v>847</v>
      </c>
      <c r="K28" s="680">
        <v>5</v>
      </c>
      <c r="L28" s="681">
        <v>5</v>
      </c>
      <c r="M28" s="580"/>
      <c r="N28" s="682"/>
      <c r="O28" s="582"/>
      <c r="P28" s="634" t="s">
        <v>845</v>
      </c>
      <c r="Q28" s="635">
        <v>4</v>
      </c>
      <c r="R28" s="636">
        <v>10</v>
      </c>
      <c r="S28" s="586"/>
      <c r="T28" s="587"/>
      <c r="U28" s="469"/>
      <c r="V28" s="479"/>
      <c r="W28" s="588"/>
      <c r="X28" s="579"/>
      <c r="Y28" s="683"/>
      <c r="Z28" s="631"/>
      <c r="AA28" s="684"/>
      <c r="AB28" s="679" t="s">
        <v>847</v>
      </c>
      <c r="AC28" s="680">
        <v>5</v>
      </c>
      <c r="AD28" s="681">
        <v>10</v>
      </c>
      <c r="AE28" s="580"/>
      <c r="AF28" s="581"/>
      <c r="AG28" s="582"/>
      <c r="AH28" s="685"/>
      <c r="AI28" s="686"/>
      <c r="AJ28" s="687"/>
      <c r="AK28" s="669"/>
      <c r="AL28" s="669"/>
      <c r="AM28" s="669"/>
      <c r="AN28" s="688"/>
      <c r="AO28" s="600"/>
      <c r="AP28" s="468"/>
      <c r="AQ28" s="468"/>
      <c r="AR28" s="468"/>
      <c r="AS28" s="468"/>
      <c r="AT28" s="469"/>
    </row>
    <row r="29" spans="1:46" ht="50.1" customHeight="1" thickBot="1" x14ac:dyDescent="0.3">
      <c r="A29" s="479"/>
      <c r="B29" s="601"/>
      <c r="C29" s="606" t="s">
        <v>849</v>
      </c>
      <c r="D29" s="689">
        <f>(E23*F23)+(E24*F24)+(E25*F25)+(E26*F26)+(E27*F27)+(E28*F28)</f>
        <v>160</v>
      </c>
      <c r="E29" s="690">
        <f>SUM(E23:E28)</f>
        <v>10</v>
      </c>
      <c r="F29" s="691">
        <f>SUM(F23:F28)</f>
        <v>55</v>
      </c>
      <c r="G29" s="484">
        <f>(H23*I23)+(H24*I24)+(H25*I25)+(H26*I26)+(H27*I27)</f>
        <v>0</v>
      </c>
      <c r="H29" s="485">
        <f>SUM(H23:H27)</f>
        <v>0</v>
      </c>
      <c r="I29" s="486">
        <f>SUM(I23:I27)</f>
        <v>0</v>
      </c>
      <c r="J29" s="689">
        <f>(K23*L23)+(K24*L24)+(K25*L25)+(K26*L26)+(K27*L27)+(K28*L28)</f>
        <v>495</v>
      </c>
      <c r="K29" s="690">
        <f>SUM(K23:K28)</f>
        <v>25</v>
      </c>
      <c r="L29" s="691">
        <f>SUM(L23:L28)</f>
        <v>105</v>
      </c>
      <c r="M29" s="484">
        <f>(N23*O23)+(N24*O24)+(N25*O25)+(N26*O26)+(N27*O27)+(N28*O28)</f>
        <v>180</v>
      </c>
      <c r="N29" s="485">
        <f>SUM(N23:N28)</f>
        <v>8</v>
      </c>
      <c r="O29" s="486">
        <f>SUM(O23:O28)</f>
        <v>50</v>
      </c>
      <c r="P29" s="689">
        <f>(Q23*R23)+(Q24*R24)+(Q25*R25)+(Q26*R26)+(Q27*R27)+(Q28*R28)</f>
        <v>510</v>
      </c>
      <c r="Q29" s="690">
        <f>SUM(Q23:Q28)</f>
        <v>24</v>
      </c>
      <c r="R29" s="691">
        <f>SUM(R23:R28)</f>
        <v>110</v>
      </c>
      <c r="S29" s="646"/>
      <c r="T29" s="647">
        <f>D29+G29+J29+M29+P29</f>
        <v>1345</v>
      </c>
      <c r="U29" s="469"/>
      <c r="V29" s="479"/>
      <c r="W29" s="692"/>
      <c r="X29" s="606" t="s">
        <v>849</v>
      </c>
      <c r="Y29" s="484">
        <f>(Z23*AA23)+(Z24*AA24)+(Z25*AA25)+(Z26*AA26)+(Z27*AA27)+(Z28*AA28)</f>
        <v>480</v>
      </c>
      <c r="Z29" s="485">
        <f>SUM(Z23:Z28)</f>
        <v>21</v>
      </c>
      <c r="AA29" s="486">
        <f>SUM(AA23:AA28)</f>
        <v>100</v>
      </c>
      <c r="AB29" s="484">
        <f>(AC23*AD23)+(AC24*AD24)+(AC25*AD25)+(AC26*AD26)+(AC27*AD27)</f>
        <v>470</v>
      </c>
      <c r="AC29" s="485">
        <f>SUM(AC23:AC27)</f>
        <v>20</v>
      </c>
      <c r="AD29" s="486">
        <f>SUM(AD23:AD27)</f>
        <v>100</v>
      </c>
      <c r="AE29" s="484">
        <f>(AF23*AG23)+(AF24*AG24)+(AF25*AG25)+(AF26*AG26)+(AF27*AG27)+(AF28*AG28)</f>
        <v>180</v>
      </c>
      <c r="AF29" s="485">
        <f>SUM(AF23:AF28)</f>
        <v>8</v>
      </c>
      <c r="AG29" s="486">
        <f>SUM(AG23:AG28)</f>
        <v>50</v>
      </c>
      <c r="AH29" s="484">
        <f>(AI23*AJ23)+(AI24*AJ24)+(AI25*AJ25)+(AI26*AJ26)+(AI27*AJ27)+(AI28*AJ28)</f>
        <v>290</v>
      </c>
      <c r="AI29" s="485">
        <f>SUM(AI23:AI28)</f>
        <v>13</v>
      </c>
      <c r="AJ29" s="606">
        <f>SUM(AJ23:AJ28)</f>
        <v>65</v>
      </c>
      <c r="AK29" s="693">
        <f>(AL23*AM23)+(AL24*AM24)+(AL25*AM25)+(AL26*AM26)+(AL27*AM27)+(AL28*AM28)</f>
        <v>0</v>
      </c>
      <c r="AL29" s="694">
        <f>SUM(AL23:AL28)</f>
        <v>0</v>
      </c>
      <c r="AM29" s="694">
        <f>SUM(AM23:AM28)</f>
        <v>0</v>
      </c>
      <c r="AN29" s="695"/>
      <c r="AO29" s="696">
        <f>Y29+AB29+AE29+AH29+AK29</f>
        <v>1420</v>
      </c>
      <c r="AP29" s="468"/>
      <c r="AQ29" s="468"/>
      <c r="AR29" s="468"/>
      <c r="AS29" s="468"/>
      <c r="AT29" s="469"/>
    </row>
    <row r="30" spans="1:46" ht="50.1" customHeight="1" thickBot="1" x14ac:dyDescent="0.3">
      <c r="A30" s="479"/>
      <c r="B30" s="472" t="s">
        <v>816</v>
      </c>
      <c r="C30" s="473" t="s">
        <v>817</v>
      </c>
      <c r="D30" s="474" t="s">
        <v>818</v>
      </c>
      <c r="E30" s="475"/>
      <c r="F30" s="476"/>
      <c r="G30" s="474" t="s">
        <v>819</v>
      </c>
      <c r="H30" s="475"/>
      <c r="I30" s="476"/>
      <c r="J30" s="474" t="s">
        <v>820</v>
      </c>
      <c r="K30" s="475"/>
      <c r="L30" s="476"/>
      <c r="M30" s="474" t="s">
        <v>821</v>
      </c>
      <c r="N30" s="475"/>
      <c r="O30" s="476"/>
      <c r="P30" s="474" t="s">
        <v>822</v>
      </c>
      <c r="Q30" s="475"/>
      <c r="R30" s="476"/>
      <c r="S30" s="477" t="s">
        <v>816</v>
      </c>
      <c r="T30" s="478" t="s">
        <v>817</v>
      </c>
      <c r="U30" s="469"/>
      <c r="V30" s="479"/>
      <c r="W30" s="484" t="s">
        <v>816</v>
      </c>
      <c r="X30" s="606" t="s">
        <v>817</v>
      </c>
      <c r="Y30" s="474" t="s">
        <v>818</v>
      </c>
      <c r="Z30" s="475"/>
      <c r="AA30" s="476"/>
      <c r="AB30" s="474" t="s">
        <v>819</v>
      </c>
      <c r="AC30" s="475"/>
      <c r="AD30" s="476"/>
      <c r="AE30" s="474" t="s">
        <v>820</v>
      </c>
      <c r="AF30" s="475"/>
      <c r="AG30" s="476"/>
      <c r="AH30" s="474" t="s">
        <v>821</v>
      </c>
      <c r="AI30" s="475"/>
      <c r="AJ30" s="476"/>
      <c r="AK30" s="612" t="s">
        <v>822</v>
      </c>
      <c r="AL30" s="613"/>
      <c r="AM30" s="614"/>
      <c r="AN30" s="697" t="s">
        <v>816</v>
      </c>
      <c r="AO30" s="691" t="s">
        <v>817</v>
      </c>
      <c r="AP30" s="468"/>
      <c r="AQ30" s="468"/>
      <c r="AR30" s="468"/>
      <c r="AS30" s="468"/>
      <c r="AT30" s="469"/>
    </row>
    <row r="31" spans="1:46" ht="50.1" customHeight="1" thickBot="1" x14ac:dyDescent="0.3">
      <c r="A31" s="479"/>
      <c r="B31" s="472"/>
      <c r="C31" s="473"/>
      <c r="D31" s="474" t="s">
        <v>852</v>
      </c>
      <c r="E31" s="475"/>
      <c r="F31" s="476"/>
      <c r="G31" s="474" t="s">
        <v>824</v>
      </c>
      <c r="H31" s="475"/>
      <c r="I31" s="476"/>
      <c r="J31" s="474" t="s">
        <v>825</v>
      </c>
      <c r="K31" s="475"/>
      <c r="L31" s="476"/>
      <c r="M31" s="474" t="s">
        <v>827</v>
      </c>
      <c r="N31" s="475"/>
      <c r="O31" s="476"/>
      <c r="P31" s="474" t="s">
        <v>850</v>
      </c>
      <c r="Q31" s="475"/>
      <c r="R31" s="476"/>
      <c r="S31" s="477"/>
      <c r="T31" s="480"/>
      <c r="U31" s="469"/>
      <c r="V31" s="479"/>
      <c r="W31" s="472"/>
      <c r="X31" s="473"/>
      <c r="Y31" s="474" t="s">
        <v>823</v>
      </c>
      <c r="Z31" s="475"/>
      <c r="AA31" s="476"/>
      <c r="AB31" s="474" t="s">
        <v>826</v>
      </c>
      <c r="AC31" s="475"/>
      <c r="AD31" s="476"/>
      <c r="AE31" s="474" t="s">
        <v>827</v>
      </c>
      <c r="AF31" s="475"/>
      <c r="AG31" s="476"/>
      <c r="AH31" s="474" t="s">
        <v>850</v>
      </c>
      <c r="AI31" s="475"/>
      <c r="AJ31" s="476"/>
      <c r="AK31" s="481"/>
      <c r="AL31" s="482"/>
      <c r="AM31" s="483"/>
      <c r="AN31" s="477"/>
      <c r="AO31" s="478"/>
      <c r="AP31" s="468"/>
      <c r="AQ31" s="468"/>
      <c r="AR31" s="468"/>
      <c r="AS31" s="468"/>
      <c r="AT31" s="469"/>
    </row>
    <row r="32" spans="1:46" ht="50.1" customHeight="1" x14ac:dyDescent="0.25">
      <c r="A32" s="479"/>
      <c r="B32" s="503" t="s">
        <v>836</v>
      </c>
      <c r="C32" s="621" t="s">
        <v>836</v>
      </c>
      <c r="D32" s="495" t="s">
        <v>834</v>
      </c>
      <c r="E32" s="496">
        <v>1</v>
      </c>
      <c r="F32" s="497">
        <v>10</v>
      </c>
      <c r="G32" s="698" t="s">
        <v>831</v>
      </c>
      <c r="H32" s="660"/>
      <c r="I32" s="699"/>
      <c r="J32" s="492" t="s">
        <v>833</v>
      </c>
      <c r="K32" s="493">
        <v>3</v>
      </c>
      <c r="L32" s="700">
        <v>10</v>
      </c>
      <c r="M32" s="492" t="s">
        <v>833</v>
      </c>
      <c r="N32" s="493">
        <v>3</v>
      </c>
      <c r="O32" s="494">
        <v>10</v>
      </c>
      <c r="P32" s="489" t="s">
        <v>832</v>
      </c>
      <c r="Q32" s="490">
        <v>5</v>
      </c>
      <c r="R32" s="491">
        <v>30</v>
      </c>
      <c r="S32" s="620" t="s">
        <v>836</v>
      </c>
      <c r="T32" s="621" t="s">
        <v>836</v>
      </c>
      <c r="U32" s="469"/>
      <c r="V32" s="479"/>
      <c r="W32" s="487" t="s">
        <v>830</v>
      </c>
      <c r="X32" s="622" t="s">
        <v>831</v>
      </c>
      <c r="Y32" s="489" t="s">
        <v>832</v>
      </c>
      <c r="Z32" s="490">
        <v>5</v>
      </c>
      <c r="AA32" s="491">
        <v>30</v>
      </c>
      <c r="AB32" s="492" t="s">
        <v>833</v>
      </c>
      <c r="AC32" s="493">
        <v>3</v>
      </c>
      <c r="AD32" s="494">
        <v>10</v>
      </c>
      <c r="AE32" s="498" t="s">
        <v>835</v>
      </c>
      <c r="AF32" s="499">
        <v>3</v>
      </c>
      <c r="AG32" s="500">
        <v>10</v>
      </c>
      <c r="AH32" s="489" t="s">
        <v>832</v>
      </c>
      <c r="AI32" s="490">
        <v>5</v>
      </c>
      <c r="AJ32" s="491">
        <v>30</v>
      </c>
      <c r="AK32" s="701" t="s">
        <v>836</v>
      </c>
      <c r="AL32" s="663"/>
      <c r="AM32" s="663"/>
      <c r="AN32" s="664" t="s">
        <v>836</v>
      </c>
      <c r="AO32" s="517" t="s">
        <v>836</v>
      </c>
      <c r="AP32" s="468"/>
      <c r="AQ32" s="468"/>
      <c r="AR32" s="468"/>
      <c r="AS32" s="468"/>
      <c r="AT32" s="469"/>
    </row>
    <row r="33" spans="1:46" ht="50.1" customHeight="1" x14ac:dyDescent="0.25">
      <c r="A33" s="479"/>
      <c r="B33" s="534"/>
      <c r="C33" s="624"/>
      <c r="D33" s="538" t="s">
        <v>837</v>
      </c>
      <c r="E33" s="539">
        <v>2</v>
      </c>
      <c r="F33" s="540">
        <v>10</v>
      </c>
      <c r="G33" s="702"/>
      <c r="H33" s="666"/>
      <c r="I33" s="703"/>
      <c r="J33" s="535" t="s">
        <v>835</v>
      </c>
      <c r="K33" s="536">
        <v>3</v>
      </c>
      <c r="L33" s="704">
        <v>10</v>
      </c>
      <c r="M33" s="550" t="s">
        <v>838</v>
      </c>
      <c r="N33" s="551">
        <v>6</v>
      </c>
      <c r="O33" s="552">
        <v>45</v>
      </c>
      <c r="P33" s="526" t="s">
        <v>840</v>
      </c>
      <c r="Q33" s="527">
        <v>4</v>
      </c>
      <c r="R33" s="528">
        <v>10</v>
      </c>
      <c r="S33" s="623"/>
      <c r="T33" s="624"/>
      <c r="U33" s="469"/>
      <c r="V33" s="479"/>
      <c r="W33" s="521"/>
      <c r="X33" s="625"/>
      <c r="Y33" s="523" t="s">
        <v>839</v>
      </c>
      <c r="Z33" s="524">
        <v>4</v>
      </c>
      <c r="AA33" s="525">
        <v>10</v>
      </c>
      <c r="AB33" s="535" t="s">
        <v>835</v>
      </c>
      <c r="AC33" s="536">
        <v>3</v>
      </c>
      <c r="AD33" s="537">
        <v>10</v>
      </c>
      <c r="AE33" s="556" t="s">
        <v>844</v>
      </c>
      <c r="AF33" s="557">
        <v>4</v>
      </c>
      <c r="AG33" s="559">
        <v>25</v>
      </c>
      <c r="AH33" s="526" t="s">
        <v>840</v>
      </c>
      <c r="AI33" s="527">
        <v>4</v>
      </c>
      <c r="AJ33" s="528">
        <v>10</v>
      </c>
      <c r="AK33" s="705"/>
      <c r="AL33" s="669"/>
      <c r="AM33" s="669"/>
      <c r="AN33" s="670"/>
      <c r="AO33" s="543"/>
      <c r="AP33" s="468"/>
      <c r="AQ33" s="468"/>
      <c r="AR33" s="468"/>
      <c r="AS33" s="468"/>
      <c r="AT33" s="469"/>
    </row>
    <row r="34" spans="1:46" ht="50.1" customHeight="1" x14ac:dyDescent="0.25">
      <c r="A34" s="479"/>
      <c r="B34" s="534"/>
      <c r="C34" s="624"/>
      <c r="D34" s="577" t="s">
        <v>833</v>
      </c>
      <c r="E34" s="671">
        <v>3</v>
      </c>
      <c r="F34" s="672">
        <v>10</v>
      </c>
      <c r="G34" s="702"/>
      <c r="H34" s="666"/>
      <c r="I34" s="703"/>
      <c r="J34" s="523" t="s">
        <v>839</v>
      </c>
      <c r="K34" s="524">
        <v>4</v>
      </c>
      <c r="L34" s="706">
        <v>10</v>
      </c>
      <c r="M34" s="544" t="s">
        <v>841</v>
      </c>
      <c r="N34" s="560">
        <v>4</v>
      </c>
      <c r="O34" s="561">
        <v>25</v>
      </c>
      <c r="P34" s="556" t="s">
        <v>844</v>
      </c>
      <c r="Q34" s="557">
        <v>4</v>
      </c>
      <c r="R34" s="559">
        <v>25</v>
      </c>
      <c r="S34" s="623"/>
      <c r="T34" s="624"/>
      <c r="U34" s="469"/>
      <c r="V34" s="479"/>
      <c r="W34" s="521"/>
      <c r="X34" s="625"/>
      <c r="Y34" s="547" t="s">
        <v>842</v>
      </c>
      <c r="Z34" s="548">
        <v>6</v>
      </c>
      <c r="AA34" s="549">
        <v>45</v>
      </c>
      <c r="AB34" s="526" t="s">
        <v>840</v>
      </c>
      <c r="AC34" s="527">
        <v>4</v>
      </c>
      <c r="AD34" s="528">
        <v>10</v>
      </c>
      <c r="AE34" s="544" t="s">
        <v>841</v>
      </c>
      <c r="AF34" s="560">
        <v>4</v>
      </c>
      <c r="AG34" s="561">
        <v>25</v>
      </c>
      <c r="AH34" s="556" t="s">
        <v>844</v>
      </c>
      <c r="AI34" s="557">
        <v>4</v>
      </c>
      <c r="AJ34" s="559">
        <v>25</v>
      </c>
      <c r="AK34" s="705"/>
      <c r="AL34" s="669"/>
      <c r="AM34" s="669"/>
      <c r="AN34" s="670"/>
      <c r="AO34" s="543"/>
      <c r="AP34" s="468"/>
      <c r="AQ34" s="468"/>
      <c r="AR34" s="468"/>
      <c r="AS34" s="468"/>
      <c r="AT34" s="469"/>
    </row>
    <row r="35" spans="1:46" ht="50.1" customHeight="1" x14ac:dyDescent="0.25">
      <c r="A35" s="479"/>
      <c r="B35" s="534"/>
      <c r="C35" s="624"/>
      <c r="D35" s="556" t="s">
        <v>844</v>
      </c>
      <c r="E35" s="557">
        <v>4</v>
      </c>
      <c r="F35" s="559">
        <v>25</v>
      </c>
      <c r="G35" s="702"/>
      <c r="H35" s="666"/>
      <c r="I35" s="703"/>
      <c r="J35" s="547" t="s">
        <v>842</v>
      </c>
      <c r="K35" s="548">
        <v>6</v>
      </c>
      <c r="L35" s="707">
        <v>45</v>
      </c>
      <c r="M35" s="565" t="s">
        <v>845</v>
      </c>
      <c r="N35" s="566">
        <v>4</v>
      </c>
      <c r="O35" s="571">
        <v>10</v>
      </c>
      <c r="P35" s="572"/>
      <c r="Q35" s="545"/>
      <c r="R35" s="573"/>
      <c r="S35" s="623"/>
      <c r="T35" s="624"/>
      <c r="U35" s="469"/>
      <c r="V35" s="479"/>
      <c r="W35" s="521"/>
      <c r="X35" s="625"/>
      <c r="Y35" s="556" t="s">
        <v>844</v>
      </c>
      <c r="Z35" s="557">
        <v>4</v>
      </c>
      <c r="AA35" s="559">
        <v>5</v>
      </c>
      <c r="AB35" s="550" t="s">
        <v>838</v>
      </c>
      <c r="AC35" s="551">
        <v>6</v>
      </c>
      <c r="AD35" s="552">
        <v>45</v>
      </c>
      <c r="AE35" s="565" t="s">
        <v>845</v>
      </c>
      <c r="AF35" s="566">
        <v>4</v>
      </c>
      <c r="AG35" s="571">
        <v>10</v>
      </c>
      <c r="AH35" s="572"/>
      <c r="AI35" s="545"/>
      <c r="AJ35" s="573"/>
      <c r="AK35" s="705"/>
      <c r="AL35" s="669"/>
      <c r="AM35" s="669"/>
      <c r="AN35" s="670"/>
      <c r="AO35" s="543"/>
      <c r="AP35" s="468"/>
      <c r="AQ35" s="468"/>
      <c r="AR35" s="468"/>
      <c r="AS35" s="468"/>
      <c r="AT35" s="469"/>
    </row>
    <row r="36" spans="1:46" ht="50.1" customHeight="1" x14ac:dyDescent="0.25">
      <c r="A36" s="479"/>
      <c r="B36" s="534"/>
      <c r="C36" s="624"/>
      <c r="D36" s="562"/>
      <c r="E36" s="563"/>
      <c r="F36" s="564"/>
      <c r="G36" s="702"/>
      <c r="H36" s="666"/>
      <c r="I36" s="703"/>
      <c r="J36" s="556" t="s">
        <v>844</v>
      </c>
      <c r="K36" s="557">
        <v>4</v>
      </c>
      <c r="L36" s="558">
        <v>25</v>
      </c>
      <c r="M36" s="574"/>
      <c r="N36" s="575"/>
      <c r="O36" s="629"/>
      <c r="P36" s="562"/>
      <c r="Q36" s="563"/>
      <c r="R36" s="564"/>
      <c r="S36" s="623"/>
      <c r="T36" s="624"/>
      <c r="U36" s="469"/>
      <c r="V36" s="479"/>
      <c r="W36" s="521"/>
      <c r="X36" s="625"/>
      <c r="Y36" s="568" t="s">
        <v>847</v>
      </c>
      <c r="Z36" s="569">
        <v>5</v>
      </c>
      <c r="AA36" s="570">
        <v>10</v>
      </c>
      <c r="AB36" s="565" t="s">
        <v>845</v>
      </c>
      <c r="AC36" s="566">
        <v>4</v>
      </c>
      <c r="AD36" s="571">
        <v>10</v>
      </c>
      <c r="AE36" s="562"/>
      <c r="AF36" s="563"/>
      <c r="AG36" s="564"/>
      <c r="AH36" s="708"/>
      <c r="AI36" s="709"/>
      <c r="AJ36" s="710"/>
      <c r="AK36" s="705"/>
      <c r="AL36" s="669"/>
      <c r="AM36" s="669"/>
      <c r="AN36" s="670"/>
      <c r="AO36" s="543"/>
      <c r="AP36" s="468"/>
      <c r="AQ36" s="468"/>
      <c r="AR36" s="468"/>
      <c r="AS36" s="468"/>
      <c r="AT36" s="469"/>
    </row>
    <row r="37" spans="1:46" ht="50.1" customHeight="1" thickBot="1" x14ac:dyDescent="0.3">
      <c r="A37" s="633"/>
      <c r="B37" s="588"/>
      <c r="C37" s="643"/>
      <c r="D37" s="640"/>
      <c r="E37" s="641"/>
      <c r="F37" s="632"/>
      <c r="G37" s="711"/>
      <c r="H37" s="678"/>
      <c r="I37" s="712"/>
      <c r="J37" s="679" t="s">
        <v>847</v>
      </c>
      <c r="K37" s="680">
        <v>5</v>
      </c>
      <c r="L37" s="713">
        <v>5</v>
      </c>
      <c r="M37" s="574"/>
      <c r="N37" s="575"/>
      <c r="O37" s="629"/>
      <c r="P37" s="714"/>
      <c r="Q37" s="686"/>
      <c r="R37" s="687"/>
      <c r="S37" s="642"/>
      <c r="T37" s="643"/>
      <c r="U37" s="469"/>
      <c r="V37" s="633"/>
      <c r="W37" s="578"/>
      <c r="X37" s="644"/>
      <c r="Y37" s="580"/>
      <c r="Z37" s="581"/>
      <c r="AA37" s="582"/>
      <c r="AB37" s="580"/>
      <c r="AC37" s="581"/>
      <c r="AD37" s="582"/>
      <c r="AE37" s="583"/>
      <c r="AF37" s="584"/>
      <c r="AG37" s="585"/>
      <c r="AH37" s="683"/>
      <c r="AI37" s="631"/>
      <c r="AJ37" s="684"/>
      <c r="AK37" s="715"/>
      <c r="AL37" s="716"/>
      <c r="AM37" s="716"/>
      <c r="AN37" s="688"/>
      <c r="AO37" s="600"/>
      <c r="AP37" s="468"/>
      <c r="AQ37" s="468"/>
      <c r="AR37" s="468"/>
      <c r="AS37" s="468"/>
      <c r="AT37" s="469"/>
    </row>
    <row r="38" spans="1:46" ht="50.1" customHeight="1" thickBot="1" x14ac:dyDescent="0.3">
      <c r="A38" s="717"/>
      <c r="B38" s="601"/>
      <c r="C38" s="606" t="s">
        <v>849</v>
      </c>
      <c r="D38" s="689">
        <f>(E32*F32)+(E33*F33)+(E34*F34)+(E45*F45)+(E36*F36)+(E37*F37)</f>
        <v>160</v>
      </c>
      <c r="E38" s="690">
        <f>SUM(E32:E37)</f>
        <v>10</v>
      </c>
      <c r="F38" s="691">
        <f>SUM(F32:F37)</f>
        <v>55</v>
      </c>
      <c r="G38" s="484">
        <f>(H32*I32)+(H33*I33)+(H34*I34)+(H45*I45)+(H36*I36)</f>
        <v>0</v>
      </c>
      <c r="H38" s="485">
        <f>SUM(H32:H36)</f>
        <v>0</v>
      </c>
      <c r="I38" s="486">
        <f>SUM(I32:I36)</f>
        <v>0</v>
      </c>
      <c r="J38" s="689">
        <f>(K32*L32)+(K33*L33)+(K34*L34)+(K45*L45)+(K36*L36)+(K37*L37)</f>
        <v>495</v>
      </c>
      <c r="K38" s="690">
        <f>SUM(K32:K37)</f>
        <v>25</v>
      </c>
      <c r="L38" s="691">
        <f>SUM(L32:L37)</f>
        <v>105</v>
      </c>
      <c r="M38" s="484">
        <f>(N32*O32)+(N33*O33)+(N34*O34)+(N45*O45)+(N36*O36)+(N37*O37)</f>
        <v>440</v>
      </c>
      <c r="N38" s="485">
        <f>SUM(N32:N37)</f>
        <v>17</v>
      </c>
      <c r="O38" s="486">
        <f>SUM(O32:O37)</f>
        <v>90</v>
      </c>
      <c r="P38" s="689">
        <f>(Q32*R32)+(Q33*R33)+(Q34*R34)+(Q45*R45)+(Q36*R36)+(Q37*R37)</f>
        <v>290</v>
      </c>
      <c r="Q38" s="690">
        <f>SUM(Q32:Q37)</f>
        <v>13</v>
      </c>
      <c r="R38" s="691">
        <f>SUM(R32:R37)</f>
        <v>65</v>
      </c>
      <c r="S38" s="646"/>
      <c r="T38" s="647">
        <f>D38+G38+J38+M38+P38</f>
        <v>1385</v>
      </c>
      <c r="U38" s="469"/>
      <c r="V38" s="717"/>
      <c r="W38" s="692"/>
      <c r="X38" s="606" t="s">
        <v>849</v>
      </c>
      <c r="Y38" s="484">
        <f>(Z32*AA32)+(Z33*AA33)+(Z34*AA34)+(Z45*AA45)+(Z36*AA36)+(Z37*AA37)</f>
        <v>510</v>
      </c>
      <c r="Z38" s="485">
        <f>SUM(Z32:Z37)</f>
        <v>24</v>
      </c>
      <c r="AA38" s="486">
        <f>SUM(AA32:AA37)</f>
        <v>100</v>
      </c>
      <c r="AB38" s="484">
        <f>(AC32*AD32)+(AC33*AD33)+(AC34*AD34)+(AC45*AD45)+(AC36*AD36)</f>
        <v>140</v>
      </c>
      <c r="AC38" s="485">
        <f>SUM(AC32:AC36)</f>
        <v>20</v>
      </c>
      <c r="AD38" s="486">
        <f>SUM(AD32:AD36)</f>
        <v>85</v>
      </c>
      <c r="AE38" s="484">
        <f>(AF32*AG32)+(AF33*AG33)+(AF34*AG34)+(AF45*AG45)+(AF36*AG36)+(AF37*AG37)</f>
        <v>230</v>
      </c>
      <c r="AF38" s="485">
        <f>SUM(AF32:AF37)</f>
        <v>15</v>
      </c>
      <c r="AG38" s="486">
        <f>SUM(AG32:AG37)</f>
        <v>70</v>
      </c>
      <c r="AH38" s="484">
        <f>(AI32*AJ32)+(AI33*AJ33)+(AI34*AJ34)+(AI45*AJ45)+(AI36*AJ36)+(AI37*AJ37)</f>
        <v>290</v>
      </c>
      <c r="AI38" s="485">
        <f>SUM(AI32:AI37)</f>
        <v>13</v>
      </c>
      <c r="AJ38" s="606">
        <f>SUM(AJ32:AJ37)</f>
        <v>65</v>
      </c>
      <c r="AK38" s="693">
        <f>(AL32*AM32)+(AL33*AM33)+(AL34*AM34)+(AL45*AM45)+(AL36*AM36)+(AL37*AM37)</f>
        <v>0</v>
      </c>
      <c r="AL38" s="694">
        <f>SUM(AL32:AL37)</f>
        <v>0</v>
      </c>
      <c r="AM38" s="694">
        <f>SUM(AM32:AM37)</f>
        <v>0</v>
      </c>
      <c r="AN38" s="695"/>
      <c r="AO38" s="696">
        <f>Y38+AB38+AE38+AH38+AK38</f>
        <v>1170</v>
      </c>
      <c r="AP38" s="468"/>
      <c r="AQ38" s="468"/>
      <c r="AR38" s="468"/>
      <c r="AS38" s="468"/>
      <c r="AT38" s="469"/>
    </row>
    <row r="39" spans="1:46" ht="50.1" customHeight="1" thickBot="1" x14ac:dyDescent="0.3">
      <c r="A39" s="718"/>
      <c r="B39" s="651"/>
      <c r="C39" s="652"/>
      <c r="D39" s="652"/>
      <c r="E39" s="652"/>
      <c r="F39" s="652"/>
      <c r="G39" s="652"/>
      <c r="H39" s="652"/>
      <c r="I39" s="652"/>
      <c r="J39" s="652"/>
      <c r="K39" s="652"/>
      <c r="L39" s="652"/>
      <c r="M39" s="652"/>
      <c r="N39" s="652"/>
      <c r="O39" s="652"/>
      <c r="P39" s="652"/>
      <c r="Q39" s="652"/>
      <c r="R39" s="652"/>
      <c r="S39" s="652"/>
      <c r="T39" s="653"/>
      <c r="U39" s="469"/>
      <c r="V39" s="469"/>
      <c r="W39" s="468"/>
      <c r="X39" s="468"/>
      <c r="Y39" s="468"/>
      <c r="Z39" s="468"/>
      <c r="AA39" s="468"/>
      <c r="AB39" s="468"/>
      <c r="AC39" s="468"/>
      <c r="AD39" s="468"/>
      <c r="AE39" s="468"/>
      <c r="AF39" s="468"/>
      <c r="AG39" s="468"/>
      <c r="AH39" s="468"/>
      <c r="AI39" s="468"/>
      <c r="AJ39" s="468"/>
      <c r="AK39" s="468"/>
      <c r="AL39" s="468"/>
      <c r="AM39" s="468"/>
      <c r="AN39" s="468"/>
      <c r="AO39" s="468"/>
      <c r="AP39" s="468"/>
      <c r="AQ39" s="468"/>
      <c r="AR39" s="468"/>
      <c r="AS39" s="468"/>
      <c r="AT39" s="469"/>
    </row>
    <row r="40" spans="1:46" ht="50.1" customHeight="1" thickBot="1" x14ac:dyDescent="0.3">
      <c r="A40" s="471" t="s">
        <v>815</v>
      </c>
      <c r="B40" s="472" t="s">
        <v>816</v>
      </c>
      <c r="C40" s="473" t="s">
        <v>817</v>
      </c>
      <c r="D40" s="474" t="s">
        <v>818</v>
      </c>
      <c r="E40" s="475"/>
      <c r="F40" s="476"/>
      <c r="G40" s="474" t="s">
        <v>819</v>
      </c>
      <c r="H40" s="475"/>
      <c r="I40" s="476"/>
      <c r="J40" s="474" t="s">
        <v>820</v>
      </c>
      <c r="K40" s="475"/>
      <c r="L40" s="476"/>
      <c r="M40" s="474" t="s">
        <v>821</v>
      </c>
      <c r="N40" s="475"/>
      <c r="O40" s="476"/>
      <c r="P40" s="474" t="s">
        <v>822</v>
      </c>
      <c r="Q40" s="475"/>
      <c r="R40" s="476"/>
      <c r="S40" s="477" t="s">
        <v>816</v>
      </c>
      <c r="T40" s="478" t="s">
        <v>817</v>
      </c>
      <c r="U40" s="469"/>
      <c r="V40" s="469"/>
      <c r="W40" s="468"/>
      <c r="X40" s="468"/>
      <c r="Y40" s="468"/>
      <c r="Z40" s="468"/>
      <c r="AA40" s="468"/>
      <c r="AB40" s="468"/>
      <c r="AC40" s="468"/>
      <c r="AD40" s="468"/>
      <c r="AE40" s="468"/>
      <c r="AF40" s="468"/>
      <c r="AG40" s="468"/>
      <c r="AH40" s="468"/>
      <c r="AI40" s="468"/>
      <c r="AJ40" s="468"/>
      <c r="AK40" s="468"/>
      <c r="AL40" s="468"/>
      <c r="AM40" s="468"/>
      <c r="AN40" s="468"/>
      <c r="AO40" s="468"/>
      <c r="AP40" s="468"/>
      <c r="AQ40" s="468"/>
      <c r="AR40" s="468"/>
      <c r="AS40" s="468"/>
      <c r="AT40" s="469"/>
    </row>
    <row r="41" spans="1:46" ht="50.1" customHeight="1" thickBot="1" x14ac:dyDescent="0.3">
      <c r="A41" s="479"/>
      <c r="B41" s="472"/>
      <c r="C41" s="473" t="s">
        <v>852</v>
      </c>
      <c r="D41" s="474" t="s">
        <v>824</v>
      </c>
      <c r="E41" s="475"/>
      <c r="F41" s="476"/>
      <c r="G41" s="474" t="s">
        <v>825</v>
      </c>
      <c r="H41" s="475"/>
      <c r="I41" s="476"/>
      <c r="J41" s="474" t="s">
        <v>826</v>
      </c>
      <c r="K41" s="475"/>
      <c r="L41" s="476"/>
      <c r="M41" s="474" t="s">
        <v>827</v>
      </c>
      <c r="N41" s="475"/>
      <c r="O41" s="476"/>
      <c r="P41" s="474" t="s">
        <v>850</v>
      </c>
      <c r="Q41" s="475"/>
      <c r="R41" s="476"/>
      <c r="S41" s="477"/>
      <c r="T41" s="480"/>
      <c r="U41" s="469"/>
      <c r="V41" s="469"/>
      <c r="W41" s="468"/>
      <c r="X41" s="468"/>
      <c r="Y41" s="468"/>
      <c r="Z41" s="468"/>
      <c r="AA41" s="468"/>
      <c r="AB41" s="468"/>
      <c r="AC41" s="468"/>
      <c r="AD41" s="468"/>
      <c r="AE41" s="468"/>
      <c r="AF41" s="468"/>
      <c r="AG41" s="468"/>
      <c r="AH41" s="468"/>
      <c r="AI41" s="468"/>
      <c r="AJ41" s="468"/>
      <c r="AK41" s="468"/>
      <c r="AL41" s="468"/>
      <c r="AM41" s="468"/>
      <c r="AN41" s="468"/>
      <c r="AO41" s="468"/>
      <c r="AP41" s="468"/>
      <c r="AQ41" s="468"/>
      <c r="AR41" s="468"/>
      <c r="AS41" s="468"/>
      <c r="AT41" s="469"/>
    </row>
    <row r="42" spans="1:46" ht="50.1" customHeight="1" x14ac:dyDescent="0.25">
      <c r="A42" s="479"/>
      <c r="B42" s="503" t="s">
        <v>836</v>
      </c>
      <c r="C42" s="502" t="s">
        <v>831</v>
      </c>
      <c r="D42" s="498" t="s">
        <v>835</v>
      </c>
      <c r="E42" s="719">
        <v>3</v>
      </c>
      <c r="F42" s="720">
        <v>10</v>
      </c>
      <c r="G42" s="495" t="s">
        <v>834</v>
      </c>
      <c r="H42" s="496">
        <v>1</v>
      </c>
      <c r="I42" s="497">
        <v>10</v>
      </c>
      <c r="J42" s="492" t="s">
        <v>833</v>
      </c>
      <c r="K42" s="493">
        <v>3</v>
      </c>
      <c r="L42" s="494">
        <v>10</v>
      </c>
      <c r="M42" s="492" t="s">
        <v>833</v>
      </c>
      <c r="N42" s="493">
        <v>3</v>
      </c>
      <c r="O42" s="700">
        <v>10</v>
      </c>
      <c r="P42" s="489" t="s">
        <v>832</v>
      </c>
      <c r="Q42" s="490">
        <v>5</v>
      </c>
      <c r="R42" s="721">
        <v>30</v>
      </c>
      <c r="S42" s="664" t="s">
        <v>836</v>
      </c>
      <c r="T42" s="722" t="s">
        <v>831</v>
      </c>
      <c r="U42" s="469"/>
      <c r="V42" s="469"/>
      <c r="W42" s="468"/>
      <c r="X42" s="468"/>
      <c r="Y42" s="723"/>
      <c r="Z42" s="723"/>
      <c r="AA42" s="723"/>
      <c r="AB42" s="468"/>
      <c r="AC42" s="468"/>
      <c r="AD42" s="468"/>
      <c r="AE42" s="468"/>
      <c r="AF42" s="468"/>
      <c r="AG42" s="468"/>
      <c r="AH42" s="468"/>
      <c r="AI42" s="468"/>
      <c r="AJ42" s="468"/>
      <c r="AK42" s="468"/>
      <c r="AL42" s="468"/>
      <c r="AM42" s="468"/>
      <c r="AN42" s="468"/>
      <c r="AO42" s="468"/>
      <c r="AP42" s="468"/>
      <c r="AQ42" s="468"/>
      <c r="AR42" s="468"/>
      <c r="AS42" s="468"/>
      <c r="AT42" s="469"/>
    </row>
    <row r="43" spans="1:46" ht="50.1" customHeight="1" x14ac:dyDescent="0.25">
      <c r="A43" s="479"/>
      <c r="B43" s="534"/>
      <c r="C43" s="533"/>
      <c r="D43" s="526" t="s">
        <v>840</v>
      </c>
      <c r="E43" s="668">
        <v>4</v>
      </c>
      <c r="F43" s="724">
        <v>10</v>
      </c>
      <c r="G43" s="529" t="s">
        <v>832</v>
      </c>
      <c r="H43" s="530">
        <v>5</v>
      </c>
      <c r="I43" s="531">
        <v>30</v>
      </c>
      <c r="J43" s="535" t="s">
        <v>835</v>
      </c>
      <c r="K43" s="536">
        <v>3</v>
      </c>
      <c r="L43" s="537">
        <v>10</v>
      </c>
      <c r="M43" s="550" t="s">
        <v>838</v>
      </c>
      <c r="N43" s="551">
        <v>6</v>
      </c>
      <c r="O43" s="725">
        <v>45</v>
      </c>
      <c r="P43" s="526" t="s">
        <v>840</v>
      </c>
      <c r="Q43" s="527">
        <v>4</v>
      </c>
      <c r="R43" s="541">
        <v>10</v>
      </c>
      <c r="S43" s="670"/>
      <c r="T43" s="726"/>
      <c r="U43" s="469"/>
      <c r="V43" s="469"/>
      <c r="W43" s="468"/>
      <c r="X43" s="468"/>
      <c r="Y43" s="723"/>
      <c r="Z43" s="723"/>
      <c r="AA43" s="723"/>
      <c r="AB43" s="468"/>
      <c r="AC43" s="468"/>
      <c r="AD43" s="468"/>
      <c r="AE43" s="468"/>
      <c r="AF43" s="468"/>
      <c r="AG43" s="468"/>
      <c r="AH43" s="468"/>
      <c r="AI43" s="468"/>
      <c r="AJ43" s="468"/>
      <c r="AK43" s="468"/>
      <c r="AL43" s="468"/>
      <c r="AM43" s="468"/>
      <c r="AN43" s="468"/>
      <c r="AO43" s="468"/>
      <c r="AP43" s="468"/>
      <c r="AQ43" s="468"/>
      <c r="AR43" s="468"/>
      <c r="AS43" s="468"/>
      <c r="AT43" s="469"/>
    </row>
    <row r="44" spans="1:46" ht="50.1" customHeight="1" x14ac:dyDescent="0.25">
      <c r="A44" s="479"/>
      <c r="B44" s="534"/>
      <c r="C44" s="533"/>
      <c r="D44" s="550" t="s">
        <v>838</v>
      </c>
      <c r="E44" s="727">
        <v>6</v>
      </c>
      <c r="F44" s="728">
        <v>45</v>
      </c>
      <c r="G44" s="553" t="s">
        <v>843</v>
      </c>
      <c r="H44" s="554">
        <v>2</v>
      </c>
      <c r="I44" s="555">
        <v>10</v>
      </c>
      <c r="J44" s="523" t="s">
        <v>839</v>
      </c>
      <c r="K44" s="524">
        <v>4</v>
      </c>
      <c r="L44" s="525">
        <v>10</v>
      </c>
      <c r="M44" s="544" t="s">
        <v>841</v>
      </c>
      <c r="N44" s="560">
        <v>4</v>
      </c>
      <c r="O44" s="729">
        <v>25</v>
      </c>
      <c r="P44" s="556" t="s">
        <v>844</v>
      </c>
      <c r="Q44" s="557">
        <v>3</v>
      </c>
      <c r="R44" s="558">
        <v>25</v>
      </c>
      <c r="S44" s="670"/>
      <c r="T44" s="726"/>
      <c r="U44" s="469"/>
      <c r="V44" s="469"/>
      <c r="W44" s="468"/>
      <c r="X44" s="468"/>
      <c r="Y44" s="723"/>
      <c r="Z44" s="723"/>
      <c r="AA44" s="723"/>
      <c r="AB44" s="468"/>
      <c r="AC44" s="468"/>
      <c r="AD44" s="468"/>
      <c r="AE44" s="468"/>
      <c r="AF44" s="468"/>
      <c r="AG44" s="468"/>
      <c r="AH44" s="468"/>
      <c r="AI44" s="468"/>
      <c r="AJ44" s="468"/>
      <c r="AK44" s="468"/>
      <c r="AL44" s="468"/>
      <c r="AM44" s="468"/>
      <c r="AN44" s="468"/>
      <c r="AO44" s="468"/>
      <c r="AP44" s="468"/>
      <c r="AQ44" s="468"/>
      <c r="AR44" s="468"/>
      <c r="AS44" s="468"/>
      <c r="AT44" s="469"/>
    </row>
    <row r="45" spans="1:46" ht="50.1" customHeight="1" x14ac:dyDescent="0.25">
      <c r="A45" s="479"/>
      <c r="B45" s="534"/>
      <c r="C45" s="533"/>
      <c r="D45" s="544" t="s">
        <v>841</v>
      </c>
      <c r="E45" s="730">
        <v>4</v>
      </c>
      <c r="F45" s="731">
        <v>25</v>
      </c>
      <c r="G45" s="574"/>
      <c r="H45" s="575"/>
      <c r="I45" s="629"/>
      <c r="J45" s="547" t="s">
        <v>842</v>
      </c>
      <c r="K45" s="548">
        <v>6</v>
      </c>
      <c r="L45" s="549">
        <v>45</v>
      </c>
      <c r="M45" s="565" t="s">
        <v>845</v>
      </c>
      <c r="N45" s="566">
        <v>4</v>
      </c>
      <c r="O45" s="567">
        <v>10</v>
      </c>
      <c r="P45" s="572"/>
      <c r="Q45" s="545"/>
      <c r="R45" s="732"/>
      <c r="S45" s="670"/>
      <c r="T45" s="726"/>
      <c r="U45" s="469"/>
      <c r="V45" s="469"/>
      <c r="W45" s="468"/>
      <c r="X45" s="468"/>
      <c r="Y45" s="723"/>
      <c r="Z45" s="723"/>
      <c r="AA45" s="723"/>
      <c r="AB45" s="468"/>
      <c r="AC45" s="468"/>
      <c r="AD45" s="468"/>
      <c r="AE45" s="468"/>
      <c r="AF45" s="468"/>
      <c r="AG45" s="468"/>
      <c r="AH45" s="468"/>
      <c r="AI45" s="468"/>
      <c r="AJ45" s="468"/>
      <c r="AK45" s="468"/>
      <c r="AL45" s="468"/>
      <c r="AM45" s="468"/>
      <c r="AN45" s="468"/>
      <c r="AO45" s="468"/>
      <c r="AP45" s="468"/>
      <c r="AQ45" s="468"/>
      <c r="AR45" s="468"/>
      <c r="AS45" s="468"/>
      <c r="AT45" s="469"/>
    </row>
    <row r="46" spans="1:46" ht="50.1" customHeight="1" x14ac:dyDescent="0.25">
      <c r="A46" s="479"/>
      <c r="B46" s="534"/>
      <c r="C46" s="533"/>
      <c r="D46" s="565" t="s">
        <v>845</v>
      </c>
      <c r="E46" s="733">
        <v>4</v>
      </c>
      <c r="F46" s="734">
        <v>10</v>
      </c>
      <c r="G46" s="574"/>
      <c r="H46" s="575"/>
      <c r="I46" s="629"/>
      <c r="J46" s="556" t="s">
        <v>844</v>
      </c>
      <c r="K46" s="557">
        <v>4</v>
      </c>
      <c r="L46" s="559">
        <v>25</v>
      </c>
      <c r="M46" s="572"/>
      <c r="N46" s="732"/>
      <c r="O46" s="732"/>
      <c r="P46" s="627"/>
      <c r="Q46" s="628"/>
      <c r="R46" s="735"/>
      <c r="S46" s="670"/>
      <c r="T46" s="726"/>
      <c r="U46" s="469"/>
      <c r="V46" s="469"/>
      <c r="W46" s="468"/>
      <c r="X46" s="468"/>
      <c r="Y46" s="723"/>
      <c r="Z46" s="723"/>
      <c r="AA46" s="723"/>
      <c r="AB46" s="468"/>
      <c r="AC46" s="468"/>
      <c r="AD46" s="468"/>
      <c r="AE46" s="468"/>
      <c r="AF46" s="468"/>
      <c r="AG46" s="468"/>
      <c r="AH46" s="468"/>
      <c r="AI46" s="468"/>
      <c r="AJ46" s="468"/>
      <c r="AK46" s="468"/>
      <c r="AL46" s="468"/>
      <c r="AM46" s="468"/>
      <c r="AN46" s="468"/>
      <c r="AO46" s="468"/>
      <c r="AP46" s="468"/>
      <c r="AQ46" s="468"/>
      <c r="AR46" s="468"/>
      <c r="AS46" s="468"/>
      <c r="AT46" s="469"/>
    </row>
    <row r="47" spans="1:46" ht="50.1" customHeight="1" thickBot="1" x14ac:dyDescent="0.3">
      <c r="A47" s="479"/>
      <c r="B47" s="588"/>
      <c r="C47" s="587"/>
      <c r="D47" s="683"/>
      <c r="E47" s="736"/>
      <c r="F47" s="737"/>
      <c r="G47" s="580"/>
      <c r="H47" s="581"/>
      <c r="I47" s="582"/>
      <c r="J47" s="679" t="s">
        <v>847</v>
      </c>
      <c r="K47" s="680">
        <v>5</v>
      </c>
      <c r="L47" s="681">
        <v>10</v>
      </c>
      <c r="M47" s="580"/>
      <c r="N47" s="682"/>
      <c r="O47" s="682"/>
      <c r="P47" s="683"/>
      <c r="Q47" s="631"/>
      <c r="R47" s="738"/>
      <c r="S47" s="688"/>
      <c r="T47" s="739"/>
      <c r="U47" s="468"/>
      <c r="V47" s="468"/>
      <c r="W47" s="468"/>
      <c r="X47" s="468"/>
      <c r="Y47" s="723"/>
      <c r="Z47" s="723"/>
      <c r="AA47" s="723"/>
      <c r="AB47" s="468"/>
      <c r="AC47" s="468"/>
      <c r="AD47" s="468"/>
      <c r="AE47" s="468"/>
      <c r="AF47" s="468"/>
      <c r="AG47" s="468"/>
      <c r="AH47" s="468"/>
      <c r="AI47" s="468"/>
      <c r="AJ47" s="468"/>
      <c r="AK47" s="468"/>
      <c r="AL47" s="468"/>
      <c r="AM47" s="468"/>
      <c r="AN47" s="468"/>
      <c r="AO47" s="468"/>
      <c r="AP47" s="468"/>
      <c r="AQ47" s="468"/>
      <c r="AR47" s="468"/>
      <c r="AS47" s="468"/>
      <c r="AT47" s="469"/>
    </row>
    <row r="48" spans="1:46" ht="50.1" customHeight="1" thickBot="1" x14ac:dyDescent="0.3">
      <c r="A48" s="717"/>
      <c r="B48" s="740"/>
      <c r="C48" s="646" t="s">
        <v>849</v>
      </c>
      <c r="D48" s="689">
        <f>(E42*F42)+(E43*F43)+(E44*F44)+(E45*F45)+(E46*F46)+(E47*F47)</f>
        <v>480</v>
      </c>
      <c r="E48" s="690">
        <f>SUM(E42:E47)</f>
        <v>21</v>
      </c>
      <c r="F48" s="691">
        <f>SUM(F42:F47)</f>
        <v>100</v>
      </c>
      <c r="G48" s="484">
        <f>(H42*I42)+(H43*I43)+(H44*I44)+(H45*I45)+(H46*I46)</f>
        <v>180</v>
      </c>
      <c r="H48" s="485">
        <f>SUM(H42:H46)</f>
        <v>8</v>
      </c>
      <c r="I48" s="486">
        <f>SUM(I42:I46)</f>
        <v>50</v>
      </c>
      <c r="J48" s="689">
        <f>(K42*L42)+(K43*L43)+(K44*L44)+(K45*L45)+(K46*L46)+(K47*L47)</f>
        <v>520</v>
      </c>
      <c r="K48" s="690">
        <f>SUM(K42:K47)</f>
        <v>25</v>
      </c>
      <c r="L48" s="691">
        <f>SUM(L42:L47)</f>
        <v>110</v>
      </c>
      <c r="M48" s="484">
        <f>(N42*O42)+(N43*O43)+(N44*O44)+(N45*O45)+(N46*O46)+(N47*O47)</f>
        <v>440</v>
      </c>
      <c r="N48" s="485">
        <f>SUM(N42:N47)</f>
        <v>17</v>
      </c>
      <c r="O48" s="486">
        <f>SUM(O42:O47)</f>
        <v>90</v>
      </c>
      <c r="P48" s="689">
        <f>(Q42*R42)+(Q43*R43)+(Q44*R44)+(Q45*R45)+(Q46*R46)+(Q47*R47)</f>
        <v>265</v>
      </c>
      <c r="Q48" s="690">
        <f>SUM(Q42:Q47)</f>
        <v>12</v>
      </c>
      <c r="R48" s="691">
        <f>SUM(R42:R47)</f>
        <v>65</v>
      </c>
      <c r="S48" s="607"/>
      <c r="T48" s="608">
        <f>D48+G48+J48+M48+P48</f>
        <v>1885</v>
      </c>
      <c r="U48" s="468"/>
      <c r="V48" s="468"/>
      <c r="W48" s="468"/>
      <c r="X48" s="468"/>
      <c r="Y48" s="468"/>
      <c r="Z48" s="468"/>
      <c r="AA48" s="468"/>
      <c r="AB48" s="468"/>
      <c r="AC48" s="468"/>
      <c r="AD48" s="468"/>
      <c r="AE48" s="468"/>
      <c r="AF48" s="468"/>
      <c r="AG48" s="468"/>
      <c r="AH48" s="468"/>
      <c r="AI48" s="468"/>
      <c r="AJ48" s="468"/>
      <c r="AK48" s="468"/>
      <c r="AL48" s="468"/>
      <c r="AM48" s="468"/>
      <c r="AN48" s="468"/>
      <c r="AO48" s="468"/>
      <c r="AP48" s="468"/>
      <c r="AQ48" s="468"/>
      <c r="AR48" s="468"/>
      <c r="AS48" s="468"/>
      <c r="AT48" s="469"/>
    </row>
    <row r="49" spans="1:46" ht="50.1" customHeight="1" x14ac:dyDescent="0.25">
      <c r="A49" s="718"/>
      <c r="B49" s="723"/>
      <c r="C49" s="723"/>
      <c r="D49" s="723"/>
      <c r="E49" s="723"/>
      <c r="F49" s="723"/>
      <c r="G49" s="723"/>
      <c r="H49" s="723"/>
      <c r="I49" s="723"/>
      <c r="J49" s="723"/>
      <c r="K49" s="723"/>
      <c r="L49" s="723"/>
      <c r="M49" s="723"/>
      <c r="N49" s="723"/>
      <c r="O49" s="723"/>
      <c r="P49" s="723"/>
      <c r="Q49" s="723"/>
      <c r="R49" s="723"/>
      <c r="S49" s="723"/>
      <c r="T49" s="723"/>
      <c r="U49" s="468"/>
      <c r="V49" s="468"/>
      <c r="W49" s="468"/>
      <c r="X49" s="468"/>
      <c r="Y49" s="468"/>
      <c r="Z49" s="468"/>
      <c r="AA49" s="468"/>
      <c r="AB49" s="468"/>
      <c r="AC49" s="468"/>
      <c r="AD49" s="468"/>
      <c r="AE49" s="468"/>
      <c r="AF49" s="468"/>
      <c r="AG49" s="468"/>
      <c r="AH49" s="468"/>
      <c r="AI49" s="468"/>
      <c r="AJ49" s="468"/>
      <c r="AK49" s="468"/>
      <c r="AL49" s="468"/>
      <c r="AM49" s="468"/>
      <c r="AN49" s="468"/>
      <c r="AO49" s="468"/>
      <c r="AP49" s="468"/>
      <c r="AQ49" s="468"/>
      <c r="AR49" s="468"/>
      <c r="AS49" s="468"/>
      <c r="AT49" s="469"/>
    </row>
  </sheetData>
  <mergeCells count="138">
    <mergeCell ref="B42:B47"/>
    <mergeCell ref="C42:C47"/>
    <mergeCell ref="S42:S47"/>
    <mergeCell ref="T42:T47"/>
    <mergeCell ref="P40:R40"/>
    <mergeCell ref="D41:F41"/>
    <mergeCell ref="G41:I41"/>
    <mergeCell ref="J41:L41"/>
    <mergeCell ref="M41:O41"/>
    <mergeCell ref="P41:R41"/>
    <mergeCell ref="X32:X37"/>
    <mergeCell ref="AK32:AM37"/>
    <mergeCell ref="AN32:AN37"/>
    <mergeCell ref="AO32:AO37"/>
    <mergeCell ref="B39:T39"/>
    <mergeCell ref="A40:A47"/>
    <mergeCell ref="D40:F40"/>
    <mergeCell ref="G40:I40"/>
    <mergeCell ref="J40:L40"/>
    <mergeCell ref="M40:O40"/>
    <mergeCell ref="AB31:AD31"/>
    <mergeCell ref="AE31:AG31"/>
    <mergeCell ref="AH31:AJ31"/>
    <mergeCell ref="AK31:AM31"/>
    <mergeCell ref="B32:B37"/>
    <mergeCell ref="C32:C37"/>
    <mergeCell ref="G32:I37"/>
    <mergeCell ref="S32:S37"/>
    <mergeCell ref="T32:T37"/>
    <mergeCell ref="W32:W37"/>
    <mergeCell ref="AB30:AD30"/>
    <mergeCell ref="AE30:AG30"/>
    <mergeCell ref="AH30:AJ30"/>
    <mergeCell ref="AK30:AM30"/>
    <mergeCell ref="D31:F31"/>
    <mergeCell ref="G31:I31"/>
    <mergeCell ref="J31:L31"/>
    <mergeCell ref="M31:O31"/>
    <mergeCell ref="P31:R31"/>
    <mergeCell ref="Y31:AA31"/>
    <mergeCell ref="X23:X28"/>
    <mergeCell ref="AK23:AM28"/>
    <mergeCell ref="AN23:AN28"/>
    <mergeCell ref="AO23:AO28"/>
    <mergeCell ref="D30:F30"/>
    <mergeCell ref="G30:I30"/>
    <mergeCell ref="J30:L30"/>
    <mergeCell ref="M30:O30"/>
    <mergeCell ref="P30:R30"/>
    <mergeCell ref="Y30:AA30"/>
    <mergeCell ref="B23:B28"/>
    <mergeCell ref="C23:C28"/>
    <mergeCell ref="G23:I28"/>
    <mergeCell ref="S23:S28"/>
    <mergeCell ref="T23:T28"/>
    <mergeCell ref="W23:W28"/>
    <mergeCell ref="D22:F22"/>
    <mergeCell ref="G22:I22"/>
    <mergeCell ref="J22:L22"/>
    <mergeCell ref="M22:O22"/>
    <mergeCell ref="P22:R22"/>
    <mergeCell ref="Y22:AA22"/>
    <mergeCell ref="V21:V37"/>
    <mergeCell ref="Y21:AA21"/>
    <mergeCell ref="AB21:AD21"/>
    <mergeCell ref="AE21:AG21"/>
    <mergeCell ref="AH21:AJ21"/>
    <mergeCell ref="AK21:AM21"/>
    <mergeCell ref="AB22:AD22"/>
    <mergeCell ref="AE22:AG22"/>
    <mergeCell ref="AH22:AJ22"/>
    <mergeCell ref="AK22:AM22"/>
    <mergeCell ref="AN13:AN18"/>
    <mergeCell ref="AO13:AO18"/>
    <mergeCell ref="B20:T20"/>
    <mergeCell ref="W20:AO20"/>
    <mergeCell ref="A21:A37"/>
    <mergeCell ref="D21:F21"/>
    <mergeCell ref="G21:I21"/>
    <mergeCell ref="J21:L21"/>
    <mergeCell ref="M21:O21"/>
    <mergeCell ref="P21:R21"/>
    <mergeCell ref="AH12:AJ12"/>
    <mergeCell ref="AK12:AM12"/>
    <mergeCell ref="B13:B18"/>
    <mergeCell ref="C13:C18"/>
    <mergeCell ref="S13:S18"/>
    <mergeCell ref="T13:T18"/>
    <mergeCell ref="W13:W18"/>
    <mergeCell ref="X13:X18"/>
    <mergeCell ref="D12:F12"/>
    <mergeCell ref="G12:I12"/>
    <mergeCell ref="J12:L12"/>
    <mergeCell ref="M12:O12"/>
    <mergeCell ref="P12:R12"/>
    <mergeCell ref="Y12:AA12"/>
    <mergeCell ref="AN4:AN9"/>
    <mergeCell ref="AO4:AO9"/>
    <mergeCell ref="D11:F11"/>
    <mergeCell ref="G11:I11"/>
    <mergeCell ref="J11:L11"/>
    <mergeCell ref="M11:O11"/>
    <mergeCell ref="P11:R11"/>
    <mergeCell ref="Y11:AA11"/>
    <mergeCell ref="AB11:AD11"/>
    <mergeCell ref="AE11:AG11"/>
    <mergeCell ref="B4:B9"/>
    <mergeCell ref="C4:C9"/>
    <mergeCell ref="S4:S9"/>
    <mergeCell ref="T4:T9"/>
    <mergeCell ref="W4:W9"/>
    <mergeCell ref="X4:X9"/>
    <mergeCell ref="P3:R3"/>
    <mergeCell ref="Y3:AA3"/>
    <mergeCell ref="AB3:AD3"/>
    <mergeCell ref="AE3:AG3"/>
    <mergeCell ref="AH3:AJ3"/>
    <mergeCell ref="AK3:AM3"/>
    <mergeCell ref="V2:V18"/>
    <mergeCell ref="Y2:AA2"/>
    <mergeCell ref="AB2:AD2"/>
    <mergeCell ref="AE2:AG2"/>
    <mergeCell ref="AH2:AJ2"/>
    <mergeCell ref="AK2:AM2"/>
    <mergeCell ref="AH11:AJ11"/>
    <mergeCell ref="AK11:AM11"/>
    <mergeCell ref="AB12:AD12"/>
    <mergeCell ref="AE12:AG12"/>
    <mergeCell ref="A2:A18"/>
    <mergeCell ref="D2:F2"/>
    <mergeCell ref="G2:I2"/>
    <mergeCell ref="J2:L2"/>
    <mergeCell ref="M2:O2"/>
    <mergeCell ref="P2:R2"/>
    <mergeCell ref="D3:F3"/>
    <mergeCell ref="G3:I3"/>
    <mergeCell ref="J3:L3"/>
    <mergeCell ref="M3:O3"/>
  </mergeCells>
  <pageMargins left="0.25" right="0.25" top="0.75" bottom="0.75" header="0.3" footer="0.3"/>
  <pageSetup paperSize="8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29</vt:i4>
      </vt:variant>
      <vt:variant>
        <vt:lpstr>Benannte Bereiche</vt:lpstr>
      </vt:variant>
      <vt:variant>
        <vt:i4>24</vt:i4>
      </vt:variant>
    </vt:vector>
  </HeadingPairs>
  <TitlesOfParts>
    <vt:vector size="53" baseType="lpstr">
      <vt:lpstr>UnterkörperA</vt:lpstr>
      <vt:lpstr>OberkörperA</vt:lpstr>
      <vt:lpstr>UnterkörperB</vt:lpstr>
      <vt:lpstr>OberkörperB</vt:lpstr>
      <vt:lpstr>UnterkörperC</vt:lpstr>
      <vt:lpstr>OberkörperC</vt:lpstr>
      <vt:lpstr>UnterkörperD</vt:lpstr>
      <vt:lpstr>OberkörperD</vt:lpstr>
      <vt:lpstr>UnterkörperE</vt:lpstr>
      <vt:lpstr>OberkörperE</vt:lpstr>
      <vt:lpstr>UnterkörperF</vt:lpstr>
      <vt:lpstr>OberkörperF</vt:lpstr>
      <vt:lpstr>Unterkörper1</vt:lpstr>
      <vt:lpstr>Oberkörper1</vt:lpstr>
      <vt:lpstr>Unterkörper2</vt:lpstr>
      <vt:lpstr>Oberkörper2</vt:lpstr>
      <vt:lpstr>Unterkörper3</vt:lpstr>
      <vt:lpstr>Oberkörper3</vt:lpstr>
      <vt:lpstr>Unterkörper4</vt:lpstr>
      <vt:lpstr>Oberkörper4</vt:lpstr>
      <vt:lpstr>Unterkörper5</vt:lpstr>
      <vt:lpstr>Oberkörper5</vt:lpstr>
      <vt:lpstr>Unterkörper6</vt:lpstr>
      <vt:lpstr>Oberkörper6</vt:lpstr>
      <vt:lpstr>Warm Up</vt:lpstr>
      <vt:lpstr> Unterkörper Progressionen </vt:lpstr>
      <vt:lpstr>Oberkörper Progressionen </vt:lpstr>
      <vt:lpstr>Level 1 bis 6</vt:lpstr>
      <vt:lpstr>Level 7 bis 9</vt:lpstr>
      <vt:lpstr>Oberkörper1!Druckbereich</vt:lpstr>
      <vt:lpstr>Oberkörper2!Druckbereich</vt:lpstr>
      <vt:lpstr>Oberkörper3!Druckbereich</vt:lpstr>
      <vt:lpstr>Oberkörper4!Druckbereich</vt:lpstr>
      <vt:lpstr>Oberkörper5!Druckbereich</vt:lpstr>
      <vt:lpstr>Oberkörper6!Druckbereich</vt:lpstr>
      <vt:lpstr>OberkörperA!Druckbereich</vt:lpstr>
      <vt:lpstr>OberkörperB!Druckbereich</vt:lpstr>
      <vt:lpstr>OberkörperC!Druckbereich</vt:lpstr>
      <vt:lpstr>OberkörperD!Druckbereich</vt:lpstr>
      <vt:lpstr>OberkörperE!Druckbereich</vt:lpstr>
      <vt:lpstr>OberkörperF!Druckbereich</vt:lpstr>
      <vt:lpstr>Unterkörper1!Druckbereich</vt:lpstr>
      <vt:lpstr>Unterkörper2!Druckbereich</vt:lpstr>
      <vt:lpstr>Unterkörper3!Druckbereich</vt:lpstr>
      <vt:lpstr>Unterkörper4!Druckbereich</vt:lpstr>
      <vt:lpstr>Unterkörper5!Druckbereich</vt:lpstr>
      <vt:lpstr>Unterkörper6!Druckbereich</vt:lpstr>
      <vt:lpstr>UnterkörperA!Druckbereich</vt:lpstr>
      <vt:lpstr>UnterkörperB!Druckbereich</vt:lpstr>
      <vt:lpstr>UnterkörperC!Druckbereich</vt:lpstr>
      <vt:lpstr>UnterkörperD!Druckbereich</vt:lpstr>
      <vt:lpstr>UnterkörperE!Druckbereich</vt:lpstr>
      <vt:lpstr>UnterkörperF!Druckbereich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Annegret Hegner</dc:creator>
  <cp:lastModifiedBy>Arne Carl</cp:lastModifiedBy>
  <cp:lastPrinted>2025-06-18T13:14:40Z</cp:lastPrinted>
  <dcterms:created xsi:type="dcterms:W3CDTF">2021-02-08T09:54:42Z</dcterms:created>
  <dcterms:modified xsi:type="dcterms:W3CDTF">2026-02-11T14:51:48Z</dcterms:modified>
</cp:coreProperties>
</file>